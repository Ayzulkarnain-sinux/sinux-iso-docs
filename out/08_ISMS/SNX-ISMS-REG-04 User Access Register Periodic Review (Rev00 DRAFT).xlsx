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Register Akses" sheetId="4" state="visible" r:id="rId4"/>
    <sheet xmlns:r="http://schemas.openxmlformats.org/officeDocument/2006/relationships" name="Review Periodik" sheetId="5" state="visible" r:id="rId5"/>
    <sheet xmlns:r="http://schemas.openxmlformats.org/officeDocument/2006/relationships" name="Ringkasan" sheetId="6" state="visible" r:id="rId6"/>
  </sheets>
  <definedNames>
    <definedName name="_xlnm._FilterDatabase" localSheetId="3" hidden="1">'Register Akses'!$A$4:$S$256</definedName>
    <definedName name="_xlnm._FilterDatabase" localSheetId="4" hidden="1">'Review Periodik'!$A$4:$L$205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70920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27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1"/>
    <col width="70" customWidth="1" style="23" min="2" max="2"/>
    <col width="30" customWidth="1" style="23" min="3" max="3"/>
    <col width="22" customWidth="1" style="23" min="4" max="4"/>
    <col width="14" customWidth="1" style="23" min="5" max="5"/>
  </cols>
  <sheetData>
    <row r="1" ht="18.55" customHeight="1" s="24">
      <c r="A1" s="25" t="inlineStr">
        <is>
          <t>User Access Register &amp; Periodic Access Review</t>
        </is>
      </c>
    </row>
    <row r="2" ht="15" customHeight="1" s="24">
      <c r="A2" s="26" t="inlineStr">
        <is>
          <t>PT Strategi Integrasi Nusantara (SINUX) · Divisi Operation</t>
        </is>
      </c>
    </row>
    <row r="4" ht="15" customHeight="1" s="24">
      <c r="A4" s="27" t="inlineStr">
        <is>
          <t>Nomor dokumen</t>
        </is>
      </c>
      <c r="B4" s="28" t="inlineStr">
        <is>
          <t>SNX-ISMS-REG-04</t>
        </is>
      </c>
    </row>
    <row r="5" ht="15" customHeight="1" s="24">
      <c r="A5" s="27" t="inlineStr">
        <is>
          <t>Judul</t>
        </is>
      </c>
      <c r="B5" s="28" t="inlineStr">
        <is>
          <t>User Access Register &amp; Periodic Access Review</t>
        </is>
      </c>
    </row>
    <row r="6" ht="15" customHeight="1" s="24">
      <c r="A6" s="27" t="inlineStr">
        <is>
          <t>Revisi</t>
        </is>
      </c>
      <c r="B6" s="28" t="inlineStr">
        <is>
          <t>00 (Draft)</t>
        </is>
      </c>
    </row>
    <row r="7" ht="15" customHeight="1" s="24">
      <c r="A7" s="27" t="inlineStr">
        <is>
          <t>Tanggal draft</t>
        </is>
      </c>
      <c r="B7" s="28" t="inlineStr">
        <is>
          <t>13 Oktober 2026</t>
        </is>
      </c>
    </row>
    <row r="8" ht="15" customHeight="1" s="24">
      <c r="A8" s="27" t="inlineStr">
        <is>
          <t>Tanggal efektif</t>
        </is>
      </c>
      <c r="B8" s="28" t="inlineStr">
        <is>
          <t>Ditetapkan saat pengesahan</t>
        </is>
      </c>
    </row>
    <row r="9" ht="15" customHeight="1" s="24">
      <c r="A9" s="27" t="inlineStr">
        <is>
          <t>Klasifikasi</t>
        </is>
      </c>
      <c r="B9" s="28" t="inlineStr">
        <is>
          <t>RESTRICTED (Internal)</t>
        </is>
      </c>
    </row>
    <row r="10" ht="15" customHeight="1" s="24">
      <c r="A10" s="27" t="inlineStr">
        <is>
          <t>Pemilik dokumen</t>
        </is>
      </c>
      <c r="B10" s="28" t="inlineStr">
        <is>
          <t>Head of Operation</t>
        </is>
      </c>
    </row>
    <row r="11" ht="15" customHeight="1" s="24">
      <c r="A11" s="27" t="inlineStr">
        <is>
          <t>Disetujui oleh</t>
        </is>
      </c>
      <c r="B11" s="28" t="inlineStr">
        <is>
          <t>Samuel Kristanto Utomo / President Director</t>
        </is>
      </c>
    </row>
    <row r="12" ht="15" customHeight="1" s="24">
      <c r="A12" s="27" t="inlineStr">
        <is>
          <t>Acuan ISO 9001:2015</t>
        </is>
      </c>
      <c r="B12" s="28" t="inlineStr">
        <is>
          <t>Klausul 7.1.3</t>
        </is>
      </c>
    </row>
    <row r="13" ht="15" customHeight="1" s="24">
      <c r="A13" s="27" t="inlineStr">
        <is>
          <t>Acuan ISO/IEC 27001:2022</t>
        </is>
      </c>
      <c r="B13" s="28" t="inlineStr">
        <is>
          <t>Kontrol Annex A 5.15, 5.18, 8.2</t>
        </is>
      </c>
    </row>
    <row r="14" ht="15" customHeight="1" s="24">
      <c r="A14" s="27" t="inlineStr">
        <is>
          <t>Masa simpan record</t>
        </is>
      </c>
      <c r="B14" s="28" t="inlineStr">
        <is>
          <t>3 tahun</t>
        </is>
      </c>
    </row>
    <row r="15" ht="23.85" customHeight="1" s="24">
      <c r="A15" s="27" t="inlineStr">
        <is>
          <t>Tujuan</t>
        </is>
      </c>
      <c r="B15" s="28" t="inlineStr">
        <is>
          <t>Register hak akses pengguna ke sistem internal dan sistem pelanggan, serta catatan review akses periodik sesuai SNX-ISMS-SOP-02.</t>
        </is>
      </c>
    </row>
    <row r="17" ht="15" customHeight="1" s="24">
      <c r="A17" s="29" t="inlineStr">
        <is>
          <t>Cara pakai</t>
        </is>
      </c>
    </row>
    <row r="18" ht="15" customHeight="1" s="24">
      <c r="A18" s="30" t="inlineStr">
        <is>
          <t>1.</t>
        </is>
      </c>
      <c r="B18" s="31" t="inlineStr">
        <is>
          <t>Satu baris per akun per sistem. Jangan pernah menulis password atau token di file ini.</t>
        </is>
      </c>
    </row>
    <row r="19" ht="23.85" customHeight="1" s="24">
      <c r="A19" s="30" t="inlineStr">
        <is>
          <t>2.</t>
        </is>
      </c>
      <c r="B19" s="31" t="inlineStr">
        <is>
          <t>Kolom Privileged, Review berikutnya, dan Cek dihitung otomatis: privileged ditinjau triwulanan, akses biasa semesteran.</t>
        </is>
      </c>
    </row>
    <row r="20" ht="23.85" customHeight="1" s="24">
      <c r="A20" s="30" t="inlineStr">
        <is>
          <t>3.</t>
        </is>
      </c>
      <c r="B20" s="31" t="inlineStr">
        <is>
          <t>Cek = CABUT bila personel berstatus Keluar tetapi akun masih Aktif; Cek = KEDALUWARSA bila Berlaku sampai lewat; Cek = REVIEW bila review terlambat.</t>
        </is>
      </c>
    </row>
    <row r="21" ht="23.85" customHeight="1" s="24">
      <c r="A21" s="30" t="inlineStr">
        <is>
          <t>4.</t>
        </is>
      </c>
      <c r="B21" s="31" t="inlineStr">
        <is>
          <t>Hasil review periodik dicatat di sheet Review Periodik; tindak lanjut maksimal 10 hari kerja.</t>
        </is>
      </c>
    </row>
    <row r="23" ht="15" customHeight="1" s="24">
      <c r="A23" s="29" t="inlineStr">
        <is>
          <t>Legenda warna</t>
        </is>
      </c>
    </row>
    <row r="24" ht="15" customHeight="1" s="24">
      <c r="A24" s="32" t="n"/>
      <c r="B24" s="30" t="inlineStr">
        <is>
          <t>Sel input: diisi pengguna</t>
        </is>
      </c>
    </row>
    <row r="25" ht="15" customHeight="1" s="24">
      <c r="A25" s="33" t="n"/>
      <c r="B25" s="30" t="n"/>
    </row>
    <row r="26" ht="15" customHeight="1" s="24">
      <c r="A26" s="34" t="n"/>
      <c r="B26" s="30" t="inlineStr">
        <is>
          <t>Sel rumus: jangan diubah</t>
        </is>
      </c>
    </row>
    <row r="28" ht="15" customHeight="1" s="24">
      <c r="A28" s="29" t="inlineStr">
        <is>
          <t>Riwayat revisi</t>
        </is>
      </c>
    </row>
    <row r="29" ht="15" customHeight="1" s="24">
      <c r="A29" s="35" t="inlineStr">
        <is>
          <t>Revisi</t>
        </is>
      </c>
      <c r="B29" s="35" t="inlineStr">
        <is>
          <t>Tanggal</t>
        </is>
      </c>
      <c r="C29" s="35" t="inlineStr">
        <is>
          <t>Uraian perubahan</t>
        </is>
      </c>
      <c r="D29" s="35" t="inlineStr">
        <is>
          <t>Disusun</t>
        </is>
      </c>
      <c r="E29" s="35" t="inlineStr">
        <is>
          <t>Disetujui</t>
        </is>
      </c>
    </row>
    <row r="30" ht="23.85" customHeight="1" s="24">
      <c r="A30" s="28" t="inlineStr">
        <is>
          <t>00</t>
        </is>
      </c>
      <c r="B30" s="28" t="inlineStr">
        <is>
          <t>13 Oktober 2026</t>
        </is>
      </c>
      <c r="C30" s="28" t="inlineStr">
        <is>
          <t>Draft awal untuk review dan pengesahan</t>
        </is>
      </c>
      <c r="D30" s="28" t="inlineStr">
        <is>
          <t>Divisi Operation</t>
        </is>
      </c>
      <c r="E30" s="28" t="inlineStr">
        <is>
          <t>Menunggu</t>
        </is>
      </c>
    </row>
    <row r="31" ht="57.45" customHeight="1" s="24">
      <c r="A31" s="28" t="n"/>
      <c r="B31" s="28" t="n"/>
      <c r="C31" s="28" t="n"/>
      <c r="D31" s="28" t="n"/>
      <c r="E31" s="28" t="n"/>
    </row>
    <row r="32"/>
    <row r="33" ht="15" customHeight="1" s="24">
      <c r="A33" s="29" t="inlineStr">
        <is>
          <t>Pengesahan</t>
        </is>
      </c>
    </row>
    <row r="34" ht="15" customHeight="1" s="24">
      <c r="A34" s="35" t="inlineStr">
        <is>
          <t>Peran</t>
        </is>
      </c>
      <c r="B34" s="35" t="inlineStr">
        <is>
          <t>Nama dan jabatan</t>
        </is>
      </c>
      <c r="C34" s="35" t="inlineStr">
        <is>
          <t>Tanda tangan</t>
        </is>
      </c>
      <c r="D34" s="35" t="inlineStr">
        <is>
          <t>Tanggal</t>
        </is>
      </c>
    </row>
    <row r="35" ht="27.75" customHeight="1" s="24">
      <c r="A35" s="36" t="inlineStr">
        <is>
          <t>Disusun oleh</t>
        </is>
      </c>
      <c r="B35" s="36" t="inlineStr">
        <is>
          <t>Erik Dwi Yanto / Technical/Operation Engineer L1</t>
        </is>
      </c>
      <c r="C35" s="36" t="n"/>
      <c r="D35" s="36" t="n"/>
    </row>
    <row r="36" ht="27.75" customHeight="1" s="24">
      <c r="A36" s="36" t="inlineStr">
        <is>
          <t>Diperiksa oleh</t>
        </is>
      </c>
      <c r="B36" s="36" t="inlineStr">
        <is>
          <t>Fani Fatullah / VP Tech Operation and Services</t>
        </is>
      </c>
      <c r="C36" s="36" t="n"/>
      <c r="D36" s="36" t="n"/>
    </row>
    <row r="37" ht="27.75" customHeight="1" s="24">
      <c r="A37" s="36" t="inlineStr">
        <is>
          <t>Disetujui oleh</t>
        </is>
      </c>
      <c r="B37" s="36" t="inlineStr">
        <is>
          <t>Samuel Kristanto Utomo / President Director</t>
        </is>
      </c>
      <c r="C37" s="36" t="n"/>
      <c r="D37" s="3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4">
      <c r="A1" s="37" t="inlineStr">
        <is>
          <t>Diagram alur proses</t>
        </is>
      </c>
    </row>
    <row r="2" ht="15" customHeight="1" s="24">
      <c r="A2" s="26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1" customWidth="1" style="23" min="1" max="1"/>
    <col width="16" customWidth="1" style="23" min="2" max="5"/>
  </cols>
  <sheetData>
    <row r="1" ht="15" customHeight="1" s="24">
      <c r="A1" s="38" t="inlineStr">
        <is>
          <t>Status personel</t>
        </is>
      </c>
      <c r="B1" s="38" t="inlineStr">
        <is>
          <t>Level</t>
        </is>
      </c>
      <c r="C1" s="38" t="inlineStr">
        <is>
          <t>MFA</t>
        </is>
      </c>
      <c r="D1" s="38" t="inlineStr">
        <is>
          <t>Status akun</t>
        </is>
      </c>
      <c r="E1" s="38" t="inlineStr">
        <is>
          <t>Keputusan</t>
        </is>
      </c>
    </row>
    <row r="2" ht="15" customHeight="1" s="24">
      <c r="A2" s="30" t="inlineStr">
        <is>
          <t>Aktif</t>
        </is>
      </c>
      <c r="B2" s="30" t="inlineStr">
        <is>
          <t>Read-only</t>
        </is>
      </c>
      <c r="C2" s="30" t="inlineStr">
        <is>
          <t>Ya</t>
        </is>
      </c>
      <c r="D2" s="30" t="inlineStr">
        <is>
          <t>Aktif</t>
        </is>
      </c>
      <c r="E2" s="30" t="inlineStr">
        <is>
          <t>Tetap</t>
        </is>
      </c>
    </row>
    <row r="3" ht="15" customHeight="1" s="24">
      <c r="A3" s="30" t="inlineStr">
        <is>
          <t>Mutasi</t>
        </is>
      </c>
      <c r="B3" s="30" t="inlineStr">
        <is>
          <t>Operator</t>
        </is>
      </c>
      <c r="C3" s="30" t="inlineStr">
        <is>
          <t>Tidak</t>
        </is>
      </c>
      <c r="D3" s="30" t="inlineStr">
        <is>
          <t>Dinonaktifkan</t>
        </is>
      </c>
      <c r="E3" s="30" t="inlineStr">
        <is>
          <t>Ubah</t>
        </is>
      </c>
    </row>
    <row r="4" ht="15" customHeight="1" s="24">
      <c r="A4" s="30" t="inlineStr">
        <is>
          <t>Keluar</t>
        </is>
      </c>
      <c r="B4" s="30" t="inlineStr">
        <is>
          <t>Admin</t>
        </is>
      </c>
      <c r="C4" s="30" t="inlineStr">
        <is>
          <t>Tidak didukung</t>
        </is>
      </c>
      <c r="D4" s="30" t="inlineStr">
        <is>
          <t>Dicabut</t>
        </is>
      </c>
      <c r="E4" s="30" t="inlineStr">
        <is>
          <t>Cabut</t>
        </is>
      </c>
    </row>
    <row r="5" ht="15" customHeight="1" s="24">
      <c r="A5" s="30" t="inlineStr">
        <is>
          <t>Vendor atau partner</t>
        </is>
      </c>
      <c r="B5" s="30" t="inlineStr">
        <is>
          <t>Privileged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S2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3" min="1" max="1"/>
    <col width="18" customWidth="1" style="23" min="2" max="2"/>
    <col width="16" customWidth="1" style="23" min="3" max="3"/>
    <col width="13" customWidth="1" style="23" min="4" max="4"/>
    <col width="22" customWidth="1" style="23" min="5" max="5"/>
    <col width="14" customWidth="1" style="23" min="6" max="6"/>
    <col width="10" customWidth="1" style="23" min="7" max="7"/>
    <col width="9" customWidth="1" style="23" min="8" max="9"/>
    <col width="11" customWidth="1" style="23" min="10" max="10"/>
    <col width="15" customWidth="1" style="23" min="11" max="11"/>
    <col width="11" customWidth="1" style="23" min="12" max="17"/>
    <col width="9" customWidth="1" style="23" min="18" max="18"/>
    <col width="16" customWidth="1" style="23" min="19" max="19"/>
  </cols>
  <sheetData>
    <row r="1" ht="16.15" customHeight="1" s="24">
      <c r="A1" s="37" t="inlineStr">
        <is>
          <t>User access register</t>
        </is>
      </c>
    </row>
    <row r="2" ht="15" customHeight="1" s="24">
      <c r="A2" s="26" t="inlineStr">
        <is>
          <t>Kolom abu-abu dihitung otomatis.</t>
        </is>
      </c>
    </row>
    <row r="4" ht="31.5" customHeight="1" s="24">
      <c r="A4" s="39" t="inlineStr">
        <is>
          <t>ID</t>
        </is>
      </c>
      <c r="B4" s="39" t="inlineStr">
        <is>
          <t>Nama pengguna</t>
        </is>
      </c>
      <c r="C4" s="39" t="inlineStr">
        <is>
          <t>Peran</t>
        </is>
      </c>
      <c r="D4" s="39" t="inlineStr">
        <is>
          <t>Status personel</t>
        </is>
      </c>
      <c r="E4" s="39" t="inlineStr">
        <is>
          <t>Sistem</t>
        </is>
      </c>
      <c r="F4" s="39" t="inlineStr">
        <is>
          <t>Pelanggan</t>
        </is>
      </c>
      <c r="G4" s="39" t="inlineStr">
        <is>
          <t>Level akses</t>
        </is>
      </c>
      <c r="H4" s="39" t="inlineStr">
        <is>
          <t>Privileged</t>
        </is>
      </c>
      <c r="I4" s="39" t="inlineStr">
        <is>
          <t>MFA</t>
        </is>
      </c>
      <c r="J4" s="39" t="inlineStr">
        <is>
          <t>Ref tiket</t>
        </is>
      </c>
      <c r="K4" s="39" t="inlineStr">
        <is>
          <t>Disetujui oleh</t>
        </is>
      </c>
      <c r="L4" s="39" t="inlineStr">
        <is>
          <t>Tgl diberikan</t>
        </is>
      </c>
      <c r="M4" s="39" t="inlineStr">
        <is>
          <t>Berlaku sampai</t>
        </is>
      </c>
      <c r="N4" s="39" t="inlineStr">
        <is>
          <t>Tgl dicabut</t>
        </is>
      </c>
      <c r="O4" s="39" t="inlineStr">
        <is>
          <t>Status akun</t>
        </is>
      </c>
      <c r="P4" s="39" t="inlineStr">
        <is>
          <t>Review terakhir</t>
        </is>
      </c>
      <c r="Q4" s="39" t="inlineStr">
        <is>
          <t>Review berikutnya</t>
        </is>
      </c>
      <c r="R4" s="39" t="inlineStr">
        <is>
          <t>Cek</t>
        </is>
      </c>
      <c r="S4" s="39" t="inlineStr">
        <is>
          <t>Catatan</t>
        </is>
      </c>
    </row>
    <row r="5" ht="23.85" customHeight="1" s="24">
      <c r="A5" s="40" t="n"/>
      <c r="B5" s="40" t="n"/>
      <c r="C5" s="40" t="n"/>
      <c r="D5" s="40" t="n"/>
      <c r="E5" s="40" t="n"/>
      <c r="F5" s="40" t="n"/>
      <c r="G5" s="40" t="n"/>
      <c r="H5" s="41">
        <f>IF(G5="","",IF(OR(G5="Admin",G5="Privileged"),"Ya","Tidak"))</f>
        <v/>
      </c>
      <c r="I5" s="40" t="n"/>
      <c r="J5" s="40" t="n"/>
      <c r="K5" s="40" t="n"/>
      <c r="L5" s="42" t="n"/>
      <c r="M5" s="42" t="n"/>
      <c r="N5" s="42" t="n"/>
      <c r="O5" s="40" t="n"/>
      <c r="P5" s="42" t="n"/>
      <c r="Q5" s="43">
        <f>IF(P5="","",EDATE(P5,IF(H5="Ya",3,6)))</f>
        <v/>
      </c>
      <c r="R5" s="41">
        <f>IF(A5="","",IF(AND(D5="Keluar",O5="Aktif"),"CABUT",IF(AND(M5&lt;&gt;"",M5&lt;TODAY(),O5="Aktif"),"KEDALUWARSA",IF(AND(Q5&lt;&gt;"",Q5&lt;TODAY(),O5="Aktif"),"REVIEW","OK"))))</f>
        <v/>
      </c>
      <c r="S5" s="40" t="n"/>
    </row>
    <row r="6" ht="23.85" customHeight="1" s="24">
      <c r="A6" s="40" t="n"/>
      <c r="B6" s="40" t="n"/>
      <c r="C6" s="40" t="n"/>
      <c r="D6" s="40" t="n"/>
      <c r="E6" s="40" t="n"/>
      <c r="F6" s="40" t="n"/>
      <c r="G6" s="40" t="n"/>
      <c r="H6" s="41">
        <f>IF(G6="","",IF(OR(G6="Admin",G6="Privileged"),"Ya","Tidak"))</f>
        <v/>
      </c>
      <c r="I6" s="40" t="n"/>
      <c r="J6" s="40" t="n"/>
      <c r="K6" s="40" t="n"/>
      <c r="L6" s="42" t="n"/>
      <c r="M6" s="42" t="n"/>
      <c r="N6" s="42" t="n"/>
      <c r="O6" s="40" t="n"/>
      <c r="P6" s="42" t="n"/>
      <c r="Q6" s="43">
        <f>IF(P6="","",EDATE(P6,IF(H6="Ya",3,6)))</f>
        <v/>
      </c>
      <c r="R6" s="41">
        <f>IF(A6="","",IF(AND(D6="Keluar",O6="Aktif"),"CABUT",IF(AND(M6&lt;&gt;"",M6&lt;TODAY(),O6="Aktif"),"KEDALUWARSA",IF(AND(Q6&lt;&gt;"",Q6&lt;TODAY(),O6="Aktif"),"REVIEW","OK"))))</f>
        <v/>
      </c>
      <c r="S6" s="40" t="n"/>
    </row>
    <row r="7" ht="15" customHeight="1" s="24">
      <c r="A7" s="40" t="n"/>
      <c r="B7" s="40" t="n"/>
      <c r="C7" s="40" t="n"/>
      <c r="D7" s="40" t="n"/>
      <c r="E7" s="40" t="n"/>
      <c r="F7" s="40" t="n"/>
      <c r="G7" s="40" t="n"/>
      <c r="H7" s="41">
        <f>IF(G7="","",IF(OR(G7="Admin",G7="Privileged"),"Ya","Tidak"))</f>
        <v/>
      </c>
      <c r="I7" s="40" t="n"/>
      <c r="J7" s="40" t="n"/>
      <c r="K7" s="40" t="n"/>
      <c r="L7" s="42" t="n"/>
      <c r="M7" s="42" t="n"/>
      <c r="N7" s="42" t="n"/>
      <c r="O7" s="40" t="n"/>
      <c r="P7" s="42" t="n"/>
      <c r="Q7" s="43">
        <f>IF(P7="","",EDATE(P7,IF(H7="Ya",3,6)))</f>
        <v/>
      </c>
      <c r="R7" s="41">
        <f>IF(A7="","",IF(AND(D7="Keluar",O7="Aktif"),"CABUT",IF(AND(M7&lt;&gt;"",M7&lt;TODAY(),O7="Aktif"),"KEDALUWARSA",IF(AND(Q7&lt;&gt;"",Q7&lt;TODAY(),O7="Aktif"),"REVIEW","OK"))))</f>
        <v/>
      </c>
      <c r="S7" s="40" t="n"/>
    </row>
    <row r="8" ht="15" customHeight="1" s="24">
      <c r="A8" s="40" t="n"/>
      <c r="B8" s="40" t="n"/>
      <c r="C8" s="40" t="n"/>
      <c r="D8" s="40" t="n"/>
      <c r="E8" s="40" t="n"/>
      <c r="F8" s="40" t="n"/>
      <c r="G8" s="40" t="n"/>
      <c r="H8" s="41">
        <f>IF(G8="","",IF(OR(G8="Admin",G8="Privileged"),"Ya","Tidak"))</f>
        <v/>
      </c>
      <c r="I8" s="40" t="n"/>
      <c r="J8" s="40" t="n"/>
      <c r="K8" s="40" t="n"/>
      <c r="L8" s="42" t="n"/>
      <c r="M8" s="42" t="n"/>
      <c r="N8" s="42" t="n"/>
      <c r="O8" s="40" t="n"/>
      <c r="P8" s="42" t="n"/>
      <c r="Q8" s="43">
        <f>IF(P8="","",EDATE(P8,IF(H8="Ya",3,6)))</f>
        <v/>
      </c>
      <c r="R8" s="41">
        <f>IF(A8="","",IF(AND(D8="Keluar",O8="Aktif"),"CABUT",IF(AND(M8&lt;&gt;"",M8&lt;TODAY(),O8="Aktif"),"KEDALUWARSA",IF(AND(Q8&lt;&gt;"",Q8&lt;TODAY(),O8="Aktif"),"REVIEW","OK"))))</f>
        <v/>
      </c>
      <c r="S8" s="40" t="n"/>
    </row>
    <row r="9" ht="15" customHeight="1" s="24">
      <c r="A9" s="40" t="n"/>
      <c r="B9" s="40" t="n"/>
      <c r="C9" s="40" t="n"/>
      <c r="D9" s="40" t="n"/>
      <c r="E9" s="40" t="n"/>
      <c r="F9" s="40" t="n"/>
      <c r="G9" s="40" t="n"/>
      <c r="H9" s="41">
        <f>IF(G9="","",IF(OR(G9="Admin",G9="Privileged"),"Ya","Tidak"))</f>
        <v/>
      </c>
      <c r="I9" s="40" t="n"/>
      <c r="J9" s="40" t="n"/>
      <c r="K9" s="40" t="n"/>
      <c r="L9" s="42" t="n"/>
      <c r="M9" s="42" t="n"/>
      <c r="N9" s="42" t="n"/>
      <c r="O9" s="40" t="n"/>
      <c r="P9" s="42" t="n"/>
      <c r="Q9" s="43">
        <f>IF(P9="","",EDATE(P9,IF(H9="Ya",3,6)))</f>
        <v/>
      </c>
      <c r="R9" s="41">
        <f>IF(A9="","",IF(AND(D9="Keluar",O9="Aktif"),"CABUT",IF(AND(M9&lt;&gt;"",M9&lt;TODAY(),O9="Aktif"),"KEDALUWARSA",IF(AND(Q9&lt;&gt;"",Q9&lt;TODAY(),O9="Aktif"),"REVIEW","OK"))))</f>
        <v/>
      </c>
      <c r="S9" s="40" t="n"/>
    </row>
    <row r="10" ht="15" customHeight="1" s="24">
      <c r="A10" s="40" t="n"/>
      <c r="B10" s="40" t="n"/>
      <c r="C10" s="40" t="n"/>
      <c r="D10" s="40" t="n"/>
      <c r="E10" s="40" t="n"/>
      <c r="F10" s="40" t="n"/>
      <c r="G10" s="40" t="n"/>
      <c r="H10" s="41">
        <f>IF(G10="","",IF(OR(G10="Admin",G10="Privileged"),"Ya","Tidak"))</f>
        <v/>
      </c>
      <c r="I10" s="40" t="n"/>
      <c r="J10" s="40" t="n"/>
      <c r="K10" s="40" t="n"/>
      <c r="L10" s="42" t="n"/>
      <c r="M10" s="42" t="n"/>
      <c r="N10" s="42" t="n"/>
      <c r="O10" s="40" t="n"/>
      <c r="P10" s="42" t="n"/>
      <c r="Q10" s="43">
        <f>IF(P10="","",EDATE(P10,IF(H10="Ya",3,6)))</f>
        <v/>
      </c>
      <c r="R10" s="41">
        <f>IF(A10="","",IF(AND(D10="Keluar",O10="Aktif"),"CABUT",IF(AND(M10&lt;&gt;"",M10&lt;TODAY(),O10="Aktif"),"KEDALUWARSA",IF(AND(Q10&lt;&gt;"",Q10&lt;TODAY(),O10="Aktif"),"REVIEW","OK"))))</f>
        <v/>
      </c>
      <c r="S10" s="40" t="n"/>
    </row>
    <row r="11" ht="15" customHeight="1" s="24">
      <c r="A11" s="40" t="n"/>
      <c r="B11" s="40" t="n"/>
      <c r="C11" s="40" t="n"/>
      <c r="D11" s="40" t="n"/>
      <c r="E11" s="40" t="n"/>
      <c r="F11" s="40" t="n"/>
      <c r="G11" s="40" t="n"/>
      <c r="H11" s="41">
        <f>IF(G11="","",IF(OR(G11="Admin",G11="Privileged"),"Ya","Tidak"))</f>
        <v/>
      </c>
      <c r="I11" s="40" t="n"/>
      <c r="J11" s="40" t="n"/>
      <c r="K11" s="40" t="n"/>
      <c r="L11" s="42" t="n"/>
      <c r="M11" s="42" t="n"/>
      <c r="N11" s="42" t="n"/>
      <c r="O11" s="40" t="n"/>
      <c r="P11" s="42" t="n"/>
      <c r="Q11" s="43">
        <f>IF(P11="","",EDATE(P11,IF(H11="Ya",3,6)))</f>
        <v/>
      </c>
      <c r="R11" s="41">
        <f>IF(A11="","",IF(AND(D11="Keluar",O11="Aktif"),"CABUT",IF(AND(M11&lt;&gt;"",M11&lt;TODAY(),O11="Aktif"),"KEDALUWARSA",IF(AND(Q11&lt;&gt;"",Q11&lt;TODAY(),O11="Aktif"),"REVIEW","OK"))))</f>
        <v/>
      </c>
      <c r="S11" s="40" t="n"/>
    </row>
    <row r="12" ht="15" customHeight="1" s="24">
      <c r="A12" s="40" t="n"/>
      <c r="B12" s="40" t="n"/>
      <c r="C12" s="40" t="n"/>
      <c r="D12" s="40" t="n"/>
      <c r="E12" s="40" t="n"/>
      <c r="F12" s="40" t="n"/>
      <c r="G12" s="40" t="n"/>
      <c r="H12" s="41">
        <f>IF(G12="","",IF(OR(G12="Admin",G12="Privileged"),"Ya","Tidak"))</f>
        <v/>
      </c>
      <c r="I12" s="40" t="n"/>
      <c r="J12" s="40" t="n"/>
      <c r="K12" s="40" t="n"/>
      <c r="L12" s="42" t="n"/>
      <c r="M12" s="42" t="n"/>
      <c r="N12" s="42" t="n"/>
      <c r="O12" s="40" t="n"/>
      <c r="P12" s="42" t="n"/>
      <c r="Q12" s="43">
        <f>IF(P12="","",EDATE(P12,IF(H12="Ya",3,6)))</f>
        <v/>
      </c>
      <c r="R12" s="41">
        <f>IF(A12="","",IF(AND(D12="Keluar",O12="Aktif"),"CABUT",IF(AND(M12&lt;&gt;"",M12&lt;TODAY(),O12="Aktif"),"KEDALUWARSA",IF(AND(Q12&lt;&gt;"",Q12&lt;TODAY(),O12="Aktif"),"REVIEW","OK"))))</f>
        <v/>
      </c>
      <c r="S12" s="40" t="n"/>
    </row>
    <row r="13" ht="15" customHeight="1" s="24">
      <c r="A13" s="40" t="n"/>
      <c r="B13" s="40" t="n"/>
      <c r="C13" s="40" t="n"/>
      <c r="D13" s="40" t="n"/>
      <c r="E13" s="40" t="n"/>
      <c r="F13" s="40" t="n"/>
      <c r="G13" s="40" t="n"/>
      <c r="H13" s="41">
        <f>IF(G13="","",IF(OR(G13="Admin",G13="Privileged"),"Ya","Tidak"))</f>
        <v/>
      </c>
      <c r="I13" s="40" t="n"/>
      <c r="J13" s="40" t="n"/>
      <c r="K13" s="40" t="n"/>
      <c r="L13" s="42" t="n"/>
      <c r="M13" s="42" t="n"/>
      <c r="N13" s="42" t="n"/>
      <c r="O13" s="40" t="n"/>
      <c r="P13" s="42" t="n"/>
      <c r="Q13" s="43">
        <f>IF(P13="","",EDATE(P13,IF(H13="Ya",3,6)))</f>
        <v/>
      </c>
      <c r="R13" s="41">
        <f>IF(A13="","",IF(AND(D13="Keluar",O13="Aktif"),"CABUT",IF(AND(M13&lt;&gt;"",M13&lt;TODAY(),O13="Aktif"),"KEDALUWARSA",IF(AND(Q13&lt;&gt;"",Q13&lt;TODAY(),O13="Aktif"),"REVIEW","OK"))))</f>
        <v/>
      </c>
      <c r="S13" s="40" t="n"/>
    </row>
    <row r="14" ht="15" customHeight="1" s="24">
      <c r="A14" s="40" t="n"/>
      <c r="B14" s="40" t="n"/>
      <c r="C14" s="40" t="n"/>
      <c r="D14" s="40" t="n"/>
      <c r="E14" s="40" t="n"/>
      <c r="F14" s="40" t="n"/>
      <c r="G14" s="40" t="n"/>
      <c r="H14" s="41">
        <f>IF(G14="","",IF(OR(G14="Admin",G14="Privileged"),"Ya","Tidak"))</f>
        <v/>
      </c>
      <c r="I14" s="40" t="n"/>
      <c r="J14" s="40" t="n"/>
      <c r="K14" s="40" t="n"/>
      <c r="L14" s="42" t="n"/>
      <c r="M14" s="42" t="n"/>
      <c r="N14" s="42" t="n"/>
      <c r="O14" s="40" t="n"/>
      <c r="P14" s="42" t="n"/>
      <c r="Q14" s="43">
        <f>IF(P14="","",EDATE(P14,IF(H14="Ya",3,6)))</f>
        <v/>
      </c>
      <c r="R14" s="41">
        <f>IF(A14="","",IF(AND(D14="Keluar",O14="Aktif"),"CABUT",IF(AND(M14&lt;&gt;"",M14&lt;TODAY(),O14="Aktif"),"KEDALUWARSA",IF(AND(Q14&lt;&gt;"",Q14&lt;TODAY(),O14="Aktif"),"REVIEW","OK"))))</f>
        <v/>
      </c>
      <c r="S14" s="40" t="n"/>
    </row>
    <row r="15" ht="15" customHeight="1" s="24">
      <c r="A15" s="40" t="n"/>
      <c r="B15" s="40" t="n"/>
      <c r="C15" s="40" t="n"/>
      <c r="D15" s="40" t="n"/>
      <c r="E15" s="40" t="n"/>
      <c r="F15" s="40" t="n"/>
      <c r="G15" s="40" t="n"/>
      <c r="H15" s="41">
        <f>IF(G15="","",IF(OR(G15="Admin",G15="Privileged"),"Ya","Tidak"))</f>
        <v/>
      </c>
      <c r="I15" s="40" t="n"/>
      <c r="J15" s="40" t="n"/>
      <c r="K15" s="40" t="n"/>
      <c r="L15" s="42" t="n"/>
      <c r="M15" s="42" t="n"/>
      <c r="N15" s="42" t="n"/>
      <c r="O15" s="40" t="n"/>
      <c r="P15" s="42" t="n"/>
      <c r="Q15" s="43">
        <f>IF(P15="","",EDATE(P15,IF(H15="Ya",3,6)))</f>
        <v/>
      </c>
      <c r="R15" s="41">
        <f>IF(A15="","",IF(AND(D15="Keluar",O15="Aktif"),"CABUT",IF(AND(M15&lt;&gt;"",M15&lt;TODAY(),O15="Aktif"),"KEDALUWARSA",IF(AND(Q15&lt;&gt;"",Q15&lt;TODAY(),O15="Aktif"),"REVIEW","OK"))))</f>
        <v/>
      </c>
      <c r="S15" s="40" t="n"/>
    </row>
    <row r="16" ht="15" customHeight="1" s="24">
      <c r="A16" s="40" t="n"/>
      <c r="B16" s="40" t="n"/>
      <c r="C16" s="40" t="n"/>
      <c r="D16" s="40" t="n"/>
      <c r="E16" s="40" t="n"/>
      <c r="F16" s="40" t="n"/>
      <c r="G16" s="40" t="n"/>
      <c r="H16" s="41">
        <f>IF(G16="","",IF(OR(G16="Admin",G16="Privileged"),"Ya","Tidak"))</f>
        <v/>
      </c>
      <c r="I16" s="40" t="n"/>
      <c r="J16" s="40" t="n"/>
      <c r="K16" s="40" t="n"/>
      <c r="L16" s="42" t="n"/>
      <c r="M16" s="42" t="n"/>
      <c r="N16" s="42" t="n"/>
      <c r="O16" s="40" t="n"/>
      <c r="P16" s="42" t="n"/>
      <c r="Q16" s="43">
        <f>IF(P16="","",EDATE(P16,IF(H16="Ya",3,6)))</f>
        <v/>
      </c>
      <c r="R16" s="41">
        <f>IF(A16="","",IF(AND(D16="Keluar",O16="Aktif"),"CABUT",IF(AND(M16&lt;&gt;"",M16&lt;TODAY(),O16="Aktif"),"KEDALUWARSA",IF(AND(Q16&lt;&gt;"",Q16&lt;TODAY(),O16="Aktif"),"REVIEW","OK"))))</f>
        <v/>
      </c>
      <c r="S16" s="40" t="n"/>
    </row>
    <row r="17" ht="15" customHeight="1" s="24">
      <c r="A17" s="40" t="n"/>
      <c r="B17" s="40" t="n"/>
      <c r="C17" s="40" t="n"/>
      <c r="D17" s="40" t="n"/>
      <c r="E17" s="40" t="n"/>
      <c r="F17" s="40" t="n"/>
      <c r="G17" s="40" t="n"/>
      <c r="H17" s="41">
        <f>IF(G17="","",IF(OR(G17="Admin",G17="Privileged"),"Ya","Tidak"))</f>
        <v/>
      </c>
      <c r="I17" s="40" t="n"/>
      <c r="J17" s="40" t="n"/>
      <c r="K17" s="40" t="n"/>
      <c r="L17" s="42" t="n"/>
      <c r="M17" s="42" t="n"/>
      <c r="N17" s="42" t="n"/>
      <c r="O17" s="40" t="n"/>
      <c r="P17" s="42" t="n"/>
      <c r="Q17" s="43">
        <f>IF(P17="","",EDATE(P17,IF(H17="Ya",3,6)))</f>
        <v/>
      </c>
      <c r="R17" s="41">
        <f>IF(A17="","",IF(AND(D17="Keluar",O17="Aktif"),"CABUT",IF(AND(M17&lt;&gt;"",M17&lt;TODAY(),O17="Aktif"),"KEDALUWARSA",IF(AND(Q17&lt;&gt;"",Q17&lt;TODAY(),O17="Aktif"),"REVIEW","OK"))))</f>
        <v/>
      </c>
      <c r="S17" s="40" t="n"/>
    </row>
    <row r="18" ht="15" customHeight="1" s="24">
      <c r="A18" s="40" t="n"/>
      <c r="B18" s="40" t="n"/>
      <c r="C18" s="40" t="n"/>
      <c r="D18" s="40" t="n"/>
      <c r="E18" s="40" t="n"/>
      <c r="F18" s="40" t="n"/>
      <c r="G18" s="40" t="n"/>
      <c r="H18" s="41">
        <f>IF(G18="","",IF(OR(G18="Admin",G18="Privileged"),"Ya","Tidak"))</f>
        <v/>
      </c>
      <c r="I18" s="40" t="n"/>
      <c r="J18" s="40" t="n"/>
      <c r="K18" s="40" t="n"/>
      <c r="L18" s="42" t="n"/>
      <c r="M18" s="42" t="n"/>
      <c r="N18" s="42" t="n"/>
      <c r="O18" s="40" t="n"/>
      <c r="P18" s="42" t="n"/>
      <c r="Q18" s="43">
        <f>IF(P18="","",EDATE(P18,IF(H18="Ya",3,6)))</f>
        <v/>
      </c>
      <c r="R18" s="41">
        <f>IF(A18="","",IF(AND(D18="Keluar",O18="Aktif"),"CABUT",IF(AND(M18&lt;&gt;"",M18&lt;TODAY(),O18="Aktif"),"KEDALUWARSA",IF(AND(Q18&lt;&gt;"",Q18&lt;TODAY(),O18="Aktif"),"REVIEW","OK"))))</f>
        <v/>
      </c>
      <c r="S18" s="40" t="n"/>
    </row>
    <row r="19" ht="15" customHeight="1" s="24">
      <c r="A19" s="40" t="n"/>
      <c r="B19" s="40" t="n"/>
      <c r="C19" s="40" t="n"/>
      <c r="D19" s="40" t="n"/>
      <c r="E19" s="40" t="n"/>
      <c r="F19" s="40" t="n"/>
      <c r="G19" s="40" t="n"/>
      <c r="H19" s="41">
        <f>IF(G19="","",IF(OR(G19="Admin",G19="Privileged"),"Ya","Tidak"))</f>
        <v/>
      </c>
      <c r="I19" s="40" t="n"/>
      <c r="J19" s="40" t="n"/>
      <c r="K19" s="40" t="n"/>
      <c r="L19" s="42" t="n"/>
      <c r="M19" s="42" t="n"/>
      <c r="N19" s="42" t="n"/>
      <c r="O19" s="40" t="n"/>
      <c r="P19" s="42" t="n"/>
      <c r="Q19" s="43">
        <f>IF(P19="","",EDATE(P19,IF(H19="Ya",3,6)))</f>
        <v/>
      </c>
      <c r="R19" s="41">
        <f>IF(A19="","",IF(AND(D19="Keluar",O19="Aktif"),"CABUT",IF(AND(M19&lt;&gt;"",M19&lt;TODAY(),O19="Aktif"),"KEDALUWARSA",IF(AND(Q19&lt;&gt;"",Q19&lt;TODAY(),O19="Aktif"),"REVIEW","OK"))))</f>
        <v/>
      </c>
      <c r="S19" s="40" t="n"/>
    </row>
    <row r="20" ht="15" customHeight="1" s="24">
      <c r="A20" s="40" t="n"/>
      <c r="B20" s="40" t="n"/>
      <c r="C20" s="40" t="n"/>
      <c r="D20" s="40" t="n"/>
      <c r="E20" s="40" t="n"/>
      <c r="F20" s="40" t="n"/>
      <c r="G20" s="40" t="n"/>
      <c r="H20" s="41">
        <f>IF(G20="","",IF(OR(G20="Admin",G20="Privileged"),"Ya","Tidak"))</f>
        <v/>
      </c>
      <c r="I20" s="40" t="n"/>
      <c r="J20" s="40" t="n"/>
      <c r="K20" s="40" t="n"/>
      <c r="L20" s="42" t="n"/>
      <c r="M20" s="42" t="n"/>
      <c r="N20" s="42" t="n"/>
      <c r="O20" s="40" t="n"/>
      <c r="P20" s="42" t="n"/>
      <c r="Q20" s="43">
        <f>IF(P20="","",EDATE(P20,IF(H20="Ya",3,6)))</f>
        <v/>
      </c>
      <c r="R20" s="41">
        <f>IF(A20="","",IF(AND(D20="Keluar",O20="Aktif"),"CABUT",IF(AND(M20&lt;&gt;"",M20&lt;TODAY(),O20="Aktif"),"KEDALUWARSA",IF(AND(Q20&lt;&gt;"",Q20&lt;TODAY(),O20="Aktif"),"REVIEW","OK"))))</f>
        <v/>
      </c>
      <c r="S20" s="40" t="n"/>
    </row>
    <row r="21" ht="15" customHeight="1" s="24">
      <c r="A21" s="40" t="n"/>
      <c r="B21" s="40" t="n"/>
      <c r="C21" s="40" t="n"/>
      <c r="D21" s="40" t="n"/>
      <c r="E21" s="40" t="n"/>
      <c r="F21" s="40" t="n"/>
      <c r="G21" s="40" t="n"/>
      <c r="H21" s="41">
        <f>IF(G21="","",IF(OR(G21="Admin",G21="Privileged"),"Ya","Tidak"))</f>
        <v/>
      </c>
      <c r="I21" s="40" t="n"/>
      <c r="J21" s="40" t="n"/>
      <c r="K21" s="40" t="n"/>
      <c r="L21" s="42" t="n"/>
      <c r="M21" s="42" t="n"/>
      <c r="N21" s="42" t="n"/>
      <c r="O21" s="40" t="n"/>
      <c r="P21" s="42" t="n"/>
      <c r="Q21" s="43">
        <f>IF(P21="","",EDATE(P21,IF(H21="Ya",3,6)))</f>
        <v/>
      </c>
      <c r="R21" s="41">
        <f>IF(A21="","",IF(AND(D21="Keluar",O21="Aktif"),"CABUT",IF(AND(M21&lt;&gt;"",M21&lt;TODAY(),O21="Aktif"),"KEDALUWARSA",IF(AND(Q21&lt;&gt;"",Q21&lt;TODAY(),O21="Aktif"),"REVIEW","OK"))))</f>
        <v/>
      </c>
      <c r="S21" s="40" t="n"/>
    </row>
    <row r="22" ht="15" customHeight="1" s="24">
      <c r="A22" s="40" t="n"/>
      <c r="B22" s="40" t="n"/>
      <c r="C22" s="40" t="n"/>
      <c r="D22" s="40" t="n"/>
      <c r="E22" s="40" t="n"/>
      <c r="F22" s="40" t="n"/>
      <c r="G22" s="40" t="n"/>
      <c r="H22" s="41">
        <f>IF(G22="","",IF(OR(G22="Admin",G22="Privileged"),"Ya","Tidak"))</f>
        <v/>
      </c>
      <c r="I22" s="40" t="n"/>
      <c r="J22" s="40" t="n"/>
      <c r="K22" s="40" t="n"/>
      <c r="L22" s="42" t="n"/>
      <c r="M22" s="42" t="n"/>
      <c r="N22" s="42" t="n"/>
      <c r="O22" s="40" t="n"/>
      <c r="P22" s="42" t="n"/>
      <c r="Q22" s="43">
        <f>IF(P22="","",EDATE(P22,IF(H22="Ya",3,6)))</f>
        <v/>
      </c>
      <c r="R22" s="41">
        <f>IF(A22="","",IF(AND(D22="Keluar",O22="Aktif"),"CABUT",IF(AND(M22&lt;&gt;"",M22&lt;TODAY(),O22="Aktif"),"KEDALUWARSA",IF(AND(Q22&lt;&gt;"",Q22&lt;TODAY(),O22="Aktif"),"REVIEW","OK"))))</f>
        <v/>
      </c>
      <c r="S22" s="40" t="n"/>
    </row>
    <row r="23" ht="15" customHeight="1" s="24">
      <c r="A23" s="40" t="n"/>
      <c r="B23" s="40" t="n"/>
      <c r="C23" s="40" t="n"/>
      <c r="D23" s="40" t="n"/>
      <c r="E23" s="40" t="n"/>
      <c r="F23" s="40" t="n"/>
      <c r="G23" s="40" t="n"/>
      <c r="H23" s="41">
        <f>IF(G23="","",IF(OR(G23="Admin",G23="Privileged"),"Ya","Tidak"))</f>
        <v/>
      </c>
      <c r="I23" s="40" t="n"/>
      <c r="J23" s="40" t="n"/>
      <c r="K23" s="40" t="n"/>
      <c r="L23" s="42" t="n"/>
      <c r="M23" s="42" t="n"/>
      <c r="N23" s="42" t="n"/>
      <c r="O23" s="40" t="n"/>
      <c r="P23" s="42" t="n"/>
      <c r="Q23" s="43">
        <f>IF(P23="","",EDATE(P23,IF(H23="Ya",3,6)))</f>
        <v/>
      </c>
      <c r="R23" s="41">
        <f>IF(A23="","",IF(AND(D23="Keluar",O23="Aktif"),"CABUT",IF(AND(M23&lt;&gt;"",M23&lt;TODAY(),O23="Aktif"),"KEDALUWARSA",IF(AND(Q23&lt;&gt;"",Q23&lt;TODAY(),O23="Aktif"),"REVIEW","OK"))))</f>
        <v/>
      </c>
      <c r="S23" s="40" t="n"/>
    </row>
    <row r="24" ht="15" customHeight="1" s="24">
      <c r="A24" s="40" t="n"/>
      <c r="B24" s="40" t="n"/>
      <c r="C24" s="40" t="n"/>
      <c r="D24" s="40" t="n"/>
      <c r="E24" s="40" t="n"/>
      <c r="F24" s="40" t="n"/>
      <c r="G24" s="40" t="n"/>
      <c r="H24" s="41">
        <f>IF(G24="","",IF(OR(G24="Admin",G24="Privileged"),"Ya","Tidak"))</f>
        <v/>
      </c>
      <c r="I24" s="40" t="n"/>
      <c r="J24" s="40" t="n"/>
      <c r="K24" s="40" t="n"/>
      <c r="L24" s="42" t="n"/>
      <c r="M24" s="42" t="n"/>
      <c r="N24" s="42" t="n"/>
      <c r="O24" s="40" t="n"/>
      <c r="P24" s="42" t="n"/>
      <c r="Q24" s="43">
        <f>IF(P24="","",EDATE(P24,IF(H24="Ya",3,6)))</f>
        <v/>
      </c>
      <c r="R24" s="41">
        <f>IF(A24="","",IF(AND(D24="Keluar",O24="Aktif"),"CABUT",IF(AND(M24&lt;&gt;"",M24&lt;TODAY(),O24="Aktif"),"KEDALUWARSA",IF(AND(Q24&lt;&gt;"",Q24&lt;TODAY(),O24="Aktif"),"REVIEW","OK"))))</f>
        <v/>
      </c>
      <c r="S24" s="40" t="n"/>
    </row>
    <row r="25" ht="15" customHeight="1" s="24">
      <c r="A25" s="40" t="n"/>
      <c r="B25" s="40" t="n"/>
      <c r="C25" s="40" t="n"/>
      <c r="D25" s="40" t="n"/>
      <c r="E25" s="40" t="n"/>
      <c r="F25" s="40" t="n"/>
      <c r="G25" s="40" t="n"/>
      <c r="H25" s="41">
        <f>IF(G25="","",IF(OR(G25="Admin",G25="Privileged"),"Ya","Tidak"))</f>
        <v/>
      </c>
      <c r="I25" s="40" t="n"/>
      <c r="J25" s="40" t="n"/>
      <c r="K25" s="40" t="n"/>
      <c r="L25" s="42" t="n"/>
      <c r="M25" s="42" t="n"/>
      <c r="N25" s="42" t="n"/>
      <c r="O25" s="40" t="n"/>
      <c r="P25" s="42" t="n"/>
      <c r="Q25" s="43">
        <f>IF(P25="","",EDATE(P25,IF(H25="Ya",3,6)))</f>
        <v/>
      </c>
      <c r="R25" s="41">
        <f>IF(A25="","",IF(AND(D25="Keluar",O25="Aktif"),"CABUT",IF(AND(M25&lt;&gt;"",M25&lt;TODAY(),O25="Aktif"),"KEDALUWARSA",IF(AND(Q25&lt;&gt;"",Q25&lt;TODAY(),O25="Aktif"),"REVIEW","OK"))))</f>
        <v/>
      </c>
      <c r="S25" s="40" t="n"/>
    </row>
    <row r="26" ht="15" customHeight="1" s="24">
      <c r="A26" s="40" t="n"/>
      <c r="B26" s="40" t="n"/>
      <c r="C26" s="40" t="n"/>
      <c r="D26" s="40" t="n"/>
      <c r="E26" s="40" t="n"/>
      <c r="F26" s="40" t="n"/>
      <c r="G26" s="40" t="n"/>
      <c r="H26" s="41">
        <f>IF(G26="","",IF(OR(G26="Admin",G26="Privileged"),"Ya","Tidak"))</f>
        <v/>
      </c>
      <c r="I26" s="40" t="n"/>
      <c r="J26" s="40" t="n"/>
      <c r="K26" s="40" t="n"/>
      <c r="L26" s="42" t="n"/>
      <c r="M26" s="42" t="n"/>
      <c r="N26" s="42" t="n"/>
      <c r="O26" s="40" t="n"/>
      <c r="P26" s="42" t="n"/>
      <c r="Q26" s="43">
        <f>IF(P26="","",EDATE(P26,IF(H26="Ya",3,6)))</f>
        <v/>
      </c>
      <c r="R26" s="41">
        <f>IF(A26="","",IF(AND(D26="Keluar",O26="Aktif"),"CABUT",IF(AND(M26&lt;&gt;"",M26&lt;TODAY(),O26="Aktif"),"KEDALUWARSA",IF(AND(Q26&lt;&gt;"",Q26&lt;TODAY(),O26="Aktif"),"REVIEW","OK"))))</f>
        <v/>
      </c>
      <c r="S26" s="40" t="n"/>
    </row>
    <row r="27" ht="15" customHeight="1" s="24">
      <c r="A27" s="40" t="n"/>
      <c r="B27" s="40" t="n"/>
      <c r="C27" s="40" t="n"/>
      <c r="D27" s="40" t="n"/>
      <c r="E27" s="40" t="n"/>
      <c r="F27" s="40" t="n"/>
      <c r="G27" s="40" t="n"/>
      <c r="H27" s="41">
        <f>IF(G27="","",IF(OR(G27="Admin",G27="Privileged"),"Ya","Tidak"))</f>
        <v/>
      </c>
      <c r="I27" s="40" t="n"/>
      <c r="J27" s="40" t="n"/>
      <c r="K27" s="40" t="n"/>
      <c r="L27" s="42" t="n"/>
      <c r="M27" s="42" t="n"/>
      <c r="N27" s="42" t="n"/>
      <c r="O27" s="40" t="n"/>
      <c r="P27" s="42" t="n"/>
      <c r="Q27" s="43">
        <f>IF(P27="","",EDATE(P27,IF(H27="Ya",3,6)))</f>
        <v/>
      </c>
      <c r="R27" s="41">
        <f>IF(A27="","",IF(AND(D27="Keluar",O27="Aktif"),"CABUT",IF(AND(M27&lt;&gt;"",M27&lt;TODAY(),O27="Aktif"),"KEDALUWARSA",IF(AND(Q27&lt;&gt;"",Q27&lt;TODAY(),O27="Aktif"),"REVIEW","OK"))))</f>
        <v/>
      </c>
      <c r="S27" s="40" t="n"/>
    </row>
    <row r="28" ht="15" customHeight="1" s="24">
      <c r="A28" s="40" t="n"/>
      <c r="B28" s="40" t="n"/>
      <c r="C28" s="40" t="n"/>
      <c r="D28" s="40" t="n"/>
      <c r="E28" s="40" t="n"/>
      <c r="F28" s="40" t="n"/>
      <c r="G28" s="40" t="n"/>
      <c r="H28" s="41">
        <f>IF(G28="","",IF(OR(G28="Admin",G28="Privileged"),"Ya","Tidak"))</f>
        <v/>
      </c>
      <c r="I28" s="40" t="n"/>
      <c r="J28" s="40" t="n"/>
      <c r="K28" s="40" t="n"/>
      <c r="L28" s="42" t="n"/>
      <c r="M28" s="42" t="n"/>
      <c r="N28" s="42" t="n"/>
      <c r="O28" s="40" t="n"/>
      <c r="P28" s="42" t="n"/>
      <c r="Q28" s="43">
        <f>IF(P28="","",EDATE(P28,IF(H28="Ya",3,6)))</f>
        <v/>
      </c>
      <c r="R28" s="41">
        <f>IF(A28="","",IF(AND(D28="Keluar",O28="Aktif"),"CABUT",IF(AND(M28&lt;&gt;"",M28&lt;TODAY(),O28="Aktif"),"KEDALUWARSA",IF(AND(Q28&lt;&gt;"",Q28&lt;TODAY(),O28="Aktif"),"REVIEW","OK"))))</f>
        <v/>
      </c>
      <c r="S28" s="40" t="n"/>
    </row>
    <row r="29" ht="15" customHeight="1" s="24">
      <c r="A29" s="40" t="n"/>
      <c r="B29" s="40" t="n"/>
      <c r="C29" s="40" t="n"/>
      <c r="D29" s="40" t="n"/>
      <c r="E29" s="40" t="n"/>
      <c r="F29" s="40" t="n"/>
      <c r="G29" s="40" t="n"/>
      <c r="H29" s="41">
        <f>IF(G29="","",IF(OR(G29="Admin",G29="Privileged"),"Ya","Tidak"))</f>
        <v/>
      </c>
      <c r="I29" s="40" t="n"/>
      <c r="J29" s="40" t="n"/>
      <c r="K29" s="40" t="n"/>
      <c r="L29" s="42" t="n"/>
      <c r="M29" s="42" t="n"/>
      <c r="N29" s="42" t="n"/>
      <c r="O29" s="40" t="n"/>
      <c r="P29" s="42" t="n"/>
      <c r="Q29" s="43">
        <f>IF(P29="","",EDATE(P29,IF(H29="Ya",3,6)))</f>
        <v/>
      </c>
      <c r="R29" s="41">
        <f>IF(A29="","",IF(AND(D29="Keluar",O29="Aktif"),"CABUT",IF(AND(M29&lt;&gt;"",M29&lt;TODAY(),O29="Aktif"),"KEDALUWARSA",IF(AND(Q29&lt;&gt;"",Q29&lt;TODAY(),O29="Aktif"),"REVIEW","OK"))))</f>
        <v/>
      </c>
      <c r="S29" s="40" t="n"/>
    </row>
    <row r="30" ht="15" customHeight="1" s="24">
      <c r="A30" s="40" t="n"/>
      <c r="B30" s="40" t="n"/>
      <c r="C30" s="40" t="n"/>
      <c r="D30" s="40" t="n"/>
      <c r="E30" s="40" t="n"/>
      <c r="F30" s="40" t="n"/>
      <c r="G30" s="40" t="n"/>
      <c r="H30" s="41">
        <f>IF(G30="","",IF(OR(G30="Admin",G30="Privileged"),"Ya","Tidak"))</f>
        <v/>
      </c>
      <c r="I30" s="40" t="n"/>
      <c r="J30" s="40" t="n"/>
      <c r="K30" s="40" t="n"/>
      <c r="L30" s="42" t="n"/>
      <c r="M30" s="42" t="n"/>
      <c r="N30" s="42" t="n"/>
      <c r="O30" s="40" t="n"/>
      <c r="P30" s="42" t="n"/>
      <c r="Q30" s="43">
        <f>IF(P30="","",EDATE(P30,IF(H30="Ya",3,6)))</f>
        <v/>
      </c>
      <c r="R30" s="41">
        <f>IF(A30="","",IF(AND(D30="Keluar",O30="Aktif"),"CABUT",IF(AND(M30&lt;&gt;"",M30&lt;TODAY(),O30="Aktif"),"KEDALUWARSA",IF(AND(Q30&lt;&gt;"",Q30&lt;TODAY(),O30="Aktif"),"REVIEW","OK"))))</f>
        <v/>
      </c>
      <c r="S30" s="40" t="n"/>
    </row>
    <row r="31" ht="15" customHeight="1" s="24">
      <c r="A31" s="40" t="n"/>
      <c r="B31" s="40" t="n"/>
      <c r="C31" s="40" t="n"/>
      <c r="D31" s="40" t="n"/>
      <c r="E31" s="40" t="n"/>
      <c r="F31" s="40" t="n"/>
      <c r="G31" s="40" t="n"/>
      <c r="H31" s="41">
        <f>IF(G31="","",IF(OR(G31="Admin",G31="Privileged"),"Ya","Tidak"))</f>
        <v/>
      </c>
      <c r="I31" s="40" t="n"/>
      <c r="J31" s="40" t="n"/>
      <c r="K31" s="40" t="n"/>
      <c r="L31" s="42" t="n"/>
      <c r="M31" s="42" t="n"/>
      <c r="N31" s="42" t="n"/>
      <c r="O31" s="40" t="n"/>
      <c r="P31" s="42" t="n"/>
      <c r="Q31" s="43">
        <f>IF(P31="","",EDATE(P31,IF(H31="Ya",3,6)))</f>
        <v/>
      </c>
      <c r="R31" s="41">
        <f>IF(A31="","",IF(AND(D31="Keluar",O31="Aktif"),"CABUT",IF(AND(M31&lt;&gt;"",M31&lt;TODAY(),O31="Aktif"),"KEDALUWARSA",IF(AND(Q31&lt;&gt;"",Q31&lt;TODAY(),O31="Aktif"),"REVIEW","OK"))))</f>
        <v/>
      </c>
      <c r="S31" s="40" t="n"/>
    </row>
    <row r="32" ht="15" customHeight="1" s="24">
      <c r="A32" s="40" t="n"/>
      <c r="B32" s="40" t="n"/>
      <c r="C32" s="40" t="n"/>
      <c r="D32" s="40" t="n"/>
      <c r="E32" s="40" t="n"/>
      <c r="F32" s="40" t="n"/>
      <c r="G32" s="40" t="n"/>
      <c r="H32" s="41">
        <f>IF(G32="","",IF(OR(G32="Admin",G32="Privileged"),"Ya","Tidak"))</f>
        <v/>
      </c>
      <c r="I32" s="40" t="n"/>
      <c r="J32" s="40" t="n"/>
      <c r="K32" s="40" t="n"/>
      <c r="L32" s="42" t="n"/>
      <c r="M32" s="42" t="n"/>
      <c r="N32" s="42" t="n"/>
      <c r="O32" s="40" t="n"/>
      <c r="P32" s="42" t="n"/>
      <c r="Q32" s="43">
        <f>IF(P32="","",EDATE(P32,IF(H32="Ya",3,6)))</f>
        <v/>
      </c>
      <c r="R32" s="41">
        <f>IF(A32="","",IF(AND(D32="Keluar",O32="Aktif"),"CABUT",IF(AND(M32&lt;&gt;"",M32&lt;TODAY(),O32="Aktif"),"KEDALUWARSA",IF(AND(Q32&lt;&gt;"",Q32&lt;TODAY(),O32="Aktif"),"REVIEW","OK"))))</f>
        <v/>
      </c>
      <c r="S32" s="40" t="n"/>
    </row>
    <row r="33" ht="15" customHeight="1" s="24">
      <c r="A33" s="40" t="n"/>
      <c r="B33" s="40" t="n"/>
      <c r="C33" s="40" t="n"/>
      <c r="D33" s="40" t="n"/>
      <c r="E33" s="40" t="n"/>
      <c r="F33" s="40" t="n"/>
      <c r="G33" s="40" t="n"/>
      <c r="H33" s="41">
        <f>IF(G33="","",IF(OR(G33="Admin",G33="Privileged"),"Ya","Tidak"))</f>
        <v/>
      </c>
      <c r="I33" s="40" t="n"/>
      <c r="J33" s="40" t="n"/>
      <c r="K33" s="40" t="n"/>
      <c r="L33" s="42" t="n"/>
      <c r="M33" s="42" t="n"/>
      <c r="N33" s="42" t="n"/>
      <c r="O33" s="40" t="n"/>
      <c r="P33" s="42" t="n"/>
      <c r="Q33" s="43">
        <f>IF(P33="","",EDATE(P33,IF(H33="Ya",3,6)))</f>
        <v/>
      </c>
      <c r="R33" s="41">
        <f>IF(A33="","",IF(AND(D33="Keluar",O33="Aktif"),"CABUT",IF(AND(M33&lt;&gt;"",M33&lt;TODAY(),O33="Aktif"),"KEDALUWARSA",IF(AND(Q33&lt;&gt;"",Q33&lt;TODAY(),O33="Aktif"),"REVIEW","OK"))))</f>
        <v/>
      </c>
      <c r="S33" s="40" t="n"/>
    </row>
    <row r="34" ht="15" customHeight="1" s="24">
      <c r="A34" s="40" t="n"/>
      <c r="B34" s="40" t="n"/>
      <c r="C34" s="40" t="n"/>
      <c r="D34" s="40" t="n"/>
      <c r="E34" s="40" t="n"/>
      <c r="F34" s="40" t="n"/>
      <c r="G34" s="40" t="n"/>
      <c r="H34" s="41">
        <f>IF(G34="","",IF(OR(G34="Admin",G34="Privileged"),"Ya","Tidak"))</f>
        <v/>
      </c>
      <c r="I34" s="40" t="n"/>
      <c r="J34" s="40" t="n"/>
      <c r="K34" s="40" t="n"/>
      <c r="L34" s="42" t="n"/>
      <c r="M34" s="42" t="n"/>
      <c r="N34" s="42" t="n"/>
      <c r="O34" s="40" t="n"/>
      <c r="P34" s="42" t="n"/>
      <c r="Q34" s="43">
        <f>IF(P34="","",EDATE(P34,IF(H34="Ya",3,6)))</f>
        <v/>
      </c>
      <c r="R34" s="41">
        <f>IF(A34="","",IF(AND(D34="Keluar",O34="Aktif"),"CABUT",IF(AND(M34&lt;&gt;"",M34&lt;TODAY(),O34="Aktif"),"KEDALUWARSA",IF(AND(Q34&lt;&gt;"",Q34&lt;TODAY(),O34="Aktif"),"REVIEW","OK"))))</f>
        <v/>
      </c>
      <c r="S34" s="40" t="n"/>
    </row>
    <row r="35" ht="15" customHeight="1" s="24">
      <c r="A35" s="40" t="n"/>
      <c r="B35" s="40" t="n"/>
      <c r="C35" s="40" t="n"/>
      <c r="D35" s="40" t="n"/>
      <c r="E35" s="40" t="n"/>
      <c r="F35" s="40" t="n"/>
      <c r="G35" s="40" t="n"/>
      <c r="H35" s="41">
        <f>IF(G35="","",IF(OR(G35="Admin",G35="Privileged"),"Ya","Tidak"))</f>
        <v/>
      </c>
      <c r="I35" s="40" t="n"/>
      <c r="J35" s="40" t="n"/>
      <c r="K35" s="40" t="n"/>
      <c r="L35" s="42" t="n"/>
      <c r="M35" s="42" t="n"/>
      <c r="N35" s="42" t="n"/>
      <c r="O35" s="40" t="n"/>
      <c r="P35" s="42" t="n"/>
      <c r="Q35" s="43">
        <f>IF(P35="","",EDATE(P35,IF(H35="Ya",3,6)))</f>
        <v/>
      </c>
      <c r="R35" s="41">
        <f>IF(A35="","",IF(AND(D35="Keluar",O35="Aktif"),"CABUT",IF(AND(M35&lt;&gt;"",M35&lt;TODAY(),O35="Aktif"),"KEDALUWARSA",IF(AND(Q35&lt;&gt;"",Q35&lt;TODAY(),O35="Aktif"),"REVIEW","OK"))))</f>
        <v/>
      </c>
      <c r="S35" s="40" t="n"/>
    </row>
    <row r="36" ht="15" customHeight="1" s="24">
      <c r="A36" s="40" t="n"/>
      <c r="B36" s="40" t="n"/>
      <c r="C36" s="40" t="n"/>
      <c r="D36" s="40" t="n"/>
      <c r="E36" s="40" t="n"/>
      <c r="F36" s="40" t="n"/>
      <c r="G36" s="40" t="n"/>
      <c r="H36" s="41">
        <f>IF(G36="","",IF(OR(G36="Admin",G36="Privileged"),"Ya","Tidak"))</f>
        <v/>
      </c>
      <c r="I36" s="40" t="n"/>
      <c r="J36" s="40" t="n"/>
      <c r="K36" s="40" t="n"/>
      <c r="L36" s="42" t="n"/>
      <c r="M36" s="42" t="n"/>
      <c r="N36" s="42" t="n"/>
      <c r="O36" s="40" t="n"/>
      <c r="P36" s="42" t="n"/>
      <c r="Q36" s="43">
        <f>IF(P36="","",EDATE(P36,IF(H36="Ya",3,6)))</f>
        <v/>
      </c>
      <c r="R36" s="41">
        <f>IF(A36="","",IF(AND(D36="Keluar",O36="Aktif"),"CABUT",IF(AND(M36&lt;&gt;"",M36&lt;TODAY(),O36="Aktif"),"KEDALUWARSA",IF(AND(Q36&lt;&gt;"",Q36&lt;TODAY(),O36="Aktif"),"REVIEW","OK"))))</f>
        <v/>
      </c>
      <c r="S36" s="40" t="n"/>
    </row>
    <row r="37" ht="15" customHeight="1" s="24">
      <c r="A37" s="40" t="n"/>
      <c r="B37" s="40" t="n"/>
      <c r="C37" s="40" t="n"/>
      <c r="D37" s="40" t="n"/>
      <c r="E37" s="40" t="n"/>
      <c r="F37" s="40" t="n"/>
      <c r="G37" s="40" t="n"/>
      <c r="H37" s="41">
        <f>IF(G37="","",IF(OR(G37="Admin",G37="Privileged"),"Ya","Tidak"))</f>
        <v/>
      </c>
      <c r="I37" s="40" t="n"/>
      <c r="J37" s="40" t="n"/>
      <c r="K37" s="40" t="n"/>
      <c r="L37" s="42" t="n"/>
      <c r="M37" s="42" t="n"/>
      <c r="N37" s="42" t="n"/>
      <c r="O37" s="40" t="n"/>
      <c r="P37" s="42" t="n"/>
      <c r="Q37" s="43">
        <f>IF(P37="","",EDATE(P37,IF(H37="Ya",3,6)))</f>
        <v/>
      </c>
      <c r="R37" s="41">
        <f>IF(A37="","",IF(AND(D37="Keluar",O37="Aktif"),"CABUT",IF(AND(M37&lt;&gt;"",M37&lt;TODAY(),O37="Aktif"),"KEDALUWARSA",IF(AND(Q37&lt;&gt;"",Q37&lt;TODAY(),O37="Aktif"),"REVIEW","OK"))))</f>
        <v/>
      </c>
      <c r="S37" s="40" t="n"/>
    </row>
    <row r="38" ht="15" customHeight="1" s="24">
      <c r="A38" s="40" t="n"/>
      <c r="B38" s="40" t="n"/>
      <c r="C38" s="40" t="n"/>
      <c r="D38" s="40" t="n"/>
      <c r="E38" s="40" t="n"/>
      <c r="F38" s="40" t="n"/>
      <c r="G38" s="40" t="n"/>
      <c r="H38" s="41">
        <f>IF(G38="","",IF(OR(G38="Admin",G38="Privileged"),"Ya","Tidak"))</f>
        <v/>
      </c>
      <c r="I38" s="40" t="n"/>
      <c r="J38" s="40" t="n"/>
      <c r="K38" s="40" t="n"/>
      <c r="L38" s="42" t="n"/>
      <c r="M38" s="42" t="n"/>
      <c r="N38" s="42" t="n"/>
      <c r="O38" s="40" t="n"/>
      <c r="P38" s="42" t="n"/>
      <c r="Q38" s="43">
        <f>IF(P38="","",EDATE(P38,IF(H38="Ya",3,6)))</f>
        <v/>
      </c>
      <c r="R38" s="41">
        <f>IF(A38="","",IF(AND(D38="Keluar",O38="Aktif"),"CABUT",IF(AND(M38&lt;&gt;"",M38&lt;TODAY(),O38="Aktif"),"KEDALUWARSA",IF(AND(Q38&lt;&gt;"",Q38&lt;TODAY(),O38="Aktif"),"REVIEW","OK"))))</f>
        <v/>
      </c>
      <c r="S38" s="40" t="n"/>
    </row>
    <row r="39" ht="15" customHeight="1" s="24">
      <c r="A39" s="40" t="n"/>
      <c r="B39" s="40" t="n"/>
      <c r="C39" s="40" t="n"/>
      <c r="D39" s="40" t="n"/>
      <c r="E39" s="40" t="n"/>
      <c r="F39" s="40" t="n"/>
      <c r="G39" s="40" t="n"/>
      <c r="H39" s="41">
        <f>IF(G39="","",IF(OR(G39="Admin",G39="Privileged"),"Ya","Tidak"))</f>
        <v/>
      </c>
      <c r="I39" s="40" t="n"/>
      <c r="J39" s="40" t="n"/>
      <c r="K39" s="40" t="n"/>
      <c r="L39" s="42" t="n"/>
      <c r="M39" s="42" t="n"/>
      <c r="N39" s="42" t="n"/>
      <c r="O39" s="40" t="n"/>
      <c r="P39" s="42" t="n"/>
      <c r="Q39" s="43">
        <f>IF(P39="","",EDATE(P39,IF(H39="Ya",3,6)))</f>
        <v/>
      </c>
      <c r="R39" s="41">
        <f>IF(A39="","",IF(AND(D39="Keluar",O39="Aktif"),"CABUT",IF(AND(M39&lt;&gt;"",M39&lt;TODAY(),O39="Aktif"),"KEDALUWARSA",IF(AND(Q39&lt;&gt;"",Q39&lt;TODAY(),O39="Aktif"),"REVIEW","OK"))))</f>
        <v/>
      </c>
      <c r="S39" s="40" t="n"/>
    </row>
    <row r="40" ht="15" customHeight="1" s="24">
      <c r="A40" s="40" t="n"/>
      <c r="B40" s="40" t="n"/>
      <c r="C40" s="40" t="n"/>
      <c r="D40" s="40" t="n"/>
      <c r="E40" s="40" t="n"/>
      <c r="F40" s="40" t="n"/>
      <c r="G40" s="40" t="n"/>
      <c r="H40" s="41">
        <f>IF(G40="","",IF(OR(G40="Admin",G40="Privileged"),"Ya","Tidak"))</f>
        <v/>
      </c>
      <c r="I40" s="40" t="n"/>
      <c r="J40" s="40" t="n"/>
      <c r="K40" s="40" t="n"/>
      <c r="L40" s="42" t="n"/>
      <c r="M40" s="42" t="n"/>
      <c r="N40" s="42" t="n"/>
      <c r="O40" s="40" t="n"/>
      <c r="P40" s="42" t="n"/>
      <c r="Q40" s="43">
        <f>IF(P40="","",EDATE(P40,IF(H40="Ya",3,6)))</f>
        <v/>
      </c>
      <c r="R40" s="41">
        <f>IF(A40="","",IF(AND(D40="Keluar",O40="Aktif"),"CABUT",IF(AND(M40&lt;&gt;"",M40&lt;TODAY(),O40="Aktif"),"KEDALUWARSA",IF(AND(Q40&lt;&gt;"",Q40&lt;TODAY(),O40="Aktif"),"REVIEW","OK"))))</f>
        <v/>
      </c>
      <c r="S40" s="40" t="n"/>
    </row>
    <row r="41" ht="15" customHeight="1" s="24">
      <c r="A41" s="40" t="n"/>
      <c r="B41" s="40" t="n"/>
      <c r="C41" s="40" t="n"/>
      <c r="D41" s="40" t="n"/>
      <c r="E41" s="40" t="n"/>
      <c r="F41" s="40" t="n"/>
      <c r="G41" s="40" t="n"/>
      <c r="H41" s="41">
        <f>IF(G41="","",IF(OR(G41="Admin",G41="Privileged"),"Ya","Tidak"))</f>
        <v/>
      </c>
      <c r="I41" s="40" t="n"/>
      <c r="J41" s="40" t="n"/>
      <c r="K41" s="40" t="n"/>
      <c r="L41" s="42" t="n"/>
      <c r="M41" s="42" t="n"/>
      <c r="N41" s="42" t="n"/>
      <c r="O41" s="40" t="n"/>
      <c r="P41" s="42" t="n"/>
      <c r="Q41" s="43">
        <f>IF(P41="","",EDATE(P41,IF(H41="Ya",3,6)))</f>
        <v/>
      </c>
      <c r="R41" s="41">
        <f>IF(A41="","",IF(AND(D41="Keluar",O41="Aktif"),"CABUT",IF(AND(M41&lt;&gt;"",M41&lt;TODAY(),O41="Aktif"),"KEDALUWARSA",IF(AND(Q41&lt;&gt;"",Q41&lt;TODAY(),O41="Aktif"),"REVIEW","OK"))))</f>
        <v/>
      </c>
      <c r="S41" s="40" t="n"/>
    </row>
    <row r="42" ht="15" customHeight="1" s="24">
      <c r="A42" s="40" t="n"/>
      <c r="B42" s="40" t="n"/>
      <c r="C42" s="40" t="n"/>
      <c r="D42" s="40" t="n"/>
      <c r="E42" s="40" t="n"/>
      <c r="F42" s="40" t="n"/>
      <c r="G42" s="40" t="n"/>
      <c r="H42" s="41">
        <f>IF(G42="","",IF(OR(G42="Admin",G42="Privileged"),"Ya","Tidak"))</f>
        <v/>
      </c>
      <c r="I42" s="40" t="n"/>
      <c r="J42" s="40" t="n"/>
      <c r="K42" s="40" t="n"/>
      <c r="L42" s="42" t="n"/>
      <c r="M42" s="42" t="n"/>
      <c r="N42" s="42" t="n"/>
      <c r="O42" s="40" t="n"/>
      <c r="P42" s="42" t="n"/>
      <c r="Q42" s="43">
        <f>IF(P42="","",EDATE(P42,IF(H42="Ya",3,6)))</f>
        <v/>
      </c>
      <c r="R42" s="41">
        <f>IF(A42="","",IF(AND(D42="Keluar",O42="Aktif"),"CABUT",IF(AND(M42&lt;&gt;"",M42&lt;TODAY(),O42="Aktif"),"KEDALUWARSA",IF(AND(Q42&lt;&gt;"",Q42&lt;TODAY(),O42="Aktif"),"REVIEW","OK"))))</f>
        <v/>
      </c>
      <c r="S42" s="40" t="n"/>
    </row>
    <row r="43" ht="15" customHeight="1" s="24">
      <c r="A43" s="40" t="n"/>
      <c r="B43" s="40" t="n"/>
      <c r="C43" s="40" t="n"/>
      <c r="D43" s="40" t="n"/>
      <c r="E43" s="40" t="n"/>
      <c r="F43" s="40" t="n"/>
      <c r="G43" s="40" t="n"/>
      <c r="H43" s="41">
        <f>IF(G43="","",IF(OR(G43="Admin",G43="Privileged"),"Ya","Tidak"))</f>
        <v/>
      </c>
      <c r="I43" s="40" t="n"/>
      <c r="J43" s="40" t="n"/>
      <c r="K43" s="40" t="n"/>
      <c r="L43" s="42" t="n"/>
      <c r="M43" s="42" t="n"/>
      <c r="N43" s="42" t="n"/>
      <c r="O43" s="40" t="n"/>
      <c r="P43" s="42" t="n"/>
      <c r="Q43" s="43">
        <f>IF(P43="","",EDATE(P43,IF(H43="Ya",3,6)))</f>
        <v/>
      </c>
      <c r="R43" s="41">
        <f>IF(A43="","",IF(AND(D43="Keluar",O43="Aktif"),"CABUT",IF(AND(M43&lt;&gt;"",M43&lt;TODAY(),O43="Aktif"),"KEDALUWARSA",IF(AND(Q43&lt;&gt;"",Q43&lt;TODAY(),O43="Aktif"),"REVIEW","OK"))))</f>
        <v/>
      </c>
      <c r="S43" s="40" t="n"/>
    </row>
    <row r="44" ht="15" customHeight="1" s="24">
      <c r="A44" s="40" t="n"/>
      <c r="B44" s="40" t="n"/>
      <c r="C44" s="40" t="n"/>
      <c r="D44" s="40" t="n"/>
      <c r="E44" s="40" t="n"/>
      <c r="F44" s="40" t="n"/>
      <c r="G44" s="40" t="n"/>
      <c r="H44" s="41">
        <f>IF(G44="","",IF(OR(G44="Admin",G44="Privileged"),"Ya","Tidak"))</f>
        <v/>
      </c>
      <c r="I44" s="40" t="n"/>
      <c r="J44" s="40" t="n"/>
      <c r="K44" s="40" t="n"/>
      <c r="L44" s="42" t="n"/>
      <c r="M44" s="42" t="n"/>
      <c r="N44" s="42" t="n"/>
      <c r="O44" s="40" t="n"/>
      <c r="P44" s="42" t="n"/>
      <c r="Q44" s="43">
        <f>IF(P44="","",EDATE(P44,IF(H44="Ya",3,6)))</f>
        <v/>
      </c>
      <c r="R44" s="41">
        <f>IF(A44="","",IF(AND(D44="Keluar",O44="Aktif"),"CABUT",IF(AND(M44&lt;&gt;"",M44&lt;TODAY(),O44="Aktif"),"KEDALUWARSA",IF(AND(Q44&lt;&gt;"",Q44&lt;TODAY(),O44="Aktif"),"REVIEW","OK"))))</f>
        <v/>
      </c>
      <c r="S44" s="40" t="n"/>
    </row>
    <row r="45" ht="15" customHeight="1" s="24">
      <c r="A45" s="40" t="n"/>
      <c r="B45" s="40" t="n"/>
      <c r="C45" s="40" t="n"/>
      <c r="D45" s="40" t="n"/>
      <c r="E45" s="40" t="n"/>
      <c r="F45" s="40" t="n"/>
      <c r="G45" s="40" t="n"/>
      <c r="H45" s="41">
        <f>IF(G45="","",IF(OR(G45="Admin",G45="Privileged"),"Ya","Tidak"))</f>
        <v/>
      </c>
      <c r="I45" s="40" t="n"/>
      <c r="J45" s="40" t="n"/>
      <c r="K45" s="40" t="n"/>
      <c r="L45" s="42" t="n"/>
      <c r="M45" s="42" t="n"/>
      <c r="N45" s="42" t="n"/>
      <c r="O45" s="40" t="n"/>
      <c r="P45" s="42" t="n"/>
      <c r="Q45" s="43">
        <f>IF(P45="","",EDATE(P45,IF(H45="Ya",3,6)))</f>
        <v/>
      </c>
      <c r="R45" s="41">
        <f>IF(A45="","",IF(AND(D45="Keluar",O45="Aktif"),"CABUT",IF(AND(M45&lt;&gt;"",M45&lt;TODAY(),O45="Aktif"),"KEDALUWARSA",IF(AND(Q45&lt;&gt;"",Q45&lt;TODAY(),O45="Aktif"),"REVIEW","OK"))))</f>
        <v/>
      </c>
      <c r="S45" s="40" t="n"/>
    </row>
    <row r="46" ht="15" customHeight="1" s="24">
      <c r="A46" s="40" t="n"/>
      <c r="B46" s="40" t="n"/>
      <c r="C46" s="40" t="n"/>
      <c r="D46" s="40" t="n"/>
      <c r="E46" s="40" t="n"/>
      <c r="F46" s="40" t="n"/>
      <c r="G46" s="40" t="n"/>
      <c r="H46" s="41">
        <f>IF(G46="","",IF(OR(G46="Admin",G46="Privileged"),"Ya","Tidak"))</f>
        <v/>
      </c>
      <c r="I46" s="40" t="n"/>
      <c r="J46" s="40" t="n"/>
      <c r="K46" s="40" t="n"/>
      <c r="L46" s="42" t="n"/>
      <c r="M46" s="42" t="n"/>
      <c r="N46" s="42" t="n"/>
      <c r="O46" s="40" t="n"/>
      <c r="P46" s="42" t="n"/>
      <c r="Q46" s="43">
        <f>IF(P46="","",EDATE(P46,IF(H46="Ya",3,6)))</f>
        <v/>
      </c>
      <c r="R46" s="41">
        <f>IF(A46="","",IF(AND(D46="Keluar",O46="Aktif"),"CABUT",IF(AND(M46&lt;&gt;"",M46&lt;TODAY(),O46="Aktif"),"KEDALUWARSA",IF(AND(Q46&lt;&gt;"",Q46&lt;TODAY(),O46="Aktif"),"REVIEW","OK"))))</f>
        <v/>
      </c>
      <c r="S46" s="40" t="n"/>
    </row>
    <row r="47" ht="15" customHeight="1" s="24">
      <c r="A47" s="40" t="n"/>
      <c r="B47" s="40" t="n"/>
      <c r="C47" s="40" t="n"/>
      <c r="D47" s="40" t="n"/>
      <c r="E47" s="40" t="n"/>
      <c r="F47" s="40" t="n"/>
      <c r="G47" s="40" t="n"/>
      <c r="H47" s="41">
        <f>IF(G47="","",IF(OR(G47="Admin",G47="Privileged"),"Ya","Tidak"))</f>
        <v/>
      </c>
      <c r="I47" s="40" t="n"/>
      <c r="J47" s="40" t="n"/>
      <c r="K47" s="40" t="n"/>
      <c r="L47" s="42" t="n"/>
      <c r="M47" s="42" t="n"/>
      <c r="N47" s="42" t="n"/>
      <c r="O47" s="40" t="n"/>
      <c r="P47" s="42" t="n"/>
      <c r="Q47" s="43">
        <f>IF(P47="","",EDATE(P47,IF(H47="Ya",3,6)))</f>
        <v/>
      </c>
      <c r="R47" s="41">
        <f>IF(A47="","",IF(AND(D47="Keluar",O47="Aktif"),"CABUT",IF(AND(M47&lt;&gt;"",M47&lt;TODAY(),O47="Aktif"),"KEDALUWARSA",IF(AND(Q47&lt;&gt;"",Q47&lt;TODAY(),O47="Aktif"),"REVIEW","OK"))))</f>
        <v/>
      </c>
      <c r="S47" s="40" t="n"/>
    </row>
    <row r="48" ht="15" customHeight="1" s="24">
      <c r="A48" s="40" t="n"/>
      <c r="B48" s="40" t="n"/>
      <c r="C48" s="40" t="n"/>
      <c r="D48" s="40" t="n"/>
      <c r="E48" s="40" t="n"/>
      <c r="F48" s="40" t="n"/>
      <c r="G48" s="40" t="n"/>
      <c r="H48" s="41">
        <f>IF(G48="","",IF(OR(G48="Admin",G48="Privileged"),"Ya","Tidak"))</f>
        <v/>
      </c>
      <c r="I48" s="40" t="n"/>
      <c r="J48" s="40" t="n"/>
      <c r="K48" s="40" t="n"/>
      <c r="L48" s="42" t="n"/>
      <c r="M48" s="42" t="n"/>
      <c r="N48" s="42" t="n"/>
      <c r="O48" s="40" t="n"/>
      <c r="P48" s="42" t="n"/>
      <c r="Q48" s="43">
        <f>IF(P48="","",EDATE(P48,IF(H48="Ya",3,6)))</f>
        <v/>
      </c>
      <c r="R48" s="41">
        <f>IF(A48="","",IF(AND(D48="Keluar",O48="Aktif"),"CABUT",IF(AND(M48&lt;&gt;"",M48&lt;TODAY(),O48="Aktif"),"KEDALUWARSA",IF(AND(Q48&lt;&gt;"",Q48&lt;TODAY(),O48="Aktif"),"REVIEW","OK"))))</f>
        <v/>
      </c>
      <c r="S48" s="40" t="n"/>
    </row>
    <row r="49" ht="15" customHeight="1" s="24">
      <c r="A49" s="40" t="n"/>
      <c r="B49" s="40" t="n"/>
      <c r="C49" s="40" t="n"/>
      <c r="D49" s="40" t="n"/>
      <c r="E49" s="40" t="n"/>
      <c r="F49" s="40" t="n"/>
      <c r="G49" s="40" t="n"/>
      <c r="H49" s="41">
        <f>IF(G49="","",IF(OR(G49="Admin",G49="Privileged"),"Ya","Tidak"))</f>
        <v/>
      </c>
      <c r="I49" s="40" t="n"/>
      <c r="J49" s="40" t="n"/>
      <c r="K49" s="40" t="n"/>
      <c r="L49" s="42" t="n"/>
      <c r="M49" s="42" t="n"/>
      <c r="N49" s="42" t="n"/>
      <c r="O49" s="40" t="n"/>
      <c r="P49" s="42" t="n"/>
      <c r="Q49" s="43">
        <f>IF(P49="","",EDATE(P49,IF(H49="Ya",3,6)))</f>
        <v/>
      </c>
      <c r="R49" s="41">
        <f>IF(A49="","",IF(AND(D49="Keluar",O49="Aktif"),"CABUT",IF(AND(M49&lt;&gt;"",M49&lt;TODAY(),O49="Aktif"),"KEDALUWARSA",IF(AND(Q49&lt;&gt;"",Q49&lt;TODAY(),O49="Aktif"),"REVIEW","OK"))))</f>
        <v/>
      </c>
      <c r="S49" s="40" t="n"/>
    </row>
    <row r="50" ht="15" customHeight="1" s="24">
      <c r="A50" s="40" t="n"/>
      <c r="B50" s="40" t="n"/>
      <c r="C50" s="40" t="n"/>
      <c r="D50" s="40" t="n"/>
      <c r="E50" s="40" t="n"/>
      <c r="F50" s="40" t="n"/>
      <c r="G50" s="40" t="n"/>
      <c r="H50" s="41">
        <f>IF(G50="","",IF(OR(G50="Admin",G50="Privileged"),"Ya","Tidak"))</f>
        <v/>
      </c>
      <c r="I50" s="40" t="n"/>
      <c r="J50" s="40" t="n"/>
      <c r="K50" s="40" t="n"/>
      <c r="L50" s="42" t="n"/>
      <c r="M50" s="42" t="n"/>
      <c r="N50" s="42" t="n"/>
      <c r="O50" s="40" t="n"/>
      <c r="P50" s="42" t="n"/>
      <c r="Q50" s="43">
        <f>IF(P50="","",EDATE(P50,IF(H50="Ya",3,6)))</f>
        <v/>
      </c>
      <c r="R50" s="41">
        <f>IF(A50="","",IF(AND(D50="Keluar",O50="Aktif"),"CABUT",IF(AND(M50&lt;&gt;"",M50&lt;TODAY(),O50="Aktif"),"KEDALUWARSA",IF(AND(Q50&lt;&gt;"",Q50&lt;TODAY(),O50="Aktif"),"REVIEW","OK"))))</f>
        <v/>
      </c>
      <c r="S50" s="40" t="n"/>
    </row>
    <row r="51" ht="15" customHeight="1" s="24">
      <c r="A51" s="40" t="n"/>
      <c r="B51" s="40" t="n"/>
      <c r="C51" s="40" t="n"/>
      <c r="D51" s="40" t="n"/>
      <c r="E51" s="40" t="n"/>
      <c r="F51" s="40" t="n"/>
      <c r="G51" s="40" t="n"/>
      <c r="H51" s="41">
        <f>IF(G51="","",IF(OR(G51="Admin",G51="Privileged"),"Ya","Tidak"))</f>
        <v/>
      </c>
      <c r="I51" s="40" t="n"/>
      <c r="J51" s="40" t="n"/>
      <c r="K51" s="40" t="n"/>
      <c r="L51" s="42" t="n"/>
      <c r="M51" s="42" t="n"/>
      <c r="N51" s="42" t="n"/>
      <c r="O51" s="40" t="n"/>
      <c r="P51" s="42" t="n"/>
      <c r="Q51" s="43">
        <f>IF(P51="","",EDATE(P51,IF(H51="Ya",3,6)))</f>
        <v/>
      </c>
      <c r="R51" s="41">
        <f>IF(A51="","",IF(AND(D51="Keluar",O51="Aktif"),"CABUT",IF(AND(M51&lt;&gt;"",M51&lt;TODAY(),O51="Aktif"),"KEDALUWARSA",IF(AND(Q51&lt;&gt;"",Q51&lt;TODAY(),O51="Aktif"),"REVIEW","OK"))))</f>
        <v/>
      </c>
      <c r="S51" s="40" t="n"/>
    </row>
    <row r="52" ht="15" customHeight="1" s="24">
      <c r="A52" s="40" t="n"/>
      <c r="B52" s="40" t="n"/>
      <c r="C52" s="40" t="n"/>
      <c r="D52" s="40" t="n"/>
      <c r="E52" s="40" t="n"/>
      <c r="F52" s="40" t="n"/>
      <c r="G52" s="40" t="n"/>
      <c r="H52" s="41">
        <f>IF(G52="","",IF(OR(G52="Admin",G52="Privileged"),"Ya","Tidak"))</f>
        <v/>
      </c>
      <c r="I52" s="40" t="n"/>
      <c r="J52" s="40" t="n"/>
      <c r="K52" s="40" t="n"/>
      <c r="L52" s="42" t="n"/>
      <c r="M52" s="42" t="n"/>
      <c r="N52" s="42" t="n"/>
      <c r="O52" s="40" t="n"/>
      <c r="P52" s="42" t="n"/>
      <c r="Q52" s="43">
        <f>IF(P52="","",EDATE(P52,IF(H52="Ya",3,6)))</f>
        <v/>
      </c>
      <c r="R52" s="41">
        <f>IF(A52="","",IF(AND(D52="Keluar",O52="Aktif"),"CABUT",IF(AND(M52&lt;&gt;"",M52&lt;TODAY(),O52="Aktif"),"KEDALUWARSA",IF(AND(Q52&lt;&gt;"",Q52&lt;TODAY(),O52="Aktif"),"REVIEW","OK"))))</f>
        <v/>
      </c>
      <c r="S52" s="40" t="n"/>
    </row>
    <row r="53" ht="15" customHeight="1" s="24">
      <c r="A53" s="40" t="n"/>
      <c r="B53" s="40" t="n"/>
      <c r="C53" s="40" t="n"/>
      <c r="D53" s="40" t="n"/>
      <c r="E53" s="40" t="n"/>
      <c r="F53" s="40" t="n"/>
      <c r="G53" s="40" t="n"/>
      <c r="H53" s="41">
        <f>IF(G53="","",IF(OR(G53="Admin",G53="Privileged"),"Ya","Tidak"))</f>
        <v/>
      </c>
      <c r="I53" s="40" t="n"/>
      <c r="J53" s="40" t="n"/>
      <c r="K53" s="40" t="n"/>
      <c r="L53" s="42" t="n"/>
      <c r="M53" s="42" t="n"/>
      <c r="N53" s="42" t="n"/>
      <c r="O53" s="40" t="n"/>
      <c r="P53" s="42" t="n"/>
      <c r="Q53" s="43">
        <f>IF(P53="","",EDATE(P53,IF(H53="Ya",3,6)))</f>
        <v/>
      </c>
      <c r="R53" s="41">
        <f>IF(A53="","",IF(AND(D53="Keluar",O53="Aktif"),"CABUT",IF(AND(M53&lt;&gt;"",M53&lt;TODAY(),O53="Aktif"),"KEDALUWARSA",IF(AND(Q53&lt;&gt;"",Q53&lt;TODAY(),O53="Aktif"),"REVIEW","OK"))))</f>
        <v/>
      </c>
      <c r="S53" s="40" t="n"/>
    </row>
    <row r="54" ht="15" customHeight="1" s="24">
      <c r="A54" s="40" t="n"/>
      <c r="B54" s="40" t="n"/>
      <c r="C54" s="40" t="n"/>
      <c r="D54" s="40" t="n"/>
      <c r="E54" s="40" t="n"/>
      <c r="F54" s="40" t="n"/>
      <c r="G54" s="40" t="n"/>
      <c r="H54" s="41">
        <f>IF(G54="","",IF(OR(G54="Admin",G54="Privileged"),"Ya","Tidak"))</f>
        <v/>
      </c>
      <c r="I54" s="40" t="n"/>
      <c r="J54" s="40" t="n"/>
      <c r="K54" s="40" t="n"/>
      <c r="L54" s="42" t="n"/>
      <c r="M54" s="42" t="n"/>
      <c r="N54" s="42" t="n"/>
      <c r="O54" s="40" t="n"/>
      <c r="P54" s="42" t="n"/>
      <c r="Q54" s="43">
        <f>IF(P54="","",EDATE(P54,IF(H54="Ya",3,6)))</f>
        <v/>
      </c>
      <c r="R54" s="41">
        <f>IF(A54="","",IF(AND(D54="Keluar",O54="Aktif"),"CABUT",IF(AND(M54&lt;&gt;"",M54&lt;TODAY(),O54="Aktif"),"KEDALUWARSA",IF(AND(Q54&lt;&gt;"",Q54&lt;TODAY(),O54="Aktif"),"REVIEW","OK"))))</f>
        <v/>
      </c>
      <c r="S54" s="40" t="n"/>
    </row>
    <row r="55" ht="15" customHeight="1" s="24">
      <c r="A55" s="40" t="n"/>
      <c r="B55" s="40" t="n"/>
      <c r="C55" s="40" t="n"/>
      <c r="D55" s="40" t="n"/>
      <c r="E55" s="40" t="n"/>
      <c r="F55" s="40" t="n"/>
      <c r="G55" s="40" t="n"/>
      <c r="H55" s="41">
        <f>IF(G55="","",IF(OR(G55="Admin",G55="Privileged"),"Ya","Tidak"))</f>
        <v/>
      </c>
      <c r="I55" s="40" t="n"/>
      <c r="J55" s="40" t="n"/>
      <c r="K55" s="40" t="n"/>
      <c r="L55" s="42" t="n"/>
      <c r="M55" s="42" t="n"/>
      <c r="N55" s="42" t="n"/>
      <c r="O55" s="40" t="n"/>
      <c r="P55" s="42" t="n"/>
      <c r="Q55" s="43">
        <f>IF(P55="","",EDATE(P55,IF(H55="Ya",3,6)))</f>
        <v/>
      </c>
      <c r="R55" s="41">
        <f>IF(A55="","",IF(AND(D55="Keluar",O55="Aktif"),"CABUT",IF(AND(M55&lt;&gt;"",M55&lt;TODAY(),O55="Aktif"),"KEDALUWARSA",IF(AND(Q55&lt;&gt;"",Q55&lt;TODAY(),O55="Aktif"),"REVIEW","OK"))))</f>
        <v/>
      </c>
      <c r="S55" s="40" t="n"/>
    </row>
    <row r="56" ht="15" customHeight="1" s="24">
      <c r="A56" s="40" t="n"/>
      <c r="B56" s="40" t="n"/>
      <c r="C56" s="40" t="n"/>
      <c r="D56" s="40" t="n"/>
      <c r="E56" s="40" t="n"/>
      <c r="F56" s="40" t="n"/>
      <c r="G56" s="40" t="n"/>
      <c r="H56" s="41">
        <f>IF(G56="","",IF(OR(G56="Admin",G56="Privileged"),"Ya","Tidak"))</f>
        <v/>
      </c>
      <c r="I56" s="40" t="n"/>
      <c r="J56" s="40" t="n"/>
      <c r="K56" s="40" t="n"/>
      <c r="L56" s="42" t="n"/>
      <c r="M56" s="42" t="n"/>
      <c r="N56" s="42" t="n"/>
      <c r="O56" s="40" t="n"/>
      <c r="P56" s="42" t="n"/>
      <c r="Q56" s="43">
        <f>IF(P56="","",EDATE(P56,IF(H56="Ya",3,6)))</f>
        <v/>
      </c>
      <c r="R56" s="41">
        <f>IF(A56="","",IF(AND(D56="Keluar",O56="Aktif"),"CABUT",IF(AND(M56&lt;&gt;"",M56&lt;TODAY(),O56="Aktif"),"KEDALUWARSA",IF(AND(Q56&lt;&gt;"",Q56&lt;TODAY(),O56="Aktif"),"REVIEW","OK"))))</f>
        <v/>
      </c>
      <c r="S56" s="40" t="n"/>
    </row>
    <row r="57" ht="15" customHeight="1" s="24">
      <c r="A57" s="40" t="n"/>
      <c r="B57" s="40" t="n"/>
      <c r="C57" s="40" t="n"/>
      <c r="D57" s="40" t="n"/>
      <c r="E57" s="40" t="n"/>
      <c r="F57" s="40" t="n"/>
      <c r="G57" s="40" t="n"/>
      <c r="H57" s="41">
        <f>IF(G57="","",IF(OR(G57="Admin",G57="Privileged"),"Ya","Tidak"))</f>
        <v/>
      </c>
      <c r="I57" s="40" t="n"/>
      <c r="J57" s="40" t="n"/>
      <c r="K57" s="40" t="n"/>
      <c r="L57" s="42" t="n"/>
      <c r="M57" s="42" t="n"/>
      <c r="N57" s="42" t="n"/>
      <c r="O57" s="40" t="n"/>
      <c r="P57" s="42" t="n"/>
      <c r="Q57" s="43">
        <f>IF(P57="","",EDATE(P57,IF(H57="Ya",3,6)))</f>
        <v/>
      </c>
      <c r="R57" s="41">
        <f>IF(A57="","",IF(AND(D57="Keluar",O57="Aktif"),"CABUT",IF(AND(M57&lt;&gt;"",M57&lt;TODAY(),O57="Aktif"),"KEDALUWARSA",IF(AND(Q57&lt;&gt;"",Q57&lt;TODAY(),O57="Aktif"),"REVIEW","OK"))))</f>
        <v/>
      </c>
      <c r="S57" s="40" t="n"/>
    </row>
    <row r="58" ht="15" customHeight="1" s="24">
      <c r="A58" s="40" t="n"/>
      <c r="B58" s="40" t="n"/>
      <c r="C58" s="40" t="n"/>
      <c r="D58" s="40" t="n"/>
      <c r="E58" s="40" t="n"/>
      <c r="F58" s="40" t="n"/>
      <c r="G58" s="40" t="n"/>
      <c r="H58" s="41">
        <f>IF(G58="","",IF(OR(G58="Admin",G58="Privileged"),"Ya","Tidak"))</f>
        <v/>
      </c>
      <c r="I58" s="40" t="n"/>
      <c r="J58" s="40" t="n"/>
      <c r="K58" s="40" t="n"/>
      <c r="L58" s="42" t="n"/>
      <c r="M58" s="42" t="n"/>
      <c r="N58" s="42" t="n"/>
      <c r="O58" s="40" t="n"/>
      <c r="P58" s="42" t="n"/>
      <c r="Q58" s="43">
        <f>IF(P58="","",EDATE(P58,IF(H58="Ya",3,6)))</f>
        <v/>
      </c>
      <c r="R58" s="41">
        <f>IF(A58="","",IF(AND(D58="Keluar",O58="Aktif"),"CABUT",IF(AND(M58&lt;&gt;"",M58&lt;TODAY(),O58="Aktif"),"KEDALUWARSA",IF(AND(Q58&lt;&gt;"",Q58&lt;TODAY(),O58="Aktif"),"REVIEW","OK"))))</f>
        <v/>
      </c>
      <c r="S58" s="40" t="n"/>
    </row>
    <row r="59" ht="15" customHeight="1" s="24">
      <c r="A59" s="40" t="n"/>
      <c r="B59" s="40" t="n"/>
      <c r="C59" s="40" t="n"/>
      <c r="D59" s="40" t="n"/>
      <c r="E59" s="40" t="n"/>
      <c r="F59" s="40" t="n"/>
      <c r="G59" s="40" t="n"/>
      <c r="H59" s="41">
        <f>IF(G59="","",IF(OR(G59="Admin",G59="Privileged"),"Ya","Tidak"))</f>
        <v/>
      </c>
      <c r="I59" s="40" t="n"/>
      <c r="J59" s="40" t="n"/>
      <c r="K59" s="40" t="n"/>
      <c r="L59" s="42" t="n"/>
      <c r="M59" s="42" t="n"/>
      <c r="N59" s="42" t="n"/>
      <c r="O59" s="40" t="n"/>
      <c r="P59" s="42" t="n"/>
      <c r="Q59" s="43">
        <f>IF(P59="","",EDATE(P59,IF(H59="Ya",3,6)))</f>
        <v/>
      </c>
      <c r="R59" s="41">
        <f>IF(A59="","",IF(AND(D59="Keluar",O59="Aktif"),"CABUT",IF(AND(M59&lt;&gt;"",M59&lt;TODAY(),O59="Aktif"),"KEDALUWARSA",IF(AND(Q59&lt;&gt;"",Q59&lt;TODAY(),O59="Aktif"),"REVIEW","OK"))))</f>
        <v/>
      </c>
      <c r="S59" s="40" t="n"/>
    </row>
    <row r="60" ht="15" customHeight="1" s="24">
      <c r="A60" s="40" t="n"/>
      <c r="B60" s="40" t="n"/>
      <c r="C60" s="40" t="n"/>
      <c r="D60" s="40" t="n"/>
      <c r="E60" s="40" t="n"/>
      <c r="F60" s="40" t="n"/>
      <c r="G60" s="40" t="n"/>
      <c r="H60" s="41">
        <f>IF(G60="","",IF(OR(G60="Admin",G60="Privileged"),"Ya","Tidak"))</f>
        <v/>
      </c>
      <c r="I60" s="40" t="n"/>
      <c r="J60" s="40" t="n"/>
      <c r="K60" s="40" t="n"/>
      <c r="L60" s="42" t="n"/>
      <c r="M60" s="42" t="n"/>
      <c r="N60" s="42" t="n"/>
      <c r="O60" s="40" t="n"/>
      <c r="P60" s="42" t="n"/>
      <c r="Q60" s="43">
        <f>IF(P60="","",EDATE(P60,IF(H60="Ya",3,6)))</f>
        <v/>
      </c>
      <c r="R60" s="41">
        <f>IF(A60="","",IF(AND(D60="Keluar",O60="Aktif"),"CABUT",IF(AND(M60&lt;&gt;"",M60&lt;TODAY(),O60="Aktif"),"KEDALUWARSA",IF(AND(Q60&lt;&gt;"",Q60&lt;TODAY(),O60="Aktif"),"REVIEW","OK"))))</f>
        <v/>
      </c>
      <c r="S60" s="40" t="n"/>
    </row>
    <row r="61" ht="15" customHeight="1" s="24">
      <c r="A61" s="40" t="n"/>
      <c r="B61" s="40" t="n"/>
      <c r="C61" s="40" t="n"/>
      <c r="D61" s="40" t="n"/>
      <c r="E61" s="40" t="n"/>
      <c r="F61" s="40" t="n"/>
      <c r="G61" s="40" t="n"/>
      <c r="H61" s="41">
        <f>IF(G61="","",IF(OR(G61="Admin",G61="Privileged"),"Ya","Tidak"))</f>
        <v/>
      </c>
      <c r="I61" s="40" t="n"/>
      <c r="J61" s="40" t="n"/>
      <c r="K61" s="40" t="n"/>
      <c r="L61" s="42" t="n"/>
      <c r="M61" s="42" t="n"/>
      <c r="N61" s="42" t="n"/>
      <c r="O61" s="40" t="n"/>
      <c r="P61" s="42" t="n"/>
      <c r="Q61" s="43">
        <f>IF(P61="","",EDATE(P61,IF(H61="Ya",3,6)))</f>
        <v/>
      </c>
      <c r="R61" s="41">
        <f>IF(A61="","",IF(AND(D61="Keluar",O61="Aktif"),"CABUT",IF(AND(M61&lt;&gt;"",M61&lt;TODAY(),O61="Aktif"),"KEDALUWARSA",IF(AND(Q61&lt;&gt;"",Q61&lt;TODAY(),O61="Aktif"),"REVIEW","OK"))))</f>
        <v/>
      </c>
      <c r="S61" s="40" t="n"/>
    </row>
    <row r="62" ht="15" customHeight="1" s="24">
      <c r="A62" s="40" t="n"/>
      <c r="B62" s="40" t="n"/>
      <c r="C62" s="40" t="n"/>
      <c r="D62" s="40" t="n"/>
      <c r="E62" s="40" t="n"/>
      <c r="F62" s="40" t="n"/>
      <c r="G62" s="40" t="n"/>
      <c r="H62" s="41">
        <f>IF(G62="","",IF(OR(G62="Admin",G62="Privileged"),"Ya","Tidak"))</f>
        <v/>
      </c>
      <c r="I62" s="40" t="n"/>
      <c r="J62" s="40" t="n"/>
      <c r="K62" s="40" t="n"/>
      <c r="L62" s="42" t="n"/>
      <c r="M62" s="42" t="n"/>
      <c r="N62" s="42" t="n"/>
      <c r="O62" s="40" t="n"/>
      <c r="P62" s="42" t="n"/>
      <c r="Q62" s="43">
        <f>IF(P62="","",EDATE(P62,IF(H62="Ya",3,6)))</f>
        <v/>
      </c>
      <c r="R62" s="41">
        <f>IF(A62="","",IF(AND(D62="Keluar",O62="Aktif"),"CABUT",IF(AND(M62&lt;&gt;"",M62&lt;TODAY(),O62="Aktif"),"KEDALUWARSA",IF(AND(Q62&lt;&gt;"",Q62&lt;TODAY(),O62="Aktif"),"REVIEW","OK"))))</f>
        <v/>
      </c>
      <c r="S62" s="40" t="n"/>
    </row>
    <row r="63" ht="15" customHeight="1" s="24">
      <c r="A63" s="40" t="n"/>
      <c r="B63" s="40" t="n"/>
      <c r="C63" s="40" t="n"/>
      <c r="D63" s="40" t="n"/>
      <c r="E63" s="40" t="n"/>
      <c r="F63" s="40" t="n"/>
      <c r="G63" s="40" t="n"/>
      <c r="H63" s="41">
        <f>IF(G63="","",IF(OR(G63="Admin",G63="Privileged"),"Ya","Tidak"))</f>
        <v/>
      </c>
      <c r="I63" s="40" t="n"/>
      <c r="J63" s="40" t="n"/>
      <c r="K63" s="40" t="n"/>
      <c r="L63" s="42" t="n"/>
      <c r="M63" s="42" t="n"/>
      <c r="N63" s="42" t="n"/>
      <c r="O63" s="40" t="n"/>
      <c r="P63" s="42" t="n"/>
      <c r="Q63" s="43">
        <f>IF(P63="","",EDATE(P63,IF(H63="Ya",3,6)))</f>
        <v/>
      </c>
      <c r="R63" s="41">
        <f>IF(A63="","",IF(AND(D63="Keluar",O63="Aktif"),"CABUT",IF(AND(M63&lt;&gt;"",M63&lt;TODAY(),O63="Aktif"),"KEDALUWARSA",IF(AND(Q63&lt;&gt;"",Q63&lt;TODAY(),O63="Aktif"),"REVIEW","OK"))))</f>
        <v/>
      </c>
      <c r="S63" s="40" t="n"/>
    </row>
    <row r="64" ht="15" customHeight="1" s="24">
      <c r="A64" s="40" t="n"/>
      <c r="B64" s="40" t="n"/>
      <c r="C64" s="40" t="n"/>
      <c r="D64" s="40" t="n"/>
      <c r="E64" s="40" t="n"/>
      <c r="F64" s="40" t="n"/>
      <c r="G64" s="40" t="n"/>
      <c r="H64" s="41">
        <f>IF(G64="","",IF(OR(G64="Admin",G64="Privileged"),"Ya","Tidak"))</f>
        <v/>
      </c>
      <c r="I64" s="40" t="n"/>
      <c r="J64" s="40" t="n"/>
      <c r="K64" s="40" t="n"/>
      <c r="L64" s="42" t="n"/>
      <c r="M64" s="42" t="n"/>
      <c r="N64" s="42" t="n"/>
      <c r="O64" s="40" t="n"/>
      <c r="P64" s="42" t="n"/>
      <c r="Q64" s="43">
        <f>IF(P64="","",EDATE(P64,IF(H64="Ya",3,6)))</f>
        <v/>
      </c>
      <c r="R64" s="41">
        <f>IF(A64="","",IF(AND(D64="Keluar",O64="Aktif"),"CABUT",IF(AND(M64&lt;&gt;"",M64&lt;TODAY(),O64="Aktif"),"KEDALUWARSA",IF(AND(Q64&lt;&gt;"",Q64&lt;TODAY(),O64="Aktif"),"REVIEW","OK"))))</f>
        <v/>
      </c>
      <c r="S64" s="40" t="n"/>
    </row>
    <row r="65" ht="15" customHeight="1" s="24">
      <c r="A65" s="40" t="n"/>
      <c r="B65" s="40" t="n"/>
      <c r="C65" s="40" t="n"/>
      <c r="D65" s="40" t="n"/>
      <c r="E65" s="40" t="n"/>
      <c r="F65" s="40" t="n"/>
      <c r="G65" s="40" t="n"/>
      <c r="H65" s="41">
        <f>IF(G65="","",IF(OR(G65="Admin",G65="Privileged"),"Ya","Tidak"))</f>
        <v/>
      </c>
      <c r="I65" s="40" t="n"/>
      <c r="J65" s="40" t="n"/>
      <c r="K65" s="40" t="n"/>
      <c r="L65" s="42" t="n"/>
      <c r="M65" s="42" t="n"/>
      <c r="N65" s="42" t="n"/>
      <c r="O65" s="40" t="n"/>
      <c r="P65" s="42" t="n"/>
      <c r="Q65" s="43">
        <f>IF(P65="","",EDATE(P65,IF(H65="Ya",3,6)))</f>
        <v/>
      </c>
      <c r="R65" s="41">
        <f>IF(A65="","",IF(AND(D65="Keluar",O65="Aktif"),"CABUT",IF(AND(M65&lt;&gt;"",M65&lt;TODAY(),O65="Aktif"),"KEDALUWARSA",IF(AND(Q65&lt;&gt;"",Q65&lt;TODAY(),O65="Aktif"),"REVIEW","OK"))))</f>
        <v/>
      </c>
      <c r="S65" s="40" t="n"/>
    </row>
    <row r="66" ht="15" customHeight="1" s="24">
      <c r="A66" s="40" t="n"/>
      <c r="B66" s="40" t="n"/>
      <c r="C66" s="40" t="n"/>
      <c r="D66" s="40" t="n"/>
      <c r="E66" s="40" t="n"/>
      <c r="F66" s="40" t="n"/>
      <c r="G66" s="40" t="n"/>
      <c r="H66" s="41">
        <f>IF(G66="","",IF(OR(G66="Admin",G66="Privileged"),"Ya","Tidak"))</f>
        <v/>
      </c>
      <c r="I66" s="40" t="n"/>
      <c r="J66" s="40" t="n"/>
      <c r="K66" s="40" t="n"/>
      <c r="L66" s="42" t="n"/>
      <c r="M66" s="42" t="n"/>
      <c r="N66" s="42" t="n"/>
      <c r="O66" s="40" t="n"/>
      <c r="P66" s="42" t="n"/>
      <c r="Q66" s="43">
        <f>IF(P66="","",EDATE(P66,IF(H66="Ya",3,6)))</f>
        <v/>
      </c>
      <c r="R66" s="41">
        <f>IF(A66="","",IF(AND(D66="Keluar",O66="Aktif"),"CABUT",IF(AND(M66&lt;&gt;"",M66&lt;TODAY(),O66="Aktif"),"KEDALUWARSA",IF(AND(Q66&lt;&gt;"",Q66&lt;TODAY(),O66="Aktif"),"REVIEW","OK"))))</f>
        <v/>
      </c>
      <c r="S66" s="40" t="n"/>
    </row>
    <row r="67" ht="15" customHeight="1" s="24">
      <c r="A67" s="40" t="n"/>
      <c r="B67" s="40" t="n"/>
      <c r="C67" s="40" t="n"/>
      <c r="D67" s="40" t="n"/>
      <c r="E67" s="40" t="n"/>
      <c r="F67" s="40" t="n"/>
      <c r="G67" s="40" t="n"/>
      <c r="H67" s="41">
        <f>IF(G67="","",IF(OR(G67="Admin",G67="Privileged"),"Ya","Tidak"))</f>
        <v/>
      </c>
      <c r="I67" s="40" t="n"/>
      <c r="J67" s="40" t="n"/>
      <c r="K67" s="40" t="n"/>
      <c r="L67" s="42" t="n"/>
      <c r="M67" s="42" t="n"/>
      <c r="N67" s="42" t="n"/>
      <c r="O67" s="40" t="n"/>
      <c r="P67" s="42" t="n"/>
      <c r="Q67" s="43">
        <f>IF(P67="","",EDATE(P67,IF(H67="Ya",3,6)))</f>
        <v/>
      </c>
      <c r="R67" s="41">
        <f>IF(A67="","",IF(AND(D67="Keluar",O67="Aktif"),"CABUT",IF(AND(M67&lt;&gt;"",M67&lt;TODAY(),O67="Aktif"),"KEDALUWARSA",IF(AND(Q67&lt;&gt;"",Q67&lt;TODAY(),O67="Aktif"),"REVIEW","OK"))))</f>
        <v/>
      </c>
      <c r="S67" s="40" t="n"/>
    </row>
    <row r="68" ht="15" customHeight="1" s="24">
      <c r="A68" s="40" t="n"/>
      <c r="B68" s="40" t="n"/>
      <c r="C68" s="40" t="n"/>
      <c r="D68" s="40" t="n"/>
      <c r="E68" s="40" t="n"/>
      <c r="F68" s="40" t="n"/>
      <c r="G68" s="40" t="n"/>
      <c r="H68" s="41">
        <f>IF(G68="","",IF(OR(G68="Admin",G68="Privileged"),"Ya","Tidak"))</f>
        <v/>
      </c>
      <c r="I68" s="40" t="n"/>
      <c r="J68" s="40" t="n"/>
      <c r="K68" s="40" t="n"/>
      <c r="L68" s="42" t="n"/>
      <c r="M68" s="42" t="n"/>
      <c r="N68" s="42" t="n"/>
      <c r="O68" s="40" t="n"/>
      <c r="P68" s="42" t="n"/>
      <c r="Q68" s="43">
        <f>IF(P68="","",EDATE(P68,IF(H68="Ya",3,6)))</f>
        <v/>
      </c>
      <c r="R68" s="41">
        <f>IF(A68="","",IF(AND(D68="Keluar",O68="Aktif"),"CABUT",IF(AND(M68&lt;&gt;"",M68&lt;TODAY(),O68="Aktif"),"KEDALUWARSA",IF(AND(Q68&lt;&gt;"",Q68&lt;TODAY(),O68="Aktif"),"REVIEW","OK"))))</f>
        <v/>
      </c>
      <c r="S68" s="40" t="n"/>
    </row>
    <row r="69" ht="15" customHeight="1" s="24">
      <c r="A69" s="40" t="n"/>
      <c r="B69" s="40" t="n"/>
      <c r="C69" s="40" t="n"/>
      <c r="D69" s="40" t="n"/>
      <c r="E69" s="40" t="n"/>
      <c r="F69" s="40" t="n"/>
      <c r="G69" s="40" t="n"/>
      <c r="H69" s="41">
        <f>IF(G69="","",IF(OR(G69="Admin",G69="Privileged"),"Ya","Tidak"))</f>
        <v/>
      </c>
      <c r="I69" s="40" t="n"/>
      <c r="J69" s="40" t="n"/>
      <c r="K69" s="40" t="n"/>
      <c r="L69" s="42" t="n"/>
      <c r="M69" s="42" t="n"/>
      <c r="N69" s="42" t="n"/>
      <c r="O69" s="40" t="n"/>
      <c r="P69" s="42" t="n"/>
      <c r="Q69" s="43">
        <f>IF(P69="","",EDATE(P69,IF(H69="Ya",3,6)))</f>
        <v/>
      </c>
      <c r="R69" s="41">
        <f>IF(A69="","",IF(AND(D69="Keluar",O69="Aktif"),"CABUT",IF(AND(M69&lt;&gt;"",M69&lt;TODAY(),O69="Aktif"),"KEDALUWARSA",IF(AND(Q69&lt;&gt;"",Q69&lt;TODAY(),O69="Aktif"),"REVIEW","OK"))))</f>
        <v/>
      </c>
      <c r="S69" s="40" t="n"/>
    </row>
    <row r="70" ht="15" customHeight="1" s="24">
      <c r="A70" s="40" t="n"/>
      <c r="B70" s="40" t="n"/>
      <c r="C70" s="40" t="n"/>
      <c r="D70" s="40" t="n"/>
      <c r="E70" s="40" t="n"/>
      <c r="F70" s="40" t="n"/>
      <c r="G70" s="40" t="n"/>
      <c r="H70" s="41">
        <f>IF(G70="","",IF(OR(G70="Admin",G70="Privileged"),"Ya","Tidak"))</f>
        <v/>
      </c>
      <c r="I70" s="40" t="n"/>
      <c r="J70" s="40" t="n"/>
      <c r="K70" s="40" t="n"/>
      <c r="L70" s="42" t="n"/>
      <c r="M70" s="42" t="n"/>
      <c r="N70" s="42" t="n"/>
      <c r="O70" s="40" t="n"/>
      <c r="P70" s="42" t="n"/>
      <c r="Q70" s="43">
        <f>IF(P70="","",EDATE(P70,IF(H70="Ya",3,6)))</f>
        <v/>
      </c>
      <c r="R70" s="41">
        <f>IF(A70="","",IF(AND(D70="Keluar",O70="Aktif"),"CABUT",IF(AND(M70&lt;&gt;"",M70&lt;TODAY(),O70="Aktif"),"KEDALUWARSA",IF(AND(Q70&lt;&gt;"",Q70&lt;TODAY(),O70="Aktif"),"REVIEW","OK"))))</f>
        <v/>
      </c>
      <c r="S70" s="40" t="n"/>
    </row>
    <row r="71" ht="15" customHeight="1" s="24">
      <c r="A71" s="40" t="n"/>
      <c r="B71" s="40" t="n"/>
      <c r="C71" s="40" t="n"/>
      <c r="D71" s="40" t="n"/>
      <c r="E71" s="40" t="n"/>
      <c r="F71" s="40" t="n"/>
      <c r="G71" s="40" t="n"/>
      <c r="H71" s="41">
        <f>IF(G71="","",IF(OR(G71="Admin",G71="Privileged"),"Ya","Tidak"))</f>
        <v/>
      </c>
      <c r="I71" s="40" t="n"/>
      <c r="J71" s="40" t="n"/>
      <c r="K71" s="40" t="n"/>
      <c r="L71" s="42" t="n"/>
      <c r="M71" s="42" t="n"/>
      <c r="N71" s="42" t="n"/>
      <c r="O71" s="40" t="n"/>
      <c r="P71" s="42" t="n"/>
      <c r="Q71" s="43">
        <f>IF(P71="","",EDATE(P71,IF(H71="Ya",3,6)))</f>
        <v/>
      </c>
      <c r="R71" s="41">
        <f>IF(A71="","",IF(AND(D71="Keluar",O71="Aktif"),"CABUT",IF(AND(M71&lt;&gt;"",M71&lt;TODAY(),O71="Aktif"),"KEDALUWARSA",IF(AND(Q71&lt;&gt;"",Q71&lt;TODAY(),O71="Aktif"),"REVIEW","OK"))))</f>
        <v/>
      </c>
      <c r="S71" s="40" t="n"/>
    </row>
    <row r="72" ht="15" customHeight="1" s="24">
      <c r="A72" s="40" t="n"/>
      <c r="B72" s="40" t="n"/>
      <c r="C72" s="40" t="n"/>
      <c r="D72" s="40" t="n"/>
      <c r="E72" s="40" t="n"/>
      <c r="F72" s="40" t="n"/>
      <c r="G72" s="40" t="n"/>
      <c r="H72" s="41">
        <f>IF(G72="","",IF(OR(G72="Admin",G72="Privileged"),"Ya","Tidak"))</f>
        <v/>
      </c>
      <c r="I72" s="40" t="n"/>
      <c r="J72" s="40" t="n"/>
      <c r="K72" s="40" t="n"/>
      <c r="L72" s="42" t="n"/>
      <c r="M72" s="42" t="n"/>
      <c r="N72" s="42" t="n"/>
      <c r="O72" s="40" t="n"/>
      <c r="P72" s="42" t="n"/>
      <c r="Q72" s="43">
        <f>IF(P72="","",EDATE(P72,IF(H72="Ya",3,6)))</f>
        <v/>
      </c>
      <c r="R72" s="41">
        <f>IF(A72="","",IF(AND(D72="Keluar",O72="Aktif"),"CABUT",IF(AND(M72&lt;&gt;"",M72&lt;TODAY(),O72="Aktif"),"KEDALUWARSA",IF(AND(Q72&lt;&gt;"",Q72&lt;TODAY(),O72="Aktif"),"REVIEW","OK"))))</f>
        <v/>
      </c>
      <c r="S72" s="40" t="n"/>
    </row>
    <row r="73" ht="15" customHeight="1" s="24">
      <c r="A73" s="40" t="n"/>
      <c r="B73" s="40" t="n"/>
      <c r="C73" s="40" t="n"/>
      <c r="D73" s="40" t="n"/>
      <c r="E73" s="40" t="n"/>
      <c r="F73" s="40" t="n"/>
      <c r="G73" s="40" t="n"/>
      <c r="H73" s="41">
        <f>IF(G73="","",IF(OR(G73="Admin",G73="Privileged"),"Ya","Tidak"))</f>
        <v/>
      </c>
      <c r="I73" s="40" t="n"/>
      <c r="J73" s="40" t="n"/>
      <c r="K73" s="40" t="n"/>
      <c r="L73" s="42" t="n"/>
      <c r="M73" s="42" t="n"/>
      <c r="N73" s="42" t="n"/>
      <c r="O73" s="40" t="n"/>
      <c r="P73" s="42" t="n"/>
      <c r="Q73" s="43">
        <f>IF(P73="","",EDATE(P73,IF(H73="Ya",3,6)))</f>
        <v/>
      </c>
      <c r="R73" s="41">
        <f>IF(A73="","",IF(AND(D73="Keluar",O73="Aktif"),"CABUT",IF(AND(M73&lt;&gt;"",M73&lt;TODAY(),O73="Aktif"),"KEDALUWARSA",IF(AND(Q73&lt;&gt;"",Q73&lt;TODAY(),O73="Aktif"),"REVIEW","OK"))))</f>
        <v/>
      </c>
      <c r="S73" s="40" t="n"/>
    </row>
    <row r="74" ht="15" customHeight="1" s="24">
      <c r="A74" s="40" t="n"/>
      <c r="B74" s="40" t="n"/>
      <c r="C74" s="40" t="n"/>
      <c r="D74" s="40" t="n"/>
      <c r="E74" s="40" t="n"/>
      <c r="F74" s="40" t="n"/>
      <c r="G74" s="40" t="n"/>
      <c r="H74" s="41">
        <f>IF(G74="","",IF(OR(G74="Admin",G74="Privileged"),"Ya","Tidak"))</f>
        <v/>
      </c>
      <c r="I74" s="40" t="n"/>
      <c r="J74" s="40" t="n"/>
      <c r="K74" s="40" t="n"/>
      <c r="L74" s="42" t="n"/>
      <c r="M74" s="42" t="n"/>
      <c r="N74" s="42" t="n"/>
      <c r="O74" s="40" t="n"/>
      <c r="P74" s="42" t="n"/>
      <c r="Q74" s="43">
        <f>IF(P74="","",EDATE(P74,IF(H74="Ya",3,6)))</f>
        <v/>
      </c>
      <c r="R74" s="41">
        <f>IF(A74="","",IF(AND(D74="Keluar",O74="Aktif"),"CABUT",IF(AND(M74&lt;&gt;"",M74&lt;TODAY(),O74="Aktif"),"KEDALUWARSA",IF(AND(Q74&lt;&gt;"",Q74&lt;TODAY(),O74="Aktif"),"REVIEW","OK"))))</f>
        <v/>
      </c>
      <c r="S74" s="40" t="n"/>
    </row>
    <row r="75" ht="15" customHeight="1" s="24">
      <c r="A75" s="40" t="n"/>
      <c r="B75" s="40" t="n"/>
      <c r="C75" s="40" t="n"/>
      <c r="D75" s="40" t="n"/>
      <c r="E75" s="40" t="n"/>
      <c r="F75" s="40" t="n"/>
      <c r="G75" s="40" t="n"/>
      <c r="H75" s="41">
        <f>IF(G75="","",IF(OR(G75="Admin",G75="Privileged"),"Ya","Tidak"))</f>
        <v/>
      </c>
      <c r="I75" s="40" t="n"/>
      <c r="J75" s="40" t="n"/>
      <c r="K75" s="40" t="n"/>
      <c r="L75" s="42" t="n"/>
      <c r="M75" s="42" t="n"/>
      <c r="N75" s="42" t="n"/>
      <c r="O75" s="40" t="n"/>
      <c r="P75" s="42" t="n"/>
      <c r="Q75" s="43">
        <f>IF(P75="","",EDATE(P75,IF(H75="Ya",3,6)))</f>
        <v/>
      </c>
      <c r="R75" s="41">
        <f>IF(A75="","",IF(AND(D75="Keluar",O75="Aktif"),"CABUT",IF(AND(M75&lt;&gt;"",M75&lt;TODAY(),O75="Aktif"),"KEDALUWARSA",IF(AND(Q75&lt;&gt;"",Q75&lt;TODAY(),O75="Aktif"),"REVIEW","OK"))))</f>
        <v/>
      </c>
      <c r="S75" s="40" t="n"/>
    </row>
    <row r="76" ht="15" customHeight="1" s="24">
      <c r="A76" s="40" t="n"/>
      <c r="B76" s="40" t="n"/>
      <c r="C76" s="40" t="n"/>
      <c r="D76" s="40" t="n"/>
      <c r="E76" s="40" t="n"/>
      <c r="F76" s="40" t="n"/>
      <c r="G76" s="40" t="n"/>
      <c r="H76" s="41">
        <f>IF(G76="","",IF(OR(G76="Admin",G76="Privileged"),"Ya","Tidak"))</f>
        <v/>
      </c>
      <c r="I76" s="40" t="n"/>
      <c r="J76" s="40" t="n"/>
      <c r="K76" s="40" t="n"/>
      <c r="L76" s="42" t="n"/>
      <c r="M76" s="42" t="n"/>
      <c r="N76" s="42" t="n"/>
      <c r="O76" s="40" t="n"/>
      <c r="P76" s="42" t="n"/>
      <c r="Q76" s="43">
        <f>IF(P76="","",EDATE(P76,IF(H76="Ya",3,6)))</f>
        <v/>
      </c>
      <c r="R76" s="41">
        <f>IF(A76="","",IF(AND(D76="Keluar",O76="Aktif"),"CABUT",IF(AND(M76&lt;&gt;"",M76&lt;TODAY(),O76="Aktif"),"KEDALUWARSA",IF(AND(Q76&lt;&gt;"",Q76&lt;TODAY(),O76="Aktif"),"REVIEW","OK"))))</f>
        <v/>
      </c>
      <c r="S76" s="40" t="n"/>
    </row>
    <row r="77" ht="15" customHeight="1" s="24">
      <c r="A77" s="40" t="n"/>
      <c r="B77" s="40" t="n"/>
      <c r="C77" s="40" t="n"/>
      <c r="D77" s="40" t="n"/>
      <c r="E77" s="40" t="n"/>
      <c r="F77" s="40" t="n"/>
      <c r="G77" s="40" t="n"/>
      <c r="H77" s="41">
        <f>IF(G77="","",IF(OR(G77="Admin",G77="Privileged"),"Ya","Tidak"))</f>
        <v/>
      </c>
      <c r="I77" s="40" t="n"/>
      <c r="J77" s="40" t="n"/>
      <c r="K77" s="40" t="n"/>
      <c r="L77" s="42" t="n"/>
      <c r="M77" s="42" t="n"/>
      <c r="N77" s="42" t="n"/>
      <c r="O77" s="40" t="n"/>
      <c r="P77" s="42" t="n"/>
      <c r="Q77" s="43">
        <f>IF(P77="","",EDATE(P77,IF(H77="Ya",3,6)))</f>
        <v/>
      </c>
      <c r="R77" s="41">
        <f>IF(A77="","",IF(AND(D77="Keluar",O77="Aktif"),"CABUT",IF(AND(M77&lt;&gt;"",M77&lt;TODAY(),O77="Aktif"),"KEDALUWARSA",IF(AND(Q77&lt;&gt;"",Q77&lt;TODAY(),O77="Aktif"),"REVIEW","OK"))))</f>
        <v/>
      </c>
      <c r="S77" s="40" t="n"/>
    </row>
    <row r="78" ht="15" customHeight="1" s="24">
      <c r="A78" s="40" t="n"/>
      <c r="B78" s="40" t="n"/>
      <c r="C78" s="40" t="n"/>
      <c r="D78" s="40" t="n"/>
      <c r="E78" s="40" t="n"/>
      <c r="F78" s="40" t="n"/>
      <c r="G78" s="40" t="n"/>
      <c r="H78" s="41">
        <f>IF(G78="","",IF(OR(G78="Admin",G78="Privileged"),"Ya","Tidak"))</f>
        <v/>
      </c>
      <c r="I78" s="40" t="n"/>
      <c r="J78" s="40" t="n"/>
      <c r="K78" s="40" t="n"/>
      <c r="L78" s="42" t="n"/>
      <c r="M78" s="42" t="n"/>
      <c r="N78" s="42" t="n"/>
      <c r="O78" s="40" t="n"/>
      <c r="P78" s="42" t="n"/>
      <c r="Q78" s="43">
        <f>IF(P78="","",EDATE(P78,IF(H78="Ya",3,6)))</f>
        <v/>
      </c>
      <c r="R78" s="41">
        <f>IF(A78="","",IF(AND(D78="Keluar",O78="Aktif"),"CABUT",IF(AND(M78&lt;&gt;"",M78&lt;TODAY(),O78="Aktif"),"KEDALUWARSA",IF(AND(Q78&lt;&gt;"",Q78&lt;TODAY(),O78="Aktif"),"REVIEW","OK"))))</f>
        <v/>
      </c>
      <c r="S78" s="40" t="n"/>
    </row>
    <row r="79" ht="15" customHeight="1" s="24">
      <c r="A79" s="40" t="n"/>
      <c r="B79" s="40" t="n"/>
      <c r="C79" s="40" t="n"/>
      <c r="D79" s="40" t="n"/>
      <c r="E79" s="40" t="n"/>
      <c r="F79" s="40" t="n"/>
      <c r="G79" s="40" t="n"/>
      <c r="H79" s="41">
        <f>IF(G79="","",IF(OR(G79="Admin",G79="Privileged"),"Ya","Tidak"))</f>
        <v/>
      </c>
      <c r="I79" s="40" t="n"/>
      <c r="J79" s="40" t="n"/>
      <c r="K79" s="40" t="n"/>
      <c r="L79" s="42" t="n"/>
      <c r="M79" s="42" t="n"/>
      <c r="N79" s="42" t="n"/>
      <c r="O79" s="40" t="n"/>
      <c r="P79" s="42" t="n"/>
      <c r="Q79" s="43">
        <f>IF(P79="","",EDATE(P79,IF(H79="Ya",3,6)))</f>
        <v/>
      </c>
      <c r="R79" s="41">
        <f>IF(A79="","",IF(AND(D79="Keluar",O79="Aktif"),"CABUT",IF(AND(M79&lt;&gt;"",M79&lt;TODAY(),O79="Aktif"),"KEDALUWARSA",IF(AND(Q79&lt;&gt;"",Q79&lt;TODAY(),O79="Aktif"),"REVIEW","OK"))))</f>
        <v/>
      </c>
      <c r="S79" s="40" t="n"/>
    </row>
    <row r="80" ht="15" customHeight="1" s="24">
      <c r="A80" s="40" t="n"/>
      <c r="B80" s="40" t="n"/>
      <c r="C80" s="40" t="n"/>
      <c r="D80" s="40" t="n"/>
      <c r="E80" s="40" t="n"/>
      <c r="F80" s="40" t="n"/>
      <c r="G80" s="40" t="n"/>
      <c r="H80" s="41">
        <f>IF(G80="","",IF(OR(G80="Admin",G80="Privileged"),"Ya","Tidak"))</f>
        <v/>
      </c>
      <c r="I80" s="40" t="n"/>
      <c r="J80" s="40" t="n"/>
      <c r="K80" s="40" t="n"/>
      <c r="L80" s="42" t="n"/>
      <c r="M80" s="42" t="n"/>
      <c r="N80" s="42" t="n"/>
      <c r="O80" s="40" t="n"/>
      <c r="P80" s="42" t="n"/>
      <c r="Q80" s="43">
        <f>IF(P80="","",EDATE(P80,IF(H80="Ya",3,6)))</f>
        <v/>
      </c>
      <c r="R80" s="41">
        <f>IF(A80="","",IF(AND(D80="Keluar",O80="Aktif"),"CABUT",IF(AND(M80&lt;&gt;"",M80&lt;TODAY(),O80="Aktif"),"KEDALUWARSA",IF(AND(Q80&lt;&gt;"",Q80&lt;TODAY(),O80="Aktif"),"REVIEW","OK"))))</f>
        <v/>
      </c>
      <c r="S80" s="40" t="n"/>
    </row>
    <row r="81" ht="15" customHeight="1" s="24">
      <c r="A81" s="40" t="n"/>
      <c r="B81" s="40" t="n"/>
      <c r="C81" s="40" t="n"/>
      <c r="D81" s="40" t="n"/>
      <c r="E81" s="40" t="n"/>
      <c r="F81" s="40" t="n"/>
      <c r="G81" s="40" t="n"/>
      <c r="H81" s="41">
        <f>IF(G81="","",IF(OR(G81="Admin",G81="Privileged"),"Ya","Tidak"))</f>
        <v/>
      </c>
      <c r="I81" s="40" t="n"/>
      <c r="J81" s="40" t="n"/>
      <c r="K81" s="40" t="n"/>
      <c r="L81" s="42" t="n"/>
      <c r="M81" s="42" t="n"/>
      <c r="N81" s="42" t="n"/>
      <c r="O81" s="40" t="n"/>
      <c r="P81" s="42" t="n"/>
      <c r="Q81" s="43">
        <f>IF(P81="","",EDATE(P81,IF(H81="Ya",3,6)))</f>
        <v/>
      </c>
      <c r="R81" s="41">
        <f>IF(A81="","",IF(AND(D81="Keluar",O81="Aktif"),"CABUT",IF(AND(M81&lt;&gt;"",M81&lt;TODAY(),O81="Aktif"),"KEDALUWARSA",IF(AND(Q81&lt;&gt;"",Q81&lt;TODAY(),O81="Aktif"),"REVIEW","OK"))))</f>
        <v/>
      </c>
      <c r="S81" s="40" t="n"/>
    </row>
    <row r="82" ht="15" customHeight="1" s="24">
      <c r="A82" s="40" t="n"/>
      <c r="B82" s="40" t="n"/>
      <c r="C82" s="40" t="n"/>
      <c r="D82" s="40" t="n"/>
      <c r="E82" s="40" t="n"/>
      <c r="F82" s="40" t="n"/>
      <c r="G82" s="40" t="n"/>
      <c r="H82" s="41">
        <f>IF(G82="","",IF(OR(G82="Admin",G82="Privileged"),"Ya","Tidak"))</f>
        <v/>
      </c>
      <c r="I82" s="40" t="n"/>
      <c r="J82" s="40" t="n"/>
      <c r="K82" s="40" t="n"/>
      <c r="L82" s="42" t="n"/>
      <c r="M82" s="42" t="n"/>
      <c r="N82" s="42" t="n"/>
      <c r="O82" s="40" t="n"/>
      <c r="P82" s="42" t="n"/>
      <c r="Q82" s="43">
        <f>IF(P82="","",EDATE(P82,IF(H82="Ya",3,6)))</f>
        <v/>
      </c>
      <c r="R82" s="41">
        <f>IF(A82="","",IF(AND(D82="Keluar",O82="Aktif"),"CABUT",IF(AND(M82&lt;&gt;"",M82&lt;TODAY(),O82="Aktif"),"KEDALUWARSA",IF(AND(Q82&lt;&gt;"",Q82&lt;TODAY(),O82="Aktif"),"REVIEW","OK"))))</f>
        <v/>
      </c>
      <c r="S82" s="40" t="n"/>
    </row>
    <row r="83" ht="15" customHeight="1" s="24">
      <c r="A83" s="40" t="n"/>
      <c r="B83" s="40" t="n"/>
      <c r="C83" s="40" t="n"/>
      <c r="D83" s="40" t="n"/>
      <c r="E83" s="40" t="n"/>
      <c r="F83" s="40" t="n"/>
      <c r="G83" s="40" t="n"/>
      <c r="H83" s="41">
        <f>IF(G83="","",IF(OR(G83="Admin",G83="Privileged"),"Ya","Tidak"))</f>
        <v/>
      </c>
      <c r="I83" s="40" t="n"/>
      <c r="J83" s="40" t="n"/>
      <c r="K83" s="40" t="n"/>
      <c r="L83" s="42" t="n"/>
      <c r="M83" s="42" t="n"/>
      <c r="N83" s="42" t="n"/>
      <c r="O83" s="40" t="n"/>
      <c r="P83" s="42" t="n"/>
      <c r="Q83" s="43">
        <f>IF(P83="","",EDATE(P83,IF(H83="Ya",3,6)))</f>
        <v/>
      </c>
      <c r="R83" s="41">
        <f>IF(A83="","",IF(AND(D83="Keluar",O83="Aktif"),"CABUT",IF(AND(M83&lt;&gt;"",M83&lt;TODAY(),O83="Aktif"),"KEDALUWARSA",IF(AND(Q83&lt;&gt;"",Q83&lt;TODAY(),O83="Aktif"),"REVIEW","OK"))))</f>
        <v/>
      </c>
      <c r="S83" s="40" t="n"/>
    </row>
    <row r="84" ht="15" customHeight="1" s="24">
      <c r="A84" s="40" t="n"/>
      <c r="B84" s="40" t="n"/>
      <c r="C84" s="40" t="n"/>
      <c r="D84" s="40" t="n"/>
      <c r="E84" s="40" t="n"/>
      <c r="F84" s="40" t="n"/>
      <c r="G84" s="40" t="n"/>
      <c r="H84" s="41">
        <f>IF(G84="","",IF(OR(G84="Admin",G84="Privileged"),"Ya","Tidak"))</f>
        <v/>
      </c>
      <c r="I84" s="40" t="n"/>
      <c r="J84" s="40" t="n"/>
      <c r="K84" s="40" t="n"/>
      <c r="L84" s="42" t="n"/>
      <c r="M84" s="42" t="n"/>
      <c r="N84" s="42" t="n"/>
      <c r="O84" s="40" t="n"/>
      <c r="P84" s="42" t="n"/>
      <c r="Q84" s="43">
        <f>IF(P84="","",EDATE(P84,IF(H84="Ya",3,6)))</f>
        <v/>
      </c>
      <c r="R84" s="41">
        <f>IF(A84="","",IF(AND(D84="Keluar",O84="Aktif"),"CABUT",IF(AND(M84&lt;&gt;"",M84&lt;TODAY(),O84="Aktif"),"KEDALUWARSA",IF(AND(Q84&lt;&gt;"",Q84&lt;TODAY(),O84="Aktif"),"REVIEW","OK"))))</f>
        <v/>
      </c>
      <c r="S84" s="40" t="n"/>
    </row>
    <row r="85" ht="15" customHeight="1" s="24">
      <c r="A85" s="40" t="n"/>
      <c r="B85" s="40" t="n"/>
      <c r="C85" s="40" t="n"/>
      <c r="D85" s="40" t="n"/>
      <c r="E85" s="40" t="n"/>
      <c r="F85" s="40" t="n"/>
      <c r="G85" s="40" t="n"/>
      <c r="H85" s="41">
        <f>IF(G85="","",IF(OR(G85="Admin",G85="Privileged"),"Ya","Tidak"))</f>
        <v/>
      </c>
      <c r="I85" s="40" t="n"/>
      <c r="J85" s="40" t="n"/>
      <c r="K85" s="40" t="n"/>
      <c r="L85" s="42" t="n"/>
      <c r="M85" s="42" t="n"/>
      <c r="N85" s="42" t="n"/>
      <c r="O85" s="40" t="n"/>
      <c r="P85" s="42" t="n"/>
      <c r="Q85" s="43">
        <f>IF(P85="","",EDATE(P85,IF(H85="Ya",3,6)))</f>
        <v/>
      </c>
      <c r="R85" s="41">
        <f>IF(A85="","",IF(AND(D85="Keluar",O85="Aktif"),"CABUT",IF(AND(M85&lt;&gt;"",M85&lt;TODAY(),O85="Aktif"),"KEDALUWARSA",IF(AND(Q85&lt;&gt;"",Q85&lt;TODAY(),O85="Aktif"),"REVIEW","OK"))))</f>
        <v/>
      </c>
      <c r="S85" s="40" t="n"/>
    </row>
    <row r="86" ht="15" customHeight="1" s="24">
      <c r="A86" s="40" t="n"/>
      <c r="B86" s="40" t="n"/>
      <c r="C86" s="40" t="n"/>
      <c r="D86" s="40" t="n"/>
      <c r="E86" s="40" t="n"/>
      <c r="F86" s="40" t="n"/>
      <c r="G86" s="40" t="n"/>
      <c r="H86" s="41">
        <f>IF(G86="","",IF(OR(G86="Admin",G86="Privileged"),"Ya","Tidak"))</f>
        <v/>
      </c>
      <c r="I86" s="40" t="n"/>
      <c r="J86" s="40" t="n"/>
      <c r="K86" s="40" t="n"/>
      <c r="L86" s="42" t="n"/>
      <c r="M86" s="42" t="n"/>
      <c r="N86" s="42" t="n"/>
      <c r="O86" s="40" t="n"/>
      <c r="P86" s="42" t="n"/>
      <c r="Q86" s="43">
        <f>IF(P86="","",EDATE(P86,IF(H86="Ya",3,6)))</f>
        <v/>
      </c>
      <c r="R86" s="41">
        <f>IF(A86="","",IF(AND(D86="Keluar",O86="Aktif"),"CABUT",IF(AND(M86&lt;&gt;"",M86&lt;TODAY(),O86="Aktif"),"KEDALUWARSA",IF(AND(Q86&lt;&gt;"",Q86&lt;TODAY(),O86="Aktif"),"REVIEW","OK"))))</f>
        <v/>
      </c>
      <c r="S86" s="40" t="n"/>
    </row>
    <row r="87" ht="15" customHeight="1" s="24">
      <c r="A87" s="40" t="n"/>
      <c r="B87" s="40" t="n"/>
      <c r="C87" s="40" t="n"/>
      <c r="D87" s="40" t="n"/>
      <c r="E87" s="40" t="n"/>
      <c r="F87" s="40" t="n"/>
      <c r="G87" s="40" t="n"/>
      <c r="H87" s="41">
        <f>IF(G87="","",IF(OR(G87="Admin",G87="Privileged"),"Ya","Tidak"))</f>
        <v/>
      </c>
      <c r="I87" s="40" t="n"/>
      <c r="J87" s="40" t="n"/>
      <c r="K87" s="40" t="n"/>
      <c r="L87" s="42" t="n"/>
      <c r="M87" s="42" t="n"/>
      <c r="N87" s="42" t="n"/>
      <c r="O87" s="40" t="n"/>
      <c r="P87" s="42" t="n"/>
      <c r="Q87" s="43">
        <f>IF(P87="","",EDATE(P87,IF(H87="Ya",3,6)))</f>
        <v/>
      </c>
      <c r="R87" s="41">
        <f>IF(A87="","",IF(AND(D87="Keluar",O87="Aktif"),"CABUT",IF(AND(M87&lt;&gt;"",M87&lt;TODAY(),O87="Aktif"),"KEDALUWARSA",IF(AND(Q87&lt;&gt;"",Q87&lt;TODAY(),O87="Aktif"),"REVIEW","OK"))))</f>
        <v/>
      </c>
      <c r="S87" s="40" t="n"/>
    </row>
    <row r="88" ht="15" customHeight="1" s="24">
      <c r="A88" s="40" t="n"/>
      <c r="B88" s="40" t="n"/>
      <c r="C88" s="40" t="n"/>
      <c r="D88" s="40" t="n"/>
      <c r="E88" s="40" t="n"/>
      <c r="F88" s="40" t="n"/>
      <c r="G88" s="40" t="n"/>
      <c r="H88" s="41">
        <f>IF(G88="","",IF(OR(G88="Admin",G88="Privileged"),"Ya","Tidak"))</f>
        <v/>
      </c>
      <c r="I88" s="40" t="n"/>
      <c r="J88" s="40" t="n"/>
      <c r="K88" s="40" t="n"/>
      <c r="L88" s="42" t="n"/>
      <c r="M88" s="42" t="n"/>
      <c r="N88" s="42" t="n"/>
      <c r="O88" s="40" t="n"/>
      <c r="P88" s="42" t="n"/>
      <c r="Q88" s="43">
        <f>IF(P88="","",EDATE(P88,IF(H88="Ya",3,6)))</f>
        <v/>
      </c>
      <c r="R88" s="41">
        <f>IF(A88="","",IF(AND(D88="Keluar",O88="Aktif"),"CABUT",IF(AND(M88&lt;&gt;"",M88&lt;TODAY(),O88="Aktif"),"KEDALUWARSA",IF(AND(Q88&lt;&gt;"",Q88&lt;TODAY(),O88="Aktif"),"REVIEW","OK"))))</f>
        <v/>
      </c>
      <c r="S88" s="40" t="n"/>
    </row>
    <row r="89" ht="15" customHeight="1" s="24">
      <c r="A89" s="40" t="n"/>
      <c r="B89" s="40" t="n"/>
      <c r="C89" s="40" t="n"/>
      <c r="D89" s="40" t="n"/>
      <c r="E89" s="40" t="n"/>
      <c r="F89" s="40" t="n"/>
      <c r="G89" s="40" t="n"/>
      <c r="H89" s="41">
        <f>IF(G89="","",IF(OR(G89="Admin",G89="Privileged"),"Ya","Tidak"))</f>
        <v/>
      </c>
      <c r="I89" s="40" t="n"/>
      <c r="J89" s="40" t="n"/>
      <c r="K89" s="40" t="n"/>
      <c r="L89" s="42" t="n"/>
      <c r="M89" s="42" t="n"/>
      <c r="N89" s="42" t="n"/>
      <c r="O89" s="40" t="n"/>
      <c r="P89" s="42" t="n"/>
      <c r="Q89" s="43">
        <f>IF(P89="","",EDATE(P89,IF(H89="Ya",3,6)))</f>
        <v/>
      </c>
      <c r="R89" s="41">
        <f>IF(A89="","",IF(AND(D89="Keluar",O89="Aktif"),"CABUT",IF(AND(M89&lt;&gt;"",M89&lt;TODAY(),O89="Aktif"),"KEDALUWARSA",IF(AND(Q89&lt;&gt;"",Q89&lt;TODAY(),O89="Aktif"),"REVIEW","OK"))))</f>
        <v/>
      </c>
      <c r="S89" s="40" t="n"/>
    </row>
    <row r="90" ht="15" customHeight="1" s="24">
      <c r="A90" s="40" t="n"/>
      <c r="B90" s="40" t="n"/>
      <c r="C90" s="40" t="n"/>
      <c r="D90" s="40" t="n"/>
      <c r="E90" s="40" t="n"/>
      <c r="F90" s="40" t="n"/>
      <c r="G90" s="40" t="n"/>
      <c r="H90" s="41">
        <f>IF(G90="","",IF(OR(G90="Admin",G90="Privileged"),"Ya","Tidak"))</f>
        <v/>
      </c>
      <c r="I90" s="40" t="n"/>
      <c r="J90" s="40" t="n"/>
      <c r="K90" s="40" t="n"/>
      <c r="L90" s="42" t="n"/>
      <c r="M90" s="42" t="n"/>
      <c r="N90" s="42" t="n"/>
      <c r="O90" s="40" t="n"/>
      <c r="P90" s="42" t="n"/>
      <c r="Q90" s="43">
        <f>IF(P90="","",EDATE(P90,IF(H90="Ya",3,6)))</f>
        <v/>
      </c>
      <c r="R90" s="41">
        <f>IF(A90="","",IF(AND(D90="Keluar",O90="Aktif"),"CABUT",IF(AND(M90&lt;&gt;"",M90&lt;TODAY(),O90="Aktif"),"KEDALUWARSA",IF(AND(Q90&lt;&gt;"",Q90&lt;TODAY(),O90="Aktif"),"REVIEW","OK"))))</f>
        <v/>
      </c>
      <c r="S90" s="40" t="n"/>
    </row>
    <row r="91" ht="15" customHeight="1" s="24">
      <c r="A91" s="40" t="n"/>
      <c r="B91" s="40" t="n"/>
      <c r="C91" s="40" t="n"/>
      <c r="D91" s="40" t="n"/>
      <c r="E91" s="40" t="n"/>
      <c r="F91" s="40" t="n"/>
      <c r="G91" s="40" t="n"/>
      <c r="H91" s="41">
        <f>IF(G91="","",IF(OR(G91="Admin",G91="Privileged"),"Ya","Tidak"))</f>
        <v/>
      </c>
      <c r="I91" s="40" t="n"/>
      <c r="J91" s="40" t="n"/>
      <c r="K91" s="40" t="n"/>
      <c r="L91" s="42" t="n"/>
      <c r="M91" s="42" t="n"/>
      <c r="N91" s="42" t="n"/>
      <c r="O91" s="40" t="n"/>
      <c r="P91" s="42" t="n"/>
      <c r="Q91" s="43">
        <f>IF(P91="","",EDATE(P91,IF(H91="Ya",3,6)))</f>
        <v/>
      </c>
      <c r="R91" s="41">
        <f>IF(A91="","",IF(AND(D91="Keluar",O91="Aktif"),"CABUT",IF(AND(M91&lt;&gt;"",M91&lt;TODAY(),O91="Aktif"),"KEDALUWARSA",IF(AND(Q91&lt;&gt;"",Q91&lt;TODAY(),O91="Aktif"),"REVIEW","OK"))))</f>
        <v/>
      </c>
      <c r="S91" s="40" t="n"/>
    </row>
    <row r="92" ht="15" customHeight="1" s="24">
      <c r="A92" s="40" t="n"/>
      <c r="B92" s="40" t="n"/>
      <c r="C92" s="40" t="n"/>
      <c r="D92" s="40" t="n"/>
      <c r="E92" s="40" t="n"/>
      <c r="F92" s="40" t="n"/>
      <c r="G92" s="40" t="n"/>
      <c r="H92" s="41">
        <f>IF(G92="","",IF(OR(G92="Admin",G92="Privileged"),"Ya","Tidak"))</f>
        <v/>
      </c>
      <c r="I92" s="40" t="n"/>
      <c r="J92" s="40" t="n"/>
      <c r="K92" s="40" t="n"/>
      <c r="L92" s="42" t="n"/>
      <c r="M92" s="42" t="n"/>
      <c r="N92" s="42" t="n"/>
      <c r="O92" s="40" t="n"/>
      <c r="P92" s="42" t="n"/>
      <c r="Q92" s="43">
        <f>IF(P92="","",EDATE(P92,IF(H92="Ya",3,6)))</f>
        <v/>
      </c>
      <c r="R92" s="41">
        <f>IF(A92="","",IF(AND(D92="Keluar",O92="Aktif"),"CABUT",IF(AND(M92&lt;&gt;"",M92&lt;TODAY(),O92="Aktif"),"KEDALUWARSA",IF(AND(Q92&lt;&gt;"",Q92&lt;TODAY(),O92="Aktif"),"REVIEW","OK"))))</f>
        <v/>
      </c>
      <c r="S92" s="40" t="n"/>
    </row>
    <row r="93" ht="15" customHeight="1" s="24">
      <c r="A93" s="40" t="n"/>
      <c r="B93" s="40" t="n"/>
      <c r="C93" s="40" t="n"/>
      <c r="D93" s="40" t="n"/>
      <c r="E93" s="40" t="n"/>
      <c r="F93" s="40" t="n"/>
      <c r="G93" s="40" t="n"/>
      <c r="H93" s="41">
        <f>IF(G93="","",IF(OR(G93="Admin",G93="Privileged"),"Ya","Tidak"))</f>
        <v/>
      </c>
      <c r="I93" s="40" t="n"/>
      <c r="J93" s="40" t="n"/>
      <c r="K93" s="40" t="n"/>
      <c r="L93" s="42" t="n"/>
      <c r="M93" s="42" t="n"/>
      <c r="N93" s="42" t="n"/>
      <c r="O93" s="40" t="n"/>
      <c r="P93" s="42" t="n"/>
      <c r="Q93" s="43">
        <f>IF(P93="","",EDATE(P93,IF(H93="Ya",3,6)))</f>
        <v/>
      </c>
      <c r="R93" s="41">
        <f>IF(A93="","",IF(AND(D93="Keluar",O93="Aktif"),"CABUT",IF(AND(M93&lt;&gt;"",M93&lt;TODAY(),O93="Aktif"),"KEDALUWARSA",IF(AND(Q93&lt;&gt;"",Q93&lt;TODAY(),O93="Aktif"),"REVIEW","OK"))))</f>
        <v/>
      </c>
      <c r="S93" s="40" t="n"/>
    </row>
    <row r="94" ht="15" customHeight="1" s="24">
      <c r="A94" s="40" t="n"/>
      <c r="B94" s="40" t="n"/>
      <c r="C94" s="40" t="n"/>
      <c r="D94" s="40" t="n"/>
      <c r="E94" s="40" t="n"/>
      <c r="F94" s="40" t="n"/>
      <c r="G94" s="40" t="n"/>
      <c r="H94" s="41">
        <f>IF(G94="","",IF(OR(G94="Admin",G94="Privileged"),"Ya","Tidak"))</f>
        <v/>
      </c>
      <c r="I94" s="40" t="n"/>
      <c r="J94" s="40" t="n"/>
      <c r="K94" s="40" t="n"/>
      <c r="L94" s="42" t="n"/>
      <c r="M94" s="42" t="n"/>
      <c r="N94" s="42" t="n"/>
      <c r="O94" s="40" t="n"/>
      <c r="P94" s="42" t="n"/>
      <c r="Q94" s="43">
        <f>IF(P94="","",EDATE(P94,IF(H94="Ya",3,6)))</f>
        <v/>
      </c>
      <c r="R94" s="41">
        <f>IF(A94="","",IF(AND(D94="Keluar",O94="Aktif"),"CABUT",IF(AND(M94&lt;&gt;"",M94&lt;TODAY(),O94="Aktif"),"KEDALUWARSA",IF(AND(Q94&lt;&gt;"",Q94&lt;TODAY(),O94="Aktif"),"REVIEW","OK"))))</f>
        <v/>
      </c>
      <c r="S94" s="40" t="n"/>
    </row>
    <row r="95" ht="15" customHeight="1" s="24">
      <c r="A95" s="40" t="n"/>
      <c r="B95" s="40" t="n"/>
      <c r="C95" s="40" t="n"/>
      <c r="D95" s="40" t="n"/>
      <c r="E95" s="40" t="n"/>
      <c r="F95" s="40" t="n"/>
      <c r="G95" s="40" t="n"/>
      <c r="H95" s="41">
        <f>IF(G95="","",IF(OR(G95="Admin",G95="Privileged"),"Ya","Tidak"))</f>
        <v/>
      </c>
      <c r="I95" s="40" t="n"/>
      <c r="J95" s="40" t="n"/>
      <c r="K95" s="40" t="n"/>
      <c r="L95" s="42" t="n"/>
      <c r="M95" s="42" t="n"/>
      <c r="N95" s="42" t="n"/>
      <c r="O95" s="40" t="n"/>
      <c r="P95" s="42" t="n"/>
      <c r="Q95" s="43">
        <f>IF(P95="","",EDATE(P95,IF(H95="Ya",3,6)))</f>
        <v/>
      </c>
      <c r="R95" s="41">
        <f>IF(A95="","",IF(AND(D95="Keluar",O95="Aktif"),"CABUT",IF(AND(M95&lt;&gt;"",M95&lt;TODAY(),O95="Aktif"),"KEDALUWARSA",IF(AND(Q95&lt;&gt;"",Q95&lt;TODAY(),O95="Aktif"),"REVIEW","OK"))))</f>
        <v/>
      </c>
      <c r="S95" s="40" t="n"/>
    </row>
    <row r="96" ht="15" customHeight="1" s="24">
      <c r="A96" s="40" t="n"/>
      <c r="B96" s="40" t="n"/>
      <c r="C96" s="40" t="n"/>
      <c r="D96" s="40" t="n"/>
      <c r="E96" s="40" t="n"/>
      <c r="F96" s="40" t="n"/>
      <c r="G96" s="40" t="n"/>
      <c r="H96" s="41">
        <f>IF(G96="","",IF(OR(G96="Admin",G96="Privileged"),"Ya","Tidak"))</f>
        <v/>
      </c>
      <c r="I96" s="40" t="n"/>
      <c r="J96" s="40" t="n"/>
      <c r="K96" s="40" t="n"/>
      <c r="L96" s="42" t="n"/>
      <c r="M96" s="42" t="n"/>
      <c r="N96" s="42" t="n"/>
      <c r="O96" s="40" t="n"/>
      <c r="P96" s="42" t="n"/>
      <c r="Q96" s="43">
        <f>IF(P96="","",EDATE(P96,IF(H96="Ya",3,6)))</f>
        <v/>
      </c>
      <c r="R96" s="41">
        <f>IF(A96="","",IF(AND(D96="Keluar",O96="Aktif"),"CABUT",IF(AND(M96&lt;&gt;"",M96&lt;TODAY(),O96="Aktif"),"KEDALUWARSA",IF(AND(Q96&lt;&gt;"",Q96&lt;TODAY(),O96="Aktif"),"REVIEW","OK"))))</f>
        <v/>
      </c>
      <c r="S96" s="40" t="n"/>
    </row>
    <row r="97" ht="15" customHeight="1" s="24">
      <c r="A97" s="40" t="n"/>
      <c r="B97" s="40" t="n"/>
      <c r="C97" s="40" t="n"/>
      <c r="D97" s="40" t="n"/>
      <c r="E97" s="40" t="n"/>
      <c r="F97" s="40" t="n"/>
      <c r="G97" s="40" t="n"/>
      <c r="H97" s="41">
        <f>IF(G97="","",IF(OR(G97="Admin",G97="Privileged"),"Ya","Tidak"))</f>
        <v/>
      </c>
      <c r="I97" s="40" t="n"/>
      <c r="J97" s="40" t="n"/>
      <c r="K97" s="40" t="n"/>
      <c r="L97" s="42" t="n"/>
      <c r="M97" s="42" t="n"/>
      <c r="N97" s="42" t="n"/>
      <c r="O97" s="40" t="n"/>
      <c r="P97" s="42" t="n"/>
      <c r="Q97" s="43">
        <f>IF(P97="","",EDATE(P97,IF(H97="Ya",3,6)))</f>
        <v/>
      </c>
      <c r="R97" s="41">
        <f>IF(A97="","",IF(AND(D97="Keluar",O97="Aktif"),"CABUT",IF(AND(M97&lt;&gt;"",M97&lt;TODAY(),O97="Aktif"),"KEDALUWARSA",IF(AND(Q97&lt;&gt;"",Q97&lt;TODAY(),O97="Aktif"),"REVIEW","OK"))))</f>
        <v/>
      </c>
      <c r="S97" s="40" t="n"/>
    </row>
    <row r="98" ht="15" customHeight="1" s="24">
      <c r="A98" s="40" t="n"/>
      <c r="B98" s="40" t="n"/>
      <c r="C98" s="40" t="n"/>
      <c r="D98" s="40" t="n"/>
      <c r="E98" s="40" t="n"/>
      <c r="F98" s="40" t="n"/>
      <c r="G98" s="40" t="n"/>
      <c r="H98" s="41">
        <f>IF(G98="","",IF(OR(G98="Admin",G98="Privileged"),"Ya","Tidak"))</f>
        <v/>
      </c>
      <c r="I98" s="40" t="n"/>
      <c r="J98" s="40" t="n"/>
      <c r="K98" s="40" t="n"/>
      <c r="L98" s="42" t="n"/>
      <c r="M98" s="42" t="n"/>
      <c r="N98" s="42" t="n"/>
      <c r="O98" s="40" t="n"/>
      <c r="P98" s="42" t="n"/>
      <c r="Q98" s="43">
        <f>IF(P98="","",EDATE(P98,IF(H98="Ya",3,6)))</f>
        <v/>
      </c>
      <c r="R98" s="41">
        <f>IF(A98="","",IF(AND(D98="Keluar",O98="Aktif"),"CABUT",IF(AND(M98&lt;&gt;"",M98&lt;TODAY(),O98="Aktif"),"KEDALUWARSA",IF(AND(Q98&lt;&gt;"",Q98&lt;TODAY(),O98="Aktif"),"REVIEW","OK"))))</f>
        <v/>
      </c>
      <c r="S98" s="40" t="n"/>
    </row>
    <row r="99" ht="15" customHeight="1" s="24">
      <c r="A99" s="40" t="n"/>
      <c r="B99" s="40" t="n"/>
      <c r="C99" s="40" t="n"/>
      <c r="D99" s="40" t="n"/>
      <c r="E99" s="40" t="n"/>
      <c r="F99" s="40" t="n"/>
      <c r="G99" s="40" t="n"/>
      <c r="H99" s="41">
        <f>IF(G99="","",IF(OR(G99="Admin",G99="Privileged"),"Ya","Tidak"))</f>
        <v/>
      </c>
      <c r="I99" s="40" t="n"/>
      <c r="J99" s="40" t="n"/>
      <c r="K99" s="40" t="n"/>
      <c r="L99" s="42" t="n"/>
      <c r="M99" s="42" t="n"/>
      <c r="N99" s="42" t="n"/>
      <c r="O99" s="40" t="n"/>
      <c r="P99" s="42" t="n"/>
      <c r="Q99" s="43">
        <f>IF(P99="","",EDATE(P99,IF(H99="Ya",3,6)))</f>
        <v/>
      </c>
      <c r="R99" s="41">
        <f>IF(A99="","",IF(AND(D99="Keluar",O99="Aktif"),"CABUT",IF(AND(M99&lt;&gt;"",M99&lt;TODAY(),O99="Aktif"),"KEDALUWARSA",IF(AND(Q99&lt;&gt;"",Q99&lt;TODAY(),O99="Aktif"),"REVIEW","OK"))))</f>
        <v/>
      </c>
      <c r="S99" s="40" t="n"/>
    </row>
    <row r="100" ht="15" customHeight="1" s="24">
      <c r="A100" s="40" t="n"/>
      <c r="B100" s="40" t="n"/>
      <c r="C100" s="40" t="n"/>
      <c r="D100" s="40" t="n"/>
      <c r="E100" s="40" t="n"/>
      <c r="F100" s="40" t="n"/>
      <c r="G100" s="40" t="n"/>
      <c r="H100" s="41">
        <f>IF(G100="","",IF(OR(G100="Admin",G100="Privileged"),"Ya","Tidak"))</f>
        <v/>
      </c>
      <c r="I100" s="40" t="n"/>
      <c r="J100" s="40" t="n"/>
      <c r="K100" s="40" t="n"/>
      <c r="L100" s="42" t="n"/>
      <c r="M100" s="42" t="n"/>
      <c r="N100" s="42" t="n"/>
      <c r="O100" s="40" t="n"/>
      <c r="P100" s="42" t="n"/>
      <c r="Q100" s="43">
        <f>IF(P100="","",EDATE(P100,IF(H100="Ya",3,6)))</f>
        <v/>
      </c>
      <c r="R100" s="41">
        <f>IF(A100="","",IF(AND(D100="Keluar",O100="Aktif"),"CABUT",IF(AND(M100&lt;&gt;"",M100&lt;TODAY(),O100="Aktif"),"KEDALUWARSA",IF(AND(Q100&lt;&gt;"",Q100&lt;TODAY(),O100="Aktif"),"REVIEW","OK"))))</f>
        <v/>
      </c>
      <c r="S100" s="40" t="n"/>
    </row>
    <row r="101" ht="15" customHeight="1" s="24">
      <c r="A101" s="40" t="n"/>
      <c r="B101" s="40" t="n"/>
      <c r="C101" s="40" t="n"/>
      <c r="D101" s="40" t="n"/>
      <c r="E101" s="40" t="n"/>
      <c r="F101" s="40" t="n"/>
      <c r="G101" s="40" t="n"/>
      <c r="H101" s="41">
        <f>IF(G101="","",IF(OR(G101="Admin",G101="Privileged"),"Ya","Tidak"))</f>
        <v/>
      </c>
      <c r="I101" s="40" t="n"/>
      <c r="J101" s="40" t="n"/>
      <c r="K101" s="40" t="n"/>
      <c r="L101" s="42" t="n"/>
      <c r="M101" s="42" t="n"/>
      <c r="N101" s="42" t="n"/>
      <c r="O101" s="40" t="n"/>
      <c r="P101" s="42" t="n"/>
      <c r="Q101" s="43">
        <f>IF(P101="","",EDATE(P101,IF(H101="Ya",3,6)))</f>
        <v/>
      </c>
      <c r="R101" s="41">
        <f>IF(A101="","",IF(AND(D101="Keluar",O101="Aktif"),"CABUT",IF(AND(M101&lt;&gt;"",M101&lt;TODAY(),O101="Aktif"),"KEDALUWARSA",IF(AND(Q101&lt;&gt;"",Q101&lt;TODAY(),O101="Aktif"),"REVIEW","OK"))))</f>
        <v/>
      </c>
      <c r="S101" s="40" t="n"/>
    </row>
    <row r="102" ht="15" customHeight="1" s="24">
      <c r="A102" s="40" t="n"/>
      <c r="B102" s="40" t="n"/>
      <c r="C102" s="40" t="n"/>
      <c r="D102" s="40" t="n"/>
      <c r="E102" s="40" t="n"/>
      <c r="F102" s="40" t="n"/>
      <c r="G102" s="40" t="n"/>
      <c r="H102" s="41">
        <f>IF(G102="","",IF(OR(G102="Admin",G102="Privileged"),"Ya","Tidak"))</f>
        <v/>
      </c>
      <c r="I102" s="40" t="n"/>
      <c r="J102" s="40" t="n"/>
      <c r="K102" s="40" t="n"/>
      <c r="L102" s="42" t="n"/>
      <c r="M102" s="42" t="n"/>
      <c r="N102" s="42" t="n"/>
      <c r="O102" s="40" t="n"/>
      <c r="P102" s="42" t="n"/>
      <c r="Q102" s="43">
        <f>IF(P102="","",EDATE(P102,IF(H102="Ya",3,6)))</f>
        <v/>
      </c>
      <c r="R102" s="41">
        <f>IF(A102="","",IF(AND(D102="Keluar",O102="Aktif"),"CABUT",IF(AND(M102&lt;&gt;"",M102&lt;TODAY(),O102="Aktif"),"KEDALUWARSA",IF(AND(Q102&lt;&gt;"",Q102&lt;TODAY(),O102="Aktif"),"REVIEW","OK"))))</f>
        <v/>
      </c>
      <c r="S102" s="40" t="n"/>
    </row>
    <row r="103" ht="15" customHeight="1" s="24">
      <c r="A103" s="40" t="n"/>
      <c r="B103" s="40" t="n"/>
      <c r="C103" s="40" t="n"/>
      <c r="D103" s="40" t="n"/>
      <c r="E103" s="40" t="n"/>
      <c r="F103" s="40" t="n"/>
      <c r="G103" s="40" t="n"/>
      <c r="H103" s="41">
        <f>IF(G103="","",IF(OR(G103="Admin",G103="Privileged"),"Ya","Tidak"))</f>
        <v/>
      </c>
      <c r="I103" s="40" t="n"/>
      <c r="J103" s="40" t="n"/>
      <c r="K103" s="40" t="n"/>
      <c r="L103" s="42" t="n"/>
      <c r="M103" s="42" t="n"/>
      <c r="N103" s="42" t="n"/>
      <c r="O103" s="40" t="n"/>
      <c r="P103" s="42" t="n"/>
      <c r="Q103" s="43">
        <f>IF(P103="","",EDATE(P103,IF(H103="Ya",3,6)))</f>
        <v/>
      </c>
      <c r="R103" s="41">
        <f>IF(A103="","",IF(AND(D103="Keluar",O103="Aktif"),"CABUT",IF(AND(M103&lt;&gt;"",M103&lt;TODAY(),O103="Aktif"),"KEDALUWARSA",IF(AND(Q103&lt;&gt;"",Q103&lt;TODAY(),O103="Aktif"),"REVIEW","OK"))))</f>
        <v/>
      </c>
      <c r="S103" s="40" t="n"/>
    </row>
    <row r="104" ht="15" customHeight="1" s="24">
      <c r="A104" s="40" t="n"/>
      <c r="B104" s="40" t="n"/>
      <c r="C104" s="40" t="n"/>
      <c r="D104" s="40" t="n"/>
      <c r="E104" s="40" t="n"/>
      <c r="F104" s="40" t="n"/>
      <c r="G104" s="40" t="n"/>
      <c r="H104" s="41">
        <f>IF(G104="","",IF(OR(G104="Admin",G104="Privileged"),"Ya","Tidak"))</f>
        <v/>
      </c>
      <c r="I104" s="40" t="n"/>
      <c r="J104" s="40" t="n"/>
      <c r="K104" s="40" t="n"/>
      <c r="L104" s="42" t="n"/>
      <c r="M104" s="42" t="n"/>
      <c r="N104" s="42" t="n"/>
      <c r="O104" s="40" t="n"/>
      <c r="P104" s="42" t="n"/>
      <c r="Q104" s="43">
        <f>IF(P104="","",EDATE(P104,IF(H104="Ya",3,6)))</f>
        <v/>
      </c>
      <c r="R104" s="41">
        <f>IF(A104="","",IF(AND(D104="Keluar",O104="Aktif"),"CABUT",IF(AND(M104&lt;&gt;"",M104&lt;TODAY(),O104="Aktif"),"KEDALUWARSA",IF(AND(Q104&lt;&gt;"",Q104&lt;TODAY(),O104="Aktif"),"REVIEW","OK"))))</f>
        <v/>
      </c>
      <c r="S104" s="40" t="n"/>
    </row>
    <row r="105" ht="15" customHeight="1" s="24">
      <c r="A105" s="40" t="n"/>
      <c r="B105" s="40" t="n"/>
      <c r="C105" s="40" t="n"/>
      <c r="D105" s="40" t="n"/>
      <c r="E105" s="40" t="n"/>
      <c r="F105" s="40" t="n"/>
      <c r="G105" s="40" t="n"/>
      <c r="H105" s="41">
        <f>IF(G105="","",IF(OR(G105="Admin",G105="Privileged"),"Ya","Tidak"))</f>
        <v/>
      </c>
      <c r="I105" s="40" t="n"/>
      <c r="J105" s="40" t="n"/>
      <c r="K105" s="40" t="n"/>
      <c r="L105" s="42" t="n"/>
      <c r="M105" s="42" t="n"/>
      <c r="N105" s="42" t="n"/>
      <c r="O105" s="40" t="n"/>
      <c r="P105" s="42" t="n"/>
      <c r="Q105" s="43">
        <f>IF(P105="","",EDATE(P105,IF(H105="Ya",3,6)))</f>
        <v/>
      </c>
      <c r="R105" s="41">
        <f>IF(A105="","",IF(AND(D105="Keluar",O105="Aktif"),"CABUT",IF(AND(M105&lt;&gt;"",M105&lt;TODAY(),O105="Aktif"),"KEDALUWARSA",IF(AND(Q105&lt;&gt;"",Q105&lt;TODAY(),O105="Aktif"),"REVIEW","OK"))))</f>
        <v/>
      </c>
      <c r="S105" s="40" t="n"/>
    </row>
    <row r="106" ht="15" customHeight="1" s="24">
      <c r="A106" s="40" t="n"/>
      <c r="B106" s="40" t="n"/>
      <c r="C106" s="40" t="n"/>
      <c r="D106" s="40" t="n"/>
      <c r="E106" s="40" t="n"/>
      <c r="F106" s="40" t="n"/>
      <c r="G106" s="40" t="n"/>
      <c r="H106" s="41">
        <f>IF(G106="","",IF(OR(G106="Admin",G106="Privileged"),"Ya","Tidak"))</f>
        <v/>
      </c>
      <c r="I106" s="40" t="n"/>
      <c r="J106" s="40" t="n"/>
      <c r="K106" s="40" t="n"/>
      <c r="L106" s="42" t="n"/>
      <c r="M106" s="42" t="n"/>
      <c r="N106" s="42" t="n"/>
      <c r="O106" s="40" t="n"/>
      <c r="P106" s="42" t="n"/>
      <c r="Q106" s="43">
        <f>IF(P106="","",EDATE(P106,IF(H106="Ya",3,6)))</f>
        <v/>
      </c>
      <c r="R106" s="41">
        <f>IF(A106="","",IF(AND(D106="Keluar",O106="Aktif"),"CABUT",IF(AND(M106&lt;&gt;"",M106&lt;TODAY(),O106="Aktif"),"KEDALUWARSA",IF(AND(Q106&lt;&gt;"",Q106&lt;TODAY(),O106="Aktif"),"REVIEW","OK"))))</f>
        <v/>
      </c>
      <c r="S106" s="40" t="n"/>
    </row>
    <row r="107" ht="15" customHeight="1" s="24">
      <c r="A107" s="40" t="n"/>
      <c r="B107" s="40" t="n"/>
      <c r="C107" s="40" t="n"/>
      <c r="D107" s="40" t="n"/>
      <c r="E107" s="40" t="n"/>
      <c r="F107" s="40" t="n"/>
      <c r="G107" s="40" t="n"/>
      <c r="H107" s="41">
        <f>IF(G107="","",IF(OR(G107="Admin",G107="Privileged"),"Ya","Tidak"))</f>
        <v/>
      </c>
      <c r="I107" s="40" t="n"/>
      <c r="J107" s="40" t="n"/>
      <c r="K107" s="40" t="n"/>
      <c r="L107" s="42" t="n"/>
      <c r="M107" s="42" t="n"/>
      <c r="N107" s="42" t="n"/>
      <c r="O107" s="40" t="n"/>
      <c r="P107" s="42" t="n"/>
      <c r="Q107" s="43">
        <f>IF(P107="","",EDATE(P107,IF(H107="Ya",3,6)))</f>
        <v/>
      </c>
      <c r="R107" s="41">
        <f>IF(A107="","",IF(AND(D107="Keluar",O107="Aktif"),"CABUT",IF(AND(M107&lt;&gt;"",M107&lt;TODAY(),O107="Aktif"),"KEDALUWARSA",IF(AND(Q107&lt;&gt;"",Q107&lt;TODAY(),O107="Aktif"),"REVIEW","OK"))))</f>
        <v/>
      </c>
      <c r="S107" s="40" t="n"/>
    </row>
    <row r="108" ht="15" customHeight="1" s="24">
      <c r="A108" s="40" t="n"/>
      <c r="B108" s="40" t="n"/>
      <c r="C108" s="40" t="n"/>
      <c r="D108" s="40" t="n"/>
      <c r="E108" s="40" t="n"/>
      <c r="F108" s="40" t="n"/>
      <c r="G108" s="40" t="n"/>
      <c r="H108" s="41">
        <f>IF(G108="","",IF(OR(G108="Admin",G108="Privileged"),"Ya","Tidak"))</f>
        <v/>
      </c>
      <c r="I108" s="40" t="n"/>
      <c r="J108" s="40" t="n"/>
      <c r="K108" s="40" t="n"/>
      <c r="L108" s="42" t="n"/>
      <c r="M108" s="42" t="n"/>
      <c r="N108" s="42" t="n"/>
      <c r="O108" s="40" t="n"/>
      <c r="P108" s="42" t="n"/>
      <c r="Q108" s="43">
        <f>IF(P108="","",EDATE(P108,IF(H108="Ya",3,6)))</f>
        <v/>
      </c>
      <c r="R108" s="41">
        <f>IF(A108="","",IF(AND(D108="Keluar",O108="Aktif"),"CABUT",IF(AND(M108&lt;&gt;"",M108&lt;TODAY(),O108="Aktif"),"KEDALUWARSA",IF(AND(Q108&lt;&gt;"",Q108&lt;TODAY(),O108="Aktif"),"REVIEW","OK"))))</f>
        <v/>
      </c>
      <c r="S108" s="40" t="n"/>
    </row>
    <row r="109" ht="15" customHeight="1" s="24">
      <c r="A109" s="40" t="n"/>
      <c r="B109" s="40" t="n"/>
      <c r="C109" s="40" t="n"/>
      <c r="D109" s="40" t="n"/>
      <c r="E109" s="40" t="n"/>
      <c r="F109" s="40" t="n"/>
      <c r="G109" s="40" t="n"/>
      <c r="H109" s="41">
        <f>IF(G109="","",IF(OR(G109="Admin",G109="Privileged"),"Ya","Tidak"))</f>
        <v/>
      </c>
      <c r="I109" s="40" t="n"/>
      <c r="J109" s="40" t="n"/>
      <c r="K109" s="40" t="n"/>
      <c r="L109" s="42" t="n"/>
      <c r="M109" s="42" t="n"/>
      <c r="N109" s="42" t="n"/>
      <c r="O109" s="40" t="n"/>
      <c r="P109" s="42" t="n"/>
      <c r="Q109" s="43">
        <f>IF(P109="","",EDATE(P109,IF(H109="Ya",3,6)))</f>
        <v/>
      </c>
      <c r="R109" s="41">
        <f>IF(A109="","",IF(AND(D109="Keluar",O109="Aktif"),"CABUT",IF(AND(M109&lt;&gt;"",M109&lt;TODAY(),O109="Aktif"),"KEDALUWARSA",IF(AND(Q109&lt;&gt;"",Q109&lt;TODAY(),O109="Aktif"),"REVIEW","OK"))))</f>
        <v/>
      </c>
      <c r="S109" s="40" t="n"/>
    </row>
    <row r="110" ht="15" customHeight="1" s="24">
      <c r="A110" s="40" t="n"/>
      <c r="B110" s="40" t="n"/>
      <c r="C110" s="40" t="n"/>
      <c r="D110" s="40" t="n"/>
      <c r="E110" s="40" t="n"/>
      <c r="F110" s="40" t="n"/>
      <c r="G110" s="40" t="n"/>
      <c r="H110" s="41">
        <f>IF(G110="","",IF(OR(G110="Admin",G110="Privileged"),"Ya","Tidak"))</f>
        <v/>
      </c>
      <c r="I110" s="40" t="n"/>
      <c r="J110" s="40" t="n"/>
      <c r="K110" s="40" t="n"/>
      <c r="L110" s="42" t="n"/>
      <c r="M110" s="42" t="n"/>
      <c r="N110" s="42" t="n"/>
      <c r="O110" s="40" t="n"/>
      <c r="P110" s="42" t="n"/>
      <c r="Q110" s="43">
        <f>IF(P110="","",EDATE(P110,IF(H110="Ya",3,6)))</f>
        <v/>
      </c>
      <c r="R110" s="41">
        <f>IF(A110="","",IF(AND(D110="Keluar",O110="Aktif"),"CABUT",IF(AND(M110&lt;&gt;"",M110&lt;TODAY(),O110="Aktif"),"KEDALUWARSA",IF(AND(Q110&lt;&gt;"",Q110&lt;TODAY(),O110="Aktif"),"REVIEW","OK"))))</f>
        <v/>
      </c>
      <c r="S110" s="40" t="n"/>
    </row>
    <row r="111" ht="15" customHeight="1" s="24">
      <c r="A111" s="40" t="n"/>
      <c r="B111" s="40" t="n"/>
      <c r="C111" s="40" t="n"/>
      <c r="D111" s="40" t="n"/>
      <c r="E111" s="40" t="n"/>
      <c r="F111" s="40" t="n"/>
      <c r="G111" s="40" t="n"/>
      <c r="H111" s="41">
        <f>IF(G111="","",IF(OR(G111="Admin",G111="Privileged"),"Ya","Tidak"))</f>
        <v/>
      </c>
      <c r="I111" s="40" t="n"/>
      <c r="J111" s="40" t="n"/>
      <c r="K111" s="40" t="n"/>
      <c r="L111" s="42" t="n"/>
      <c r="M111" s="42" t="n"/>
      <c r="N111" s="42" t="n"/>
      <c r="O111" s="40" t="n"/>
      <c r="P111" s="42" t="n"/>
      <c r="Q111" s="43">
        <f>IF(P111="","",EDATE(P111,IF(H111="Ya",3,6)))</f>
        <v/>
      </c>
      <c r="R111" s="41">
        <f>IF(A111="","",IF(AND(D111="Keluar",O111="Aktif"),"CABUT",IF(AND(M111&lt;&gt;"",M111&lt;TODAY(),O111="Aktif"),"KEDALUWARSA",IF(AND(Q111&lt;&gt;"",Q111&lt;TODAY(),O111="Aktif"),"REVIEW","OK"))))</f>
        <v/>
      </c>
      <c r="S111" s="40" t="n"/>
    </row>
    <row r="112" ht="15" customHeight="1" s="24">
      <c r="A112" s="40" t="n"/>
      <c r="B112" s="40" t="n"/>
      <c r="C112" s="40" t="n"/>
      <c r="D112" s="40" t="n"/>
      <c r="E112" s="40" t="n"/>
      <c r="F112" s="40" t="n"/>
      <c r="G112" s="40" t="n"/>
      <c r="H112" s="41">
        <f>IF(G112="","",IF(OR(G112="Admin",G112="Privileged"),"Ya","Tidak"))</f>
        <v/>
      </c>
      <c r="I112" s="40" t="n"/>
      <c r="J112" s="40" t="n"/>
      <c r="K112" s="40" t="n"/>
      <c r="L112" s="42" t="n"/>
      <c r="M112" s="42" t="n"/>
      <c r="N112" s="42" t="n"/>
      <c r="O112" s="40" t="n"/>
      <c r="P112" s="42" t="n"/>
      <c r="Q112" s="43">
        <f>IF(P112="","",EDATE(P112,IF(H112="Ya",3,6)))</f>
        <v/>
      </c>
      <c r="R112" s="41">
        <f>IF(A112="","",IF(AND(D112="Keluar",O112="Aktif"),"CABUT",IF(AND(M112&lt;&gt;"",M112&lt;TODAY(),O112="Aktif"),"KEDALUWARSA",IF(AND(Q112&lt;&gt;"",Q112&lt;TODAY(),O112="Aktif"),"REVIEW","OK"))))</f>
        <v/>
      </c>
      <c r="S112" s="40" t="n"/>
    </row>
    <row r="113" ht="15" customHeight="1" s="24">
      <c r="A113" s="40" t="n"/>
      <c r="B113" s="40" t="n"/>
      <c r="C113" s="40" t="n"/>
      <c r="D113" s="40" t="n"/>
      <c r="E113" s="40" t="n"/>
      <c r="F113" s="40" t="n"/>
      <c r="G113" s="40" t="n"/>
      <c r="H113" s="41">
        <f>IF(G113="","",IF(OR(G113="Admin",G113="Privileged"),"Ya","Tidak"))</f>
        <v/>
      </c>
      <c r="I113" s="40" t="n"/>
      <c r="J113" s="40" t="n"/>
      <c r="K113" s="40" t="n"/>
      <c r="L113" s="42" t="n"/>
      <c r="M113" s="42" t="n"/>
      <c r="N113" s="42" t="n"/>
      <c r="O113" s="40" t="n"/>
      <c r="P113" s="42" t="n"/>
      <c r="Q113" s="43">
        <f>IF(P113="","",EDATE(P113,IF(H113="Ya",3,6)))</f>
        <v/>
      </c>
      <c r="R113" s="41">
        <f>IF(A113="","",IF(AND(D113="Keluar",O113="Aktif"),"CABUT",IF(AND(M113&lt;&gt;"",M113&lt;TODAY(),O113="Aktif"),"KEDALUWARSA",IF(AND(Q113&lt;&gt;"",Q113&lt;TODAY(),O113="Aktif"),"REVIEW","OK"))))</f>
        <v/>
      </c>
      <c r="S113" s="40" t="n"/>
    </row>
    <row r="114" ht="15" customHeight="1" s="24">
      <c r="A114" s="40" t="n"/>
      <c r="B114" s="40" t="n"/>
      <c r="C114" s="40" t="n"/>
      <c r="D114" s="40" t="n"/>
      <c r="E114" s="40" t="n"/>
      <c r="F114" s="40" t="n"/>
      <c r="G114" s="40" t="n"/>
      <c r="H114" s="41">
        <f>IF(G114="","",IF(OR(G114="Admin",G114="Privileged"),"Ya","Tidak"))</f>
        <v/>
      </c>
      <c r="I114" s="40" t="n"/>
      <c r="J114" s="40" t="n"/>
      <c r="K114" s="40" t="n"/>
      <c r="L114" s="42" t="n"/>
      <c r="M114" s="42" t="n"/>
      <c r="N114" s="42" t="n"/>
      <c r="O114" s="40" t="n"/>
      <c r="P114" s="42" t="n"/>
      <c r="Q114" s="43">
        <f>IF(P114="","",EDATE(P114,IF(H114="Ya",3,6)))</f>
        <v/>
      </c>
      <c r="R114" s="41">
        <f>IF(A114="","",IF(AND(D114="Keluar",O114="Aktif"),"CABUT",IF(AND(M114&lt;&gt;"",M114&lt;TODAY(),O114="Aktif"),"KEDALUWARSA",IF(AND(Q114&lt;&gt;"",Q114&lt;TODAY(),O114="Aktif"),"REVIEW","OK"))))</f>
        <v/>
      </c>
      <c r="S114" s="40" t="n"/>
    </row>
    <row r="115" ht="15" customHeight="1" s="24">
      <c r="A115" s="40" t="n"/>
      <c r="B115" s="40" t="n"/>
      <c r="C115" s="40" t="n"/>
      <c r="D115" s="40" t="n"/>
      <c r="E115" s="40" t="n"/>
      <c r="F115" s="40" t="n"/>
      <c r="G115" s="40" t="n"/>
      <c r="H115" s="41">
        <f>IF(G115="","",IF(OR(G115="Admin",G115="Privileged"),"Ya","Tidak"))</f>
        <v/>
      </c>
      <c r="I115" s="40" t="n"/>
      <c r="J115" s="40" t="n"/>
      <c r="K115" s="40" t="n"/>
      <c r="L115" s="42" t="n"/>
      <c r="M115" s="42" t="n"/>
      <c r="N115" s="42" t="n"/>
      <c r="O115" s="40" t="n"/>
      <c r="P115" s="42" t="n"/>
      <c r="Q115" s="43">
        <f>IF(P115="","",EDATE(P115,IF(H115="Ya",3,6)))</f>
        <v/>
      </c>
      <c r="R115" s="41">
        <f>IF(A115="","",IF(AND(D115="Keluar",O115="Aktif"),"CABUT",IF(AND(M115&lt;&gt;"",M115&lt;TODAY(),O115="Aktif"),"KEDALUWARSA",IF(AND(Q115&lt;&gt;"",Q115&lt;TODAY(),O115="Aktif"),"REVIEW","OK"))))</f>
        <v/>
      </c>
      <c r="S115" s="40" t="n"/>
    </row>
    <row r="116" ht="15" customHeight="1" s="24">
      <c r="A116" s="40" t="n"/>
      <c r="B116" s="40" t="n"/>
      <c r="C116" s="40" t="n"/>
      <c r="D116" s="40" t="n"/>
      <c r="E116" s="40" t="n"/>
      <c r="F116" s="40" t="n"/>
      <c r="G116" s="40" t="n"/>
      <c r="H116" s="41">
        <f>IF(G116="","",IF(OR(G116="Admin",G116="Privileged"),"Ya","Tidak"))</f>
        <v/>
      </c>
      <c r="I116" s="40" t="n"/>
      <c r="J116" s="40" t="n"/>
      <c r="K116" s="40" t="n"/>
      <c r="L116" s="42" t="n"/>
      <c r="M116" s="42" t="n"/>
      <c r="N116" s="42" t="n"/>
      <c r="O116" s="40" t="n"/>
      <c r="P116" s="42" t="n"/>
      <c r="Q116" s="43">
        <f>IF(P116="","",EDATE(P116,IF(H116="Ya",3,6)))</f>
        <v/>
      </c>
      <c r="R116" s="41">
        <f>IF(A116="","",IF(AND(D116="Keluar",O116="Aktif"),"CABUT",IF(AND(M116&lt;&gt;"",M116&lt;TODAY(),O116="Aktif"),"KEDALUWARSA",IF(AND(Q116&lt;&gt;"",Q116&lt;TODAY(),O116="Aktif"),"REVIEW","OK"))))</f>
        <v/>
      </c>
      <c r="S116" s="40" t="n"/>
    </row>
    <row r="117" ht="15" customHeight="1" s="24">
      <c r="A117" s="40" t="n"/>
      <c r="B117" s="40" t="n"/>
      <c r="C117" s="40" t="n"/>
      <c r="D117" s="40" t="n"/>
      <c r="E117" s="40" t="n"/>
      <c r="F117" s="40" t="n"/>
      <c r="G117" s="40" t="n"/>
      <c r="H117" s="41">
        <f>IF(G117="","",IF(OR(G117="Admin",G117="Privileged"),"Ya","Tidak"))</f>
        <v/>
      </c>
      <c r="I117" s="40" t="n"/>
      <c r="J117" s="40" t="n"/>
      <c r="K117" s="40" t="n"/>
      <c r="L117" s="42" t="n"/>
      <c r="M117" s="42" t="n"/>
      <c r="N117" s="42" t="n"/>
      <c r="O117" s="40" t="n"/>
      <c r="P117" s="42" t="n"/>
      <c r="Q117" s="43">
        <f>IF(P117="","",EDATE(P117,IF(H117="Ya",3,6)))</f>
        <v/>
      </c>
      <c r="R117" s="41">
        <f>IF(A117="","",IF(AND(D117="Keluar",O117="Aktif"),"CABUT",IF(AND(M117&lt;&gt;"",M117&lt;TODAY(),O117="Aktif"),"KEDALUWARSA",IF(AND(Q117&lt;&gt;"",Q117&lt;TODAY(),O117="Aktif"),"REVIEW","OK"))))</f>
        <v/>
      </c>
      <c r="S117" s="40" t="n"/>
    </row>
    <row r="118" ht="15" customHeight="1" s="24">
      <c r="A118" s="40" t="n"/>
      <c r="B118" s="40" t="n"/>
      <c r="C118" s="40" t="n"/>
      <c r="D118" s="40" t="n"/>
      <c r="E118" s="40" t="n"/>
      <c r="F118" s="40" t="n"/>
      <c r="G118" s="40" t="n"/>
      <c r="H118" s="41">
        <f>IF(G118="","",IF(OR(G118="Admin",G118="Privileged"),"Ya","Tidak"))</f>
        <v/>
      </c>
      <c r="I118" s="40" t="n"/>
      <c r="J118" s="40" t="n"/>
      <c r="K118" s="40" t="n"/>
      <c r="L118" s="42" t="n"/>
      <c r="M118" s="42" t="n"/>
      <c r="N118" s="42" t="n"/>
      <c r="O118" s="40" t="n"/>
      <c r="P118" s="42" t="n"/>
      <c r="Q118" s="43">
        <f>IF(P118="","",EDATE(P118,IF(H118="Ya",3,6)))</f>
        <v/>
      </c>
      <c r="R118" s="41">
        <f>IF(A118="","",IF(AND(D118="Keluar",O118="Aktif"),"CABUT",IF(AND(M118&lt;&gt;"",M118&lt;TODAY(),O118="Aktif"),"KEDALUWARSA",IF(AND(Q118&lt;&gt;"",Q118&lt;TODAY(),O118="Aktif"),"REVIEW","OK"))))</f>
        <v/>
      </c>
      <c r="S118" s="40" t="n"/>
    </row>
    <row r="119" ht="15" customHeight="1" s="24">
      <c r="A119" s="40" t="n"/>
      <c r="B119" s="40" t="n"/>
      <c r="C119" s="40" t="n"/>
      <c r="D119" s="40" t="n"/>
      <c r="E119" s="40" t="n"/>
      <c r="F119" s="40" t="n"/>
      <c r="G119" s="40" t="n"/>
      <c r="H119" s="41">
        <f>IF(G119="","",IF(OR(G119="Admin",G119="Privileged"),"Ya","Tidak"))</f>
        <v/>
      </c>
      <c r="I119" s="40" t="n"/>
      <c r="J119" s="40" t="n"/>
      <c r="K119" s="40" t="n"/>
      <c r="L119" s="42" t="n"/>
      <c r="M119" s="42" t="n"/>
      <c r="N119" s="42" t="n"/>
      <c r="O119" s="40" t="n"/>
      <c r="P119" s="42" t="n"/>
      <c r="Q119" s="43">
        <f>IF(P119="","",EDATE(P119,IF(H119="Ya",3,6)))</f>
        <v/>
      </c>
      <c r="R119" s="41">
        <f>IF(A119="","",IF(AND(D119="Keluar",O119="Aktif"),"CABUT",IF(AND(M119&lt;&gt;"",M119&lt;TODAY(),O119="Aktif"),"KEDALUWARSA",IF(AND(Q119&lt;&gt;"",Q119&lt;TODAY(),O119="Aktif"),"REVIEW","OK"))))</f>
        <v/>
      </c>
      <c r="S119" s="40" t="n"/>
    </row>
    <row r="120" ht="15" customHeight="1" s="24">
      <c r="A120" s="40" t="n"/>
      <c r="B120" s="40" t="n"/>
      <c r="C120" s="40" t="n"/>
      <c r="D120" s="40" t="n"/>
      <c r="E120" s="40" t="n"/>
      <c r="F120" s="40" t="n"/>
      <c r="G120" s="40" t="n"/>
      <c r="H120" s="41">
        <f>IF(G120="","",IF(OR(G120="Admin",G120="Privileged"),"Ya","Tidak"))</f>
        <v/>
      </c>
      <c r="I120" s="40" t="n"/>
      <c r="J120" s="40" t="n"/>
      <c r="K120" s="40" t="n"/>
      <c r="L120" s="42" t="n"/>
      <c r="M120" s="42" t="n"/>
      <c r="N120" s="42" t="n"/>
      <c r="O120" s="40" t="n"/>
      <c r="P120" s="42" t="n"/>
      <c r="Q120" s="43">
        <f>IF(P120="","",EDATE(P120,IF(H120="Ya",3,6)))</f>
        <v/>
      </c>
      <c r="R120" s="41">
        <f>IF(A120="","",IF(AND(D120="Keluar",O120="Aktif"),"CABUT",IF(AND(M120&lt;&gt;"",M120&lt;TODAY(),O120="Aktif"),"KEDALUWARSA",IF(AND(Q120&lt;&gt;"",Q120&lt;TODAY(),O120="Aktif"),"REVIEW","OK"))))</f>
        <v/>
      </c>
      <c r="S120" s="40" t="n"/>
    </row>
    <row r="121" ht="15" customHeight="1" s="24">
      <c r="A121" s="40" t="n"/>
      <c r="B121" s="40" t="n"/>
      <c r="C121" s="40" t="n"/>
      <c r="D121" s="40" t="n"/>
      <c r="E121" s="40" t="n"/>
      <c r="F121" s="40" t="n"/>
      <c r="G121" s="40" t="n"/>
      <c r="H121" s="41">
        <f>IF(G121="","",IF(OR(G121="Admin",G121="Privileged"),"Ya","Tidak"))</f>
        <v/>
      </c>
      <c r="I121" s="40" t="n"/>
      <c r="J121" s="40" t="n"/>
      <c r="K121" s="40" t="n"/>
      <c r="L121" s="42" t="n"/>
      <c r="M121" s="42" t="n"/>
      <c r="N121" s="42" t="n"/>
      <c r="O121" s="40" t="n"/>
      <c r="P121" s="42" t="n"/>
      <c r="Q121" s="43">
        <f>IF(P121="","",EDATE(P121,IF(H121="Ya",3,6)))</f>
        <v/>
      </c>
      <c r="R121" s="41">
        <f>IF(A121="","",IF(AND(D121="Keluar",O121="Aktif"),"CABUT",IF(AND(M121&lt;&gt;"",M121&lt;TODAY(),O121="Aktif"),"KEDALUWARSA",IF(AND(Q121&lt;&gt;"",Q121&lt;TODAY(),O121="Aktif"),"REVIEW","OK"))))</f>
        <v/>
      </c>
      <c r="S121" s="40" t="n"/>
    </row>
    <row r="122" ht="15" customHeight="1" s="24">
      <c r="A122" s="40" t="n"/>
      <c r="B122" s="40" t="n"/>
      <c r="C122" s="40" t="n"/>
      <c r="D122" s="40" t="n"/>
      <c r="E122" s="40" t="n"/>
      <c r="F122" s="40" t="n"/>
      <c r="G122" s="40" t="n"/>
      <c r="H122" s="41">
        <f>IF(G122="","",IF(OR(G122="Admin",G122="Privileged"),"Ya","Tidak"))</f>
        <v/>
      </c>
      <c r="I122" s="40" t="n"/>
      <c r="J122" s="40" t="n"/>
      <c r="K122" s="40" t="n"/>
      <c r="L122" s="42" t="n"/>
      <c r="M122" s="42" t="n"/>
      <c r="N122" s="42" t="n"/>
      <c r="O122" s="40" t="n"/>
      <c r="P122" s="42" t="n"/>
      <c r="Q122" s="43">
        <f>IF(P122="","",EDATE(P122,IF(H122="Ya",3,6)))</f>
        <v/>
      </c>
      <c r="R122" s="41">
        <f>IF(A122="","",IF(AND(D122="Keluar",O122="Aktif"),"CABUT",IF(AND(M122&lt;&gt;"",M122&lt;TODAY(),O122="Aktif"),"KEDALUWARSA",IF(AND(Q122&lt;&gt;"",Q122&lt;TODAY(),O122="Aktif"),"REVIEW","OK"))))</f>
        <v/>
      </c>
      <c r="S122" s="40" t="n"/>
    </row>
    <row r="123" ht="15" customHeight="1" s="24">
      <c r="A123" s="40" t="n"/>
      <c r="B123" s="40" t="n"/>
      <c r="C123" s="40" t="n"/>
      <c r="D123" s="40" t="n"/>
      <c r="E123" s="40" t="n"/>
      <c r="F123" s="40" t="n"/>
      <c r="G123" s="40" t="n"/>
      <c r="H123" s="41">
        <f>IF(G123="","",IF(OR(G123="Admin",G123="Privileged"),"Ya","Tidak"))</f>
        <v/>
      </c>
      <c r="I123" s="40" t="n"/>
      <c r="J123" s="40" t="n"/>
      <c r="K123" s="40" t="n"/>
      <c r="L123" s="42" t="n"/>
      <c r="M123" s="42" t="n"/>
      <c r="N123" s="42" t="n"/>
      <c r="O123" s="40" t="n"/>
      <c r="P123" s="42" t="n"/>
      <c r="Q123" s="43">
        <f>IF(P123="","",EDATE(P123,IF(H123="Ya",3,6)))</f>
        <v/>
      </c>
      <c r="R123" s="41">
        <f>IF(A123="","",IF(AND(D123="Keluar",O123="Aktif"),"CABUT",IF(AND(M123&lt;&gt;"",M123&lt;TODAY(),O123="Aktif"),"KEDALUWARSA",IF(AND(Q123&lt;&gt;"",Q123&lt;TODAY(),O123="Aktif"),"REVIEW","OK"))))</f>
        <v/>
      </c>
      <c r="S123" s="40" t="n"/>
    </row>
    <row r="124" ht="15" customHeight="1" s="24">
      <c r="A124" s="40" t="n"/>
      <c r="B124" s="40" t="n"/>
      <c r="C124" s="40" t="n"/>
      <c r="D124" s="40" t="n"/>
      <c r="E124" s="40" t="n"/>
      <c r="F124" s="40" t="n"/>
      <c r="G124" s="40" t="n"/>
      <c r="H124" s="41">
        <f>IF(G124="","",IF(OR(G124="Admin",G124="Privileged"),"Ya","Tidak"))</f>
        <v/>
      </c>
      <c r="I124" s="40" t="n"/>
      <c r="J124" s="40" t="n"/>
      <c r="K124" s="40" t="n"/>
      <c r="L124" s="42" t="n"/>
      <c r="M124" s="42" t="n"/>
      <c r="N124" s="42" t="n"/>
      <c r="O124" s="40" t="n"/>
      <c r="P124" s="42" t="n"/>
      <c r="Q124" s="43">
        <f>IF(P124="","",EDATE(P124,IF(H124="Ya",3,6)))</f>
        <v/>
      </c>
      <c r="R124" s="41">
        <f>IF(A124="","",IF(AND(D124="Keluar",O124="Aktif"),"CABUT",IF(AND(M124&lt;&gt;"",M124&lt;TODAY(),O124="Aktif"),"KEDALUWARSA",IF(AND(Q124&lt;&gt;"",Q124&lt;TODAY(),O124="Aktif"),"REVIEW","OK"))))</f>
        <v/>
      </c>
      <c r="S124" s="40" t="n"/>
    </row>
    <row r="125" ht="15" customHeight="1" s="24">
      <c r="A125" s="40" t="n"/>
      <c r="B125" s="40" t="n"/>
      <c r="C125" s="40" t="n"/>
      <c r="D125" s="40" t="n"/>
      <c r="E125" s="40" t="n"/>
      <c r="F125" s="40" t="n"/>
      <c r="G125" s="40" t="n"/>
      <c r="H125" s="41">
        <f>IF(G125="","",IF(OR(G125="Admin",G125="Privileged"),"Ya","Tidak"))</f>
        <v/>
      </c>
      <c r="I125" s="40" t="n"/>
      <c r="J125" s="40" t="n"/>
      <c r="K125" s="40" t="n"/>
      <c r="L125" s="42" t="n"/>
      <c r="M125" s="42" t="n"/>
      <c r="N125" s="42" t="n"/>
      <c r="O125" s="40" t="n"/>
      <c r="P125" s="42" t="n"/>
      <c r="Q125" s="43">
        <f>IF(P125="","",EDATE(P125,IF(H125="Ya",3,6)))</f>
        <v/>
      </c>
      <c r="R125" s="41">
        <f>IF(A125="","",IF(AND(D125="Keluar",O125="Aktif"),"CABUT",IF(AND(M125&lt;&gt;"",M125&lt;TODAY(),O125="Aktif"),"KEDALUWARSA",IF(AND(Q125&lt;&gt;"",Q125&lt;TODAY(),O125="Aktif"),"REVIEW","OK"))))</f>
        <v/>
      </c>
      <c r="S125" s="40" t="n"/>
    </row>
    <row r="126" ht="15" customHeight="1" s="24">
      <c r="A126" s="40" t="n"/>
      <c r="B126" s="40" t="n"/>
      <c r="C126" s="40" t="n"/>
      <c r="D126" s="40" t="n"/>
      <c r="E126" s="40" t="n"/>
      <c r="F126" s="40" t="n"/>
      <c r="G126" s="40" t="n"/>
      <c r="H126" s="41">
        <f>IF(G126="","",IF(OR(G126="Admin",G126="Privileged"),"Ya","Tidak"))</f>
        <v/>
      </c>
      <c r="I126" s="40" t="n"/>
      <c r="J126" s="40" t="n"/>
      <c r="K126" s="40" t="n"/>
      <c r="L126" s="42" t="n"/>
      <c r="M126" s="42" t="n"/>
      <c r="N126" s="42" t="n"/>
      <c r="O126" s="40" t="n"/>
      <c r="P126" s="42" t="n"/>
      <c r="Q126" s="43">
        <f>IF(P126="","",EDATE(P126,IF(H126="Ya",3,6)))</f>
        <v/>
      </c>
      <c r="R126" s="41">
        <f>IF(A126="","",IF(AND(D126="Keluar",O126="Aktif"),"CABUT",IF(AND(M126&lt;&gt;"",M126&lt;TODAY(),O126="Aktif"),"KEDALUWARSA",IF(AND(Q126&lt;&gt;"",Q126&lt;TODAY(),O126="Aktif"),"REVIEW","OK"))))</f>
        <v/>
      </c>
      <c r="S126" s="40" t="n"/>
    </row>
    <row r="127" ht="15" customHeight="1" s="24">
      <c r="A127" s="40" t="n"/>
      <c r="B127" s="40" t="n"/>
      <c r="C127" s="40" t="n"/>
      <c r="D127" s="40" t="n"/>
      <c r="E127" s="40" t="n"/>
      <c r="F127" s="40" t="n"/>
      <c r="G127" s="40" t="n"/>
      <c r="H127" s="41">
        <f>IF(G127="","",IF(OR(G127="Admin",G127="Privileged"),"Ya","Tidak"))</f>
        <v/>
      </c>
      <c r="I127" s="40" t="n"/>
      <c r="J127" s="40" t="n"/>
      <c r="K127" s="40" t="n"/>
      <c r="L127" s="42" t="n"/>
      <c r="M127" s="42" t="n"/>
      <c r="N127" s="42" t="n"/>
      <c r="O127" s="40" t="n"/>
      <c r="P127" s="42" t="n"/>
      <c r="Q127" s="43">
        <f>IF(P127="","",EDATE(P127,IF(H127="Ya",3,6)))</f>
        <v/>
      </c>
      <c r="R127" s="41">
        <f>IF(A127="","",IF(AND(D127="Keluar",O127="Aktif"),"CABUT",IF(AND(M127&lt;&gt;"",M127&lt;TODAY(),O127="Aktif"),"KEDALUWARSA",IF(AND(Q127&lt;&gt;"",Q127&lt;TODAY(),O127="Aktif"),"REVIEW","OK"))))</f>
        <v/>
      </c>
      <c r="S127" s="40" t="n"/>
    </row>
    <row r="128" ht="15" customHeight="1" s="24">
      <c r="A128" s="40" t="n"/>
      <c r="B128" s="40" t="n"/>
      <c r="C128" s="40" t="n"/>
      <c r="D128" s="40" t="n"/>
      <c r="E128" s="40" t="n"/>
      <c r="F128" s="40" t="n"/>
      <c r="G128" s="40" t="n"/>
      <c r="H128" s="41">
        <f>IF(G128="","",IF(OR(G128="Admin",G128="Privileged"),"Ya","Tidak"))</f>
        <v/>
      </c>
      <c r="I128" s="40" t="n"/>
      <c r="J128" s="40" t="n"/>
      <c r="K128" s="40" t="n"/>
      <c r="L128" s="42" t="n"/>
      <c r="M128" s="42" t="n"/>
      <c r="N128" s="42" t="n"/>
      <c r="O128" s="40" t="n"/>
      <c r="P128" s="42" t="n"/>
      <c r="Q128" s="43">
        <f>IF(P128="","",EDATE(P128,IF(H128="Ya",3,6)))</f>
        <v/>
      </c>
      <c r="R128" s="41">
        <f>IF(A128="","",IF(AND(D128="Keluar",O128="Aktif"),"CABUT",IF(AND(M128&lt;&gt;"",M128&lt;TODAY(),O128="Aktif"),"KEDALUWARSA",IF(AND(Q128&lt;&gt;"",Q128&lt;TODAY(),O128="Aktif"),"REVIEW","OK"))))</f>
        <v/>
      </c>
      <c r="S128" s="40" t="n"/>
    </row>
    <row r="129" ht="15" customHeight="1" s="24">
      <c r="A129" s="40" t="n"/>
      <c r="B129" s="40" t="n"/>
      <c r="C129" s="40" t="n"/>
      <c r="D129" s="40" t="n"/>
      <c r="E129" s="40" t="n"/>
      <c r="F129" s="40" t="n"/>
      <c r="G129" s="40" t="n"/>
      <c r="H129" s="41">
        <f>IF(G129="","",IF(OR(G129="Admin",G129="Privileged"),"Ya","Tidak"))</f>
        <v/>
      </c>
      <c r="I129" s="40" t="n"/>
      <c r="J129" s="40" t="n"/>
      <c r="K129" s="40" t="n"/>
      <c r="L129" s="42" t="n"/>
      <c r="M129" s="42" t="n"/>
      <c r="N129" s="42" t="n"/>
      <c r="O129" s="40" t="n"/>
      <c r="P129" s="42" t="n"/>
      <c r="Q129" s="43">
        <f>IF(P129="","",EDATE(P129,IF(H129="Ya",3,6)))</f>
        <v/>
      </c>
      <c r="R129" s="41">
        <f>IF(A129="","",IF(AND(D129="Keluar",O129="Aktif"),"CABUT",IF(AND(M129&lt;&gt;"",M129&lt;TODAY(),O129="Aktif"),"KEDALUWARSA",IF(AND(Q129&lt;&gt;"",Q129&lt;TODAY(),O129="Aktif"),"REVIEW","OK"))))</f>
        <v/>
      </c>
      <c r="S129" s="40" t="n"/>
    </row>
    <row r="130" ht="15" customHeight="1" s="24">
      <c r="A130" s="40" t="n"/>
      <c r="B130" s="40" t="n"/>
      <c r="C130" s="40" t="n"/>
      <c r="D130" s="40" t="n"/>
      <c r="E130" s="40" t="n"/>
      <c r="F130" s="40" t="n"/>
      <c r="G130" s="40" t="n"/>
      <c r="H130" s="41">
        <f>IF(G130="","",IF(OR(G130="Admin",G130="Privileged"),"Ya","Tidak"))</f>
        <v/>
      </c>
      <c r="I130" s="40" t="n"/>
      <c r="J130" s="40" t="n"/>
      <c r="K130" s="40" t="n"/>
      <c r="L130" s="42" t="n"/>
      <c r="M130" s="42" t="n"/>
      <c r="N130" s="42" t="n"/>
      <c r="O130" s="40" t="n"/>
      <c r="P130" s="42" t="n"/>
      <c r="Q130" s="43">
        <f>IF(P130="","",EDATE(P130,IF(H130="Ya",3,6)))</f>
        <v/>
      </c>
      <c r="R130" s="41">
        <f>IF(A130="","",IF(AND(D130="Keluar",O130="Aktif"),"CABUT",IF(AND(M130&lt;&gt;"",M130&lt;TODAY(),O130="Aktif"),"KEDALUWARSA",IF(AND(Q130&lt;&gt;"",Q130&lt;TODAY(),O130="Aktif"),"REVIEW","OK"))))</f>
        <v/>
      </c>
      <c r="S130" s="40" t="n"/>
    </row>
    <row r="131" ht="15" customHeight="1" s="24">
      <c r="A131" s="40" t="n"/>
      <c r="B131" s="40" t="n"/>
      <c r="C131" s="40" t="n"/>
      <c r="D131" s="40" t="n"/>
      <c r="E131" s="40" t="n"/>
      <c r="F131" s="40" t="n"/>
      <c r="G131" s="40" t="n"/>
      <c r="H131" s="41">
        <f>IF(G131="","",IF(OR(G131="Admin",G131="Privileged"),"Ya","Tidak"))</f>
        <v/>
      </c>
      <c r="I131" s="40" t="n"/>
      <c r="J131" s="40" t="n"/>
      <c r="K131" s="40" t="n"/>
      <c r="L131" s="42" t="n"/>
      <c r="M131" s="42" t="n"/>
      <c r="N131" s="42" t="n"/>
      <c r="O131" s="40" t="n"/>
      <c r="P131" s="42" t="n"/>
      <c r="Q131" s="43">
        <f>IF(P131="","",EDATE(P131,IF(H131="Ya",3,6)))</f>
        <v/>
      </c>
      <c r="R131" s="41">
        <f>IF(A131="","",IF(AND(D131="Keluar",O131="Aktif"),"CABUT",IF(AND(M131&lt;&gt;"",M131&lt;TODAY(),O131="Aktif"),"KEDALUWARSA",IF(AND(Q131&lt;&gt;"",Q131&lt;TODAY(),O131="Aktif"),"REVIEW","OK"))))</f>
        <v/>
      </c>
      <c r="S131" s="40" t="n"/>
    </row>
    <row r="132" ht="15" customHeight="1" s="24">
      <c r="A132" s="40" t="n"/>
      <c r="B132" s="40" t="n"/>
      <c r="C132" s="40" t="n"/>
      <c r="D132" s="40" t="n"/>
      <c r="E132" s="40" t="n"/>
      <c r="F132" s="40" t="n"/>
      <c r="G132" s="40" t="n"/>
      <c r="H132" s="41">
        <f>IF(G132="","",IF(OR(G132="Admin",G132="Privileged"),"Ya","Tidak"))</f>
        <v/>
      </c>
      <c r="I132" s="40" t="n"/>
      <c r="J132" s="40" t="n"/>
      <c r="K132" s="40" t="n"/>
      <c r="L132" s="42" t="n"/>
      <c r="M132" s="42" t="n"/>
      <c r="N132" s="42" t="n"/>
      <c r="O132" s="40" t="n"/>
      <c r="P132" s="42" t="n"/>
      <c r="Q132" s="43">
        <f>IF(P132="","",EDATE(P132,IF(H132="Ya",3,6)))</f>
        <v/>
      </c>
      <c r="R132" s="41">
        <f>IF(A132="","",IF(AND(D132="Keluar",O132="Aktif"),"CABUT",IF(AND(M132&lt;&gt;"",M132&lt;TODAY(),O132="Aktif"),"KEDALUWARSA",IF(AND(Q132&lt;&gt;"",Q132&lt;TODAY(),O132="Aktif"),"REVIEW","OK"))))</f>
        <v/>
      </c>
      <c r="S132" s="40" t="n"/>
    </row>
    <row r="133" ht="15" customHeight="1" s="24">
      <c r="A133" s="40" t="n"/>
      <c r="B133" s="40" t="n"/>
      <c r="C133" s="40" t="n"/>
      <c r="D133" s="40" t="n"/>
      <c r="E133" s="40" t="n"/>
      <c r="F133" s="40" t="n"/>
      <c r="G133" s="40" t="n"/>
      <c r="H133" s="41">
        <f>IF(G133="","",IF(OR(G133="Admin",G133="Privileged"),"Ya","Tidak"))</f>
        <v/>
      </c>
      <c r="I133" s="40" t="n"/>
      <c r="J133" s="40" t="n"/>
      <c r="K133" s="40" t="n"/>
      <c r="L133" s="42" t="n"/>
      <c r="M133" s="42" t="n"/>
      <c r="N133" s="42" t="n"/>
      <c r="O133" s="40" t="n"/>
      <c r="P133" s="42" t="n"/>
      <c r="Q133" s="43">
        <f>IF(P133="","",EDATE(P133,IF(H133="Ya",3,6)))</f>
        <v/>
      </c>
      <c r="R133" s="41">
        <f>IF(A133="","",IF(AND(D133="Keluar",O133="Aktif"),"CABUT",IF(AND(M133&lt;&gt;"",M133&lt;TODAY(),O133="Aktif"),"KEDALUWARSA",IF(AND(Q133&lt;&gt;"",Q133&lt;TODAY(),O133="Aktif"),"REVIEW","OK"))))</f>
        <v/>
      </c>
      <c r="S133" s="40" t="n"/>
    </row>
    <row r="134" ht="15" customHeight="1" s="24">
      <c r="A134" s="40" t="n"/>
      <c r="B134" s="40" t="n"/>
      <c r="C134" s="40" t="n"/>
      <c r="D134" s="40" t="n"/>
      <c r="E134" s="40" t="n"/>
      <c r="F134" s="40" t="n"/>
      <c r="G134" s="40" t="n"/>
      <c r="H134" s="41">
        <f>IF(G134="","",IF(OR(G134="Admin",G134="Privileged"),"Ya","Tidak"))</f>
        <v/>
      </c>
      <c r="I134" s="40" t="n"/>
      <c r="J134" s="40" t="n"/>
      <c r="K134" s="40" t="n"/>
      <c r="L134" s="42" t="n"/>
      <c r="M134" s="42" t="n"/>
      <c r="N134" s="42" t="n"/>
      <c r="O134" s="40" t="n"/>
      <c r="P134" s="42" t="n"/>
      <c r="Q134" s="43">
        <f>IF(P134="","",EDATE(P134,IF(H134="Ya",3,6)))</f>
        <v/>
      </c>
      <c r="R134" s="41">
        <f>IF(A134="","",IF(AND(D134="Keluar",O134="Aktif"),"CABUT",IF(AND(M134&lt;&gt;"",M134&lt;TODAY(),O134="Aktif"),"KEDALUWARSA",IF(AND(Q134&lt;&gt;"",Q134&lt;TODAY(),O134="Aktif"),"REVIEW","OK"))))</f>
        <v/>
      </c>
      <c r="S134" s="40" t="n"/>
    </row>
    <row r="135" ht="15" customHeight="1" s="24">
      <c r="A135" s="40" t="n"/>
      <c r="B135" s="40" t="n"/>
      <c r="C135" s="40" t="n"/>
      <c r="D135" s="40" t="n"/>
      <c r="E135" s="40" t="n"/>
      <c r="F135" s="40" t="n"/>
      <c r="G135" s="40" t="n"/>
      <c r="H135" s="41">
        <f>IF(G135="","",IF(OR(G135="Admin",G135="Privileged"),"Ya","Tidak"))</f>
        <v/>
      </c>
      <c r="I135" s="40" t="n"/>
      <c r="J135" s="40" t="n"/>
      <c r="K135" s="40" t="n"/>
      <c r="L135" s="42" t="n"/>
      <c r="M135" s="42" t="n"/>
      <c r="N135" s="42" t="n"/>
      <c r="O135" s="40" t="n"/>
      <c r="P135" s="42" t="n"/>
      <c r="Q135" s="43">
        <f>IF(P135="","",EDATE(P135,IF(H135="Ya",3,6)))</f>
        <v/>
      </c>
      <c r="R135" s="41">
        <f>IF(A135="","",IF(AND(D135="Keluar",O135="Aktif"),"CABUT",IF(AND(M135&lt;&gt;"",M135&lt;TODAY(),O135="Aktif"),"KEDALUWARSA",IF(AND(Q135&lt;&gt;"",Q135&lt;TODAY(),O135="Aktif"),"REVIEW","OK"))))</f>
        <v/>
      </c>
      <c r="S135" s="40" t="n"/>
    </row>
    <row r="136" ht="15" customHeight="1" s="24">
      <c r="A136" s="40" t="n"/>
      <c r="B136" s="40" t="n"/>
      <c r="C136" s="40" t="n"/>
      <c r="D136" s="40" t="n"/>
      <c r="E136" s="40" t="n"/>
      <c r="F136" s="40" t="n"/>
      <c r="G136" s="40" t="n"/>
      <c r="H136" s="41">
        <f>IF(G136="","",IF(OR(G136="Admin",G136="Privileged"),"Ya","Tidak"))</f>
        <v/>
      </c>
      <c r="I136" s="40" t="n"/>
      <c r="J136" s="40" t="n"/>
      <c r="K136" s="40" t="n"/>
      <c r="L136" s="42" t="n"/>
      <c r="M136" s="42" t="n"/>
      <c r="N136" s="42" t="n"/>
      <c r="O136" s="40" t="n"/>
      <c r="P136" s="42" t="n"/>
      <c r="Q136" s="43">
        <f>IF(P136="","",EDATE(P136,IF(H136="Ya",3,6)))</f>
        <v/>
      </c>
      <c r="R136" s="41">
        <f>IF(A136="","",IF(AND(D136="Keluar",O136="Aktif"),"CABUT",IF(AND(M136&lt;&gt;"",M136&lt;TODAY(),O136="Aktif"),"KEDALUWARSA",IF(AND(Q136&lt;&gt;"",Q136&lt;TODAY(),O136="Aktif"),"REVIEW","OK"))))</f>
        <v/>
      </c>
      <c r="S136" s="40" t="n"/>
    </row>
    <row r="137" ht="15" customHeight="1" s="24">
      <c r="A137" s="40" t="n"/>
      <c r="B137" s="40" t="n"/>
      <c r="C137" s="40" t="n"/>
      <c r="D137" s="40" t="n"/>
      <c r="E137" s="40" t="n"/>
      <c r="F137" s="40" t="n"/>
      <c r="G137" s="40" t="n"/>
      <c r="H137" s="41">
        <f>IF(G137="","",IF(OR(G137="Admin",G137="Privileged"),"Ya","Tidak"))</f>
        <v/>
      </c>
      <c r="I137" s="40" t="n"/>
      <c r="J137" s="40" t="n"/>
      <c r="K137" s="40" t="n"/>
      <c r="L137" s="42" t="n"/>
      <c r="M137" s="42" t="n"/>
      <c r="N137" s="42" t="n"/>
      <c r="O137" s="40" t="n"/>
      <c r="P137" s="42" t="n"/>
      <c r="Q137" s="43">
        <f>IF(P137="","",EDATE(P137,IF(H137="Ya",3,6)))</f>
        <v/>
      </c>
      <c r="R137" s="41">
        <f>IF(A137="","",IF(AND(D137="Keluar",O137="Aktif"),"CABUT",IF(AND(M137&lt;&gt;"",M137&lt;TODAY(),O137="Aktif"),"KEDALUWARSA",IF(AND(Q137&lt;&gt;"",Q137&lt;TODAY(),O137="Aktif"),"REVIEW","OK"))))</f>
        <v/>
      </c>
      <c r="S137" s="40" t="n"/>
    </row>
    <row r="138" ht="15" customHeight="1" s="24">
      <c r="A138" s="40" t="n"/>
      <c r="B138" s="40" t="n"/>
      <c r="C138" s="40" t="n"/>
      <c r="D138" s="40" t="n"/>
      <c r="E138" s="40" t="n"/>
      <c r="F138" s="40" t="n"/>
      <c r="G138" s="40" t="n"/>
      <c r="H138" s="41">
        <f>IF(G138="","",IF(OR(G138="Admin",G138="Privileged"),"Ya","Tidak"))</f>
        <v/>
      </c>
      <c r="I138" s="40" t="n"/>
      <c r="J138" s="40" t="n"/>
      <c r="K138" s="40" t="n"/>
      <c r="L138" s="42" t="n"/>
      <c r="M138" s="42" t="n"/>
      <c r="N138" s="42" t="n"/>
      <c r="O138" s="40" t="n"/>
      <c r="P138" s="42" t="n"/>
      <c r="Q138" s="43">
        <f>IF(P138="","",EDATE(P138,IF(H138="Ya",3,6)))</f>
        <v/>
      </c>
      <c r="R138" s="41">
        <f>IF(A138="","",IF(AND(D138="Keluar",O138="Aktif"),"CABUT",IF(AND(M138&lt;&gt;"",M138&lt;TODAY(),O138="Aktif"),"KEDALUWARSA",IF(AND(Q138&lt;&gt;"",Q138&lt;TODAY(),O138="Aktif"),"REVIEW","OK"))))</f>
        <v/>
      </c>
      <c r="S138" s="40" t="n"/>
    </row>
    <row r="139" ht="15" customHeight="1" s="24">
      <c r="A139" s="40" t="n"/>
      <c r="B139" s="40" t="n"/>
      <c r="C139" s="40" t="n"/>
      <c r="D139" s="40" t="n"/>
      <c r="E139" s="40" t="n"/>
      <c r="F139" s="40" t="n"/>
      <c r="G139" s="40" t="n"/>
      <c r="H139" s="41">
        <f>IF(G139="","",IF(OR(G139="Admin",G139="Privileged"),"Ya","Tidak"))</f>
        <v/>
      </c>
      <c r="I139" s="40" t="n"/>
      <c r="J139" s="40" t="n"/>
      <c r="K139" s="40" t="n"/>
      <c r="L139" s="42" t="n"/>
      <c r="M139" s="42" t="n"/>
      <c r="N139" s="42" t="n"/>
      <c r="O139" s="40" t="n"/>
      <c r="P139" s="42" t="n"/>
      <c r="Q139" s="43">
        <f>IF(P139="","",EDATE(P139,IF(H139="Ya",3,6)))</f>
        <v/>
      </c>
      <c r="R139" s="41">
        <f>IF(A139="","",IF(AND(D139="Keluar",O139="Aktif"),"CABUT",IF(AND(M139&lt;&gt;"",M139&lt;TODAY(),O139="Aktif"),"KEDALUWARSA",IF(AND(Q139&lt;&gt;"",Q139&lt;TODAY(),O139="Aktif"),"REVIEW","OK"))))</f>
        <v/>
      </c>
      <c r="S139" s="40" t="n"/>
    </row>
    <row r="140" ht="15" customHeight="1" s="24">
      <c r="A140" s="40" t="n"/>
      <c r="B140" s="40" t="n"/>
      <c r="C140" s="40" t="n"/>
      <c r="D140" s="40" t="n"/>
      <c r="E140" s="40" t="n"/>
      <c r="F140" s="40" t="n"/>
      <c r="G140" s="40" t="n"/>
      <c r="H140" s="41">
        <f>IF(G140="","",IF(OR(G140="Admin",G140="Privileged"),"Ya","Tidak"))</f>
        <v/>
      </c>
      <c r="I140" s="40" t="n"/>
      <c r="J140" s="40" t="n"/>
      <c r="K140" s="40" t="n"/>
      <c r="L140" s="42" t="n"/>
      <c r="M140" s="42" t="n"/>
      <c r="N140" s="42" t="n"/>
      <c r="O140" s="40" t="n"/>
      <c r="P140" s="42" t="n"/>
      <c r="Q140" s="43">
        <f>IF(P140="","",EDATE(P140,IF(H140="Ya",3,6)))</f>
        <v/>
      </c>
      <c r="R140" s="41">
        <f>IF(A140="","",IF(AND(D140="Keluar",O140="Aktif"),"CABUT",IF(AND(M140&lt;&gt;"",M140&lt;TODAY(),O140="Aktif"),"KEDALUWARSA",IF(AND(Q140&lt;&gt;"",Q140&lt;TODAY(),O140="Aktif"),"REVIEW","OK"))))</f>
        <v/>
      </c>
      <c r="S140" s="40" t="n"/>
    </row>
    <row r="141" ht="15" customHeight="1" s="24">
      <c r="A141" s="40" t="n"/>
      <c r="B141" s="40" t="n"/>
      <c r="C141" s="40" t="n"/>
      <c r="D141" s="40" t="n"/>
      <c r="E141" s="40" t="n"/>
      <c r="F141" s="40" t="n"/>
      <c r="G141" s="40" t="n"/>
      <c r="H141" s="41">
        <f>IF(G141="","",IF(OR(G141="Admin",G141="Privileged"),"Ya","Tidak"))</f>
        <v/>
      </c>
      <c r="I141" s="40" t="n"/>
      <c r="J141" s="40" t="n"/>
      <c r="K141" s="40" t="n"/>
      <c r="L141" s="42" t="n"/>
      <c r="M141" s="42" t="n"/>
      <c r="N141" s="42" t="n"/>
      <c r="O141" s="40" t="n"/>
      <c r="P141" s="42" t="n"/>
      <c r="Q141" s="43">
        <f>IF(P141="","",EDATE(P141,IF(H141="Ya",3,6)))</f>
        <v/>
      </c>
      <c r="R141" s="41">
        <f>IF(A141="","",IF(AND(D141="Keluar",O141="Aktif"),"CABUT",IF(AND(M141&lt;&gt;"",M141&lt;TODAY(),O141="Aktif"),"KEDALUWARSA",IF(AND(Q141&lt;&gt;"",Q141&lt;TODAY(),O141="Aktif"),"REVIEW","OK"))))</f>
        <v/>
      </c>
      <c r="S141" s="40" t="n"/>
    </row>
    <row r="142" ht="15" customHeight="1" s="24">
      <c r="A142" s="40" t="n"/>
      <c r="B142" s="40" t="n"/>
      <c r="C142" s="40" t="n"/>
      <c r="D142" s="40" t="n"/>
      <c r="E142" s="40" t="n"/>
      <c r="F142" s="40" t="n"/>
      <c r="G142" s="40" t="n"/>
      <c r="H142" s="41">
        <f>IF(G142="","",IF(OR(G142="Admin",G142="Privileged"),"Ya","Tidak"))</f>
        <v/>
      </c>
      <c r="I142" s="40" t="n"/>
      <c r="J142" s="40" t="n"/>
      <c r="K142" s="40" t="n"/>
      <c r="L142" s="42" t="n"/>
      <c r="M142" s="42" t="n"/>
      <c r="N142" s="42" t="n"/>
      <c r="O142" s="40" t="n"/>
      <c r="P142" s="42" t="n"/>
      <c r="Q142" s="43">
        <f>IF(P142="","",EDATE(P142,IF(H142="Ya",3,6)))</f>
        <v/>
      </c>
      <c r="R142" s="41">
        <f>IF(A142="","",IF(AND(D142="Keluar",O142="Aktif"),"CABUT",IF(AND(M142&lt;&gt;"",M142&lt;TODAY(),O142="Aktif"),"KEDALUWARSA",IF(AND(Q142&lt;&gt;"",Q142&lt;TODAY(),O142="Aktif"),"REVIEW","OK"))))</f>
        <v/>
      </c>
      <c r="S142" s="40" t="n"/>
    </row>
    <row r="143" ht="15" customHeight="1" s="24">
      <c r="A143" s="40" t="n"/>
      <c r="B143" s="40" t="n"/>
      <c r="C143" s="40" t="n"/>
      <c r="D143" s="40" t="n"/>
      <c r="E143" s="40" t="n"/>
      <c r="F143" s="40" t="n"/>
      <c r="G143" s="40" t="n"/>
      <c r="H143" s="41">
        <f>IF(G143="","",IF(OR(G143="Admin",G143="Privileged"),"Ya","Tidak"))</f>
        <v/>
      </c>
      <c r="I143" s="40" t="n"/>
      <c r="J143" s="40" t="n"/>
      <c r="K143" s="40" t="n"/>
      <c r="L143" s="42" t="n"/>
      <c r="M143" s="42" t="n"/>
      <c r="N143" s="42" t="n"/>
      <c r="O143" s="40" t="n"/>
      <c r="P143" s="42" t="n"/>
      <c r="Q143" s="43">
        <f>IF(P143="","",EDATE(P143,IF(H143="Ya",3,6)))</f>
        <v/>
      </c>
      <c r="R143" s="41">
        <f>IF(A143="","",IF(AND(D143="Keluar",O143="Aktif"),"CABUT",IF(AND(M143&lt;&gt;"",M143&lt;TODAY(),O143="Aktif"),"KEDALUWARSA",IF(AND(Q143&lt;&gt;"",Q143&lt;TODAY(),O143="Aktif"),"REVIEW","OK"))))</f>
        <v/>
      </c>
      <c r="S143" s="40" t="n"/>
    </row>
    <row r="144" ht="15" customHeight="1" s="24">
      <c r="A144" s="40" t="n"/>
      <c r="B144" s="40" t="n"/>
      <c r="C144" s="40" t="n"/>
      <c r="D144" s="40" t="n"/>
      <c r="E144" s="40" t="n"/>
      <c r="F144" s="40" t="n"/>
      <c r="G144" s="40" t="n"/>
      <c r="H144" s="41">
        <f>IF(G144="","",IF(OR(G144="Admin",G144="Privileged"),"Ya","Tidak"))</f>
        <v/>
      </c>
      <c r="I144" s="40" t="n"/>
      <c r="J144" s="40" t="n"/>
      <c r="K144" s="40" t="n"/>
      <c r="L144" s="42" t="n"/>
      <c r="M144" s="42" t="n"/>
      <c r="N144" s="42" t="n"/>
      <c r="O144" s="40" t="n"/>
      <c r="P144" s="42" t="n"/>
      <c r="Q144" s="43">
        <f>IF(P144="","",EDATE(P144,IF(H144="Ya",3,6)))</f>
        <v/>
      </c>
      <c r="R144" s="41">
        <f>IF(A144="","",IF(AND(D144="Keluar",O144="Aktif"),"CABUT",IF(AND(M144&lt;&gt;"",M144&lt;TODAY(),O144="Aktif"),"KEDALUWARSA",IF(AND(Q144&lt;&gt;"",Q144&lt;TODAY(),O144="Aktif"),"REVIEW","OK"))))</f>
        <v/>
      </c>
      <c r="S144" s="40" t="n"/>
    </row>
    <row r="145" ht="15" customHeight="1" s="24">
      <c r="A145" s="40" t="n"/>
      <c r="B145" s="40" t="n"/>
      <c r="C145" s="40" t="n"/>
      <c r="D145" s="40" t="n"/>
      <c r="E145" s="40" t="n"/>
      <c r="F145" s="40" t="n"/>
      <c r="G145" s="40" t="n"/>
      <c r="H145" s="41">
        <f>IF(G145="","",IF(OR(G145="Admin",G145="Privileged"),"Ya","Tidak"))</f>
        <v/>
      </c>
      <c r="I145" s="40" t="n"/>
      <c r="J145" s="40" t="n"/>
      <c r="K145" s="40" t="n"/>
      <c r="L145" s="42" t="n"/>
      <c r="M145" s="42" t="n"/>
      <c r="N145" s="42" t="n"/>
      <c r="O145" s="40" t="n"/>
      <c r="P145" s="42" t="n"/>
      <c r="Q145" s="43">
        <f>IF(P145="","",EDATE(P145,IF(H145="Ya",3,6)))</f>
        <v/>
      </c>
      <c r="R145" s="41">
        <f>IF(A145="","",IF(AND(D145="Keluar",O145="Aktif"),"CABUT",IF(AND(M145&lt;&gt;"",M145&lt;TODAY(),O145="Aktif"),"KEDALUWARSA",IF(AND(Q145&lt;&gt;"",Q145&lt;TODAY(),O145="Aktif"),"REVIEW","OK"))))</f>
        <v/>
      </c>
      <c r="S145" s="40" t="n"/>
    </row>
    <row r="146" ht="15" customHeight="1" s="24">
      <c r="A146" s="40" t="n"/>
      <c r="B146" s="40" t="n"/>
      <c r="C146" s="40" t="n"/>
      <c r="D146" s="40" t="n"/>
      <c r="E146" s="40" t="n"/>
      <c r="F146" s="40" t="n"/>
      <c r="G146" s="40" t="n"/>
      <c r="H146" s="41">
        <f>IF(G146="","",IF(OR(G146="Admin",G146="Privileged"),"Ya","Tidak"))</f>
        <v/>
      </c>
      <c r="I146" s="40" t="n"/>
      <c r="J146" s="40" t="n"/>
      <c r="K146" s="40" t="n"/>
      <c r="L146" s="42" t="n"/>
      <c r="M146" s="42" t="n"/>
      <c r="N146" s="42" t="n"/>
      <c r="O146" s="40" t="n"/>
      <c r="P146" s="42" t="n"/>
      <c r="Q146" s="43">
        <f>IF(P146="","",EDATE(P146,IF(H146="Ya",3,6)))</f>
        <v/>
      </c>
      <c r="R146" s="41">
        <f>IF(A146="","",IF(AND(D146="Keluar",O146="Aktif"),"CABUT",IF(AND(M146&lt;&gt;"",M146&lt;TODAY(),O146="Aktif"),"KEDALUWARSA",IF(AND(Q146&lt;&gt;"",Q146&lt;TODAY(),O146="Aktif"),"REVIEW","OK"))))</f>
        <v/>
      </c>
      <c r="S146" s="40" t="n"/>
    </row>
    <row r="147" ht="15" customHeight="1" s="24">
      <c r="A147" s="40" t="n"/>
      <c r="B147" s="40" t="n"/>
      <c r="C147" s="40" t="n"/>
      <c r="D147" s="40" t="n"/>
      <c r="E147" s="40" t="n"/>
      <c r="F147" s="40" t="n"/>
      <c r="G147" s="40" t="n"/>
      <c r="H147" s="41">
        <f>IF(G147="","",IF(OR(G147="Admin",G147="Privileged"),"Ya","Tidak"))</f>
        <v/>
      </c>
      <c r="I147" s="40" t="n"/>
      <c r="J147" s="40" t="n"/>
      <c r="K147" s="40" t="n"/>
      <c r="L147" s="42" t="n"/>
      <c r="M147" s="42" t="n"/>
      <c r="N147" s="42" t="n"/>
      <c r="O147" s="40" t="n"/>
      <c r="P147" s="42" t="n"/>
      <c r="Q147" s="43">
        <f>IF(P147="","",EDATE(P147,IF(H147="Ya",3,6)))</f>
        <v/>
      </c>
      <c r="R147" s="41">
        <f>IF(A147="","",IF(AND(D147="Keluar",O147="Aktif"),"CABUT",IF(AND(M147&lt;&gt;"",M147&lt;TODAY(),O147="Aktif"),"KEDALUWARSA",IF(AND(Q147&lt;&gt;"",Q147&lt;TODAY(),O147="Aktif"),"REVIEW","OK"))))</f>
        <v/>
      </c>
      <c r="S147" s="40" t="n"/>
    </row>
    <row r="148" ht="15" customHeight="1" s="24">
      <c r="A148" s="40" t="n"/>
      <c r="B148" s="40" t="n"/>
      <c r="C148" s="40" t="n"/>
      <c r="D148" s="40" t="n"/>
      <c r="E148" s="40" t="n"/>
      <c r="F148" s="40" t="n"/>
      <c r="G148" s="40" t="n"/>
      <c r="H148" s="41">
        <f>IF(G148="","",IF(OR(G148="Admin",G148="Privileged"),"Ya","Tidak"))</f>
        <v/>
      </c>
      <c r="I148" s="40" t="n"/>
      <c r="J148" s="40" t="n"/>
      <c r="K148" s="40" t="n"/>
      <c r="L148" s="42" t="n"/>
      <c r="M148" s="42" t="n"/>
      <c r="N148" s="42" t="n"/>
      <c r="O148" s="40" t="n"/>
      <c r="P148" s="42" t="n"/>
      <c r="Q148" s="43">
        <f>IF(P148="","",EDATE(P148,IF(H148="Ya",3,6)))</f>
        <v/>
      </c>
      <c r="R148" s="41">
        <f>IF(A148="","",IF(AND(D148="Keluar",O148="Aktif"),"CABUT",IF(AND(M148&lt;&gt;"",M148&lt;TODAY(),O148="Aktif"),"KEDALUWARSA",IF(AND(Q148&lt;&gt;"",Q148&lt;TODAY(),O148="Aktif"),"REVIEW","OK"))))</f>
        <v/>
      </c>
      <c r="S148" s="40" t="n"/>
    </row>
    <row r="149" ht="15" customHeight="1" s="24">
      <c r="A149" s="40" t="n"/>
      <c r="B149" s="40" t="n"/>
      <c r="C149" s="40" t="n"/>
      <c r="D149" s="40" t="n"/>
      <c r="E149" s="40" t="n"/>
      <c r="F149" s="40" t="n"/>
      <c r="G149" s="40" t="n"/>
      <c r="H149" s="41">
        <f>IF(G149="","",IF(OR(G149="Admin",G149="Privileged"),"Ya","Tidak"))</f>
        <v/>
      </c>
      <c r="I149" s="40" t="n"/>
      <c r="J149" s="40" t="n"/>
      <c r="K149" s="40" t="n"/>
      <c r="L149" s="42" t="n"/>
      <c r="M149" s="42" t="n"/>
      <c r="N149" s="42" t="n"/>
      <c r="O149" s="40" t="n"/>
      <c r="P149" s="42" t="n"/>
      <c r="Q149" s="43">
        <f>IF(P149="","",EDATE(P149,IF(H149="Ya",3,6)))</f>
        <v/>
      </c>
      <c r="R149" s="41">
        <f>IF(A149="","",IF(AND(D149="Keluar",O149="Aktif"),"CABUT",IF(AND(M149&lt;&gt;"",M149&lt;TODAY(),O149="Aktif"),"KEDALUWARSA",IF(AND(Q149&lt;&gt;"",Q149&lt;TODAY(),O149="Aktif"),"REVIEW","OK"))))</f>
        <v/>
      </c>
      <c r="S149" s="40" t="n"/>
    </row>
    <row r="150" ht="15" customHeight="1" s="24">
      <c r="A150" s="40" t="n"/>
      <c r="B150" s="40" t="n"/>
      <c r="C150" s="40" t="n"/>
      <c r="D150" s="40" t="n"/>
      <c r="E150" s="40" t="n"/>
      <c r="F150" s="40" t="n"/>
      <c r="G150" s="40" t="n"/>
      <c r="H150" s="41">
        <f>IF(G150="","",IF(OR(G150="Admin",G150="Privileged"),"Ya","Tidak"))</f>
        <v/>
      </c>
      <c r="I150" s="40" t="n"/>
      <c r="J150" s="40" t="n"/>
      <c r="K150" s="40" t="n"/>
      <c r="L150" s="42" t="n"/>
      <c r="M150" s="42" t="n"/>
      <c r="N150" s="42" t="n"/>
      <c r="O150" s="40" t="n"/>
      <c r="P150" s="42" t="n"/>
      <c r="Q150" s="43">
        <f>IF(P150="","",EDATE(P150,IF(H150="Ya",3,6)))</f>
        <v/>
      </c>
      <c r="R150" s="41">
        <f>IF(A150="","",IF(AND(D150="Keluar",O150="Aktif"),"CABUT",IF(AND(M150&lt;&gt;"",M150&lt;TODAY(),O150="Aktif"),"KEDALUWARSA",IF(AND(Q150&lt;&gt;"",Q150&lt;TODAY(),O150="Aktif"),"REVIEW","OK"))))</f>
        <v/>
      </c>
      <c r="S150" s="40" t="n"/>
    </row>
    <row r="151" ht="15" customHeight="1" s="24">
      <c r="A151" s="40" t="n"/>
      <c r="B151" s="40" t="n"/>
      <c r="C151" s="40" t="n"/>
      <c r="D151" s="40" t="n"/>
      <c r="E151" s="40" t="n"/>
      <c r="F151" s="40" t="n"/>
      <c r="G151" s="40" t="n"/>
      <c r="H151" s="41">
        <f>IF(G151="","",IF(OR(G151="Admin",G151="Privileged"),"Ya","Tidak"))</f>
        <v/>
      </c>
      <c r="I151" s="40" t="n"/>
      <c r="J151" s="40" t="n"/>
      <c r="K151" s="40" t="n"/>
      <c r="L151" s="42" t="n"/>
      <c r="M151" s="42" t="n"/>
      <c r="N151" s="42" t="n"/>
      <c r="O151" s="40" t="n"/>
      <c r="P151" s="42" t="n"/>
      <c r="Q151" s="43">
        <f>IF(P151="","",EDATE(P151,IF(H151="Ya",3,6)))</f>
        <v/>
      </c>
      <c r="R151" s="41">
        <f>IF(A151="","",IF(AND(D151="Keluar",O151="Aktif"),"CABUT",IF(AND(M151&lt;&gt;"",M151&lt;TODAY(),O151="Aktif"),"KEDALUWARSA",IF(AND(Q151&lt;&gt;"",Q151&lt;TODAY(),O151="Aktif"),"REVIEW","OK"))))</f>
        <v/>
      </c>
      <c r="S151" s="40" t="n"/>
    </row>
    <row r="152" ht="15" customHeight="1" s="24">
      <c r="A152" s="40" t="n"/>
      <c r="B152" s="40" t="n"/>
      <c r="C152" s="40" t="n"/>
      <c r="D152" s="40" t="n"/>
      <c r="E152" s="40" t="n"/>
      <c r="F152" s="40" t="n"/>
      <c r="G152" s="40" t="n"/>
      <c r="H152" s="41">
        <f>IF(G152="","",IF(OR(G152="Admin",G152="Privileged"),"Ya","Tidak"))</f>
        <v/>
      </c>
      <c r="I152" s="40" t="n"/>
      <c r="J152" s="40" t="n"/>
      <c r="K152" s="40" t="n"/>
      <c r="L152" s="42" t="n"/>
      <c r="M152" s="42" t="n"/>
      <c r="N152" s="42" t="n"/>
      <c r="O152" s="40" t="n"/>
      <c r="P152" s="42" t="n"/>
      <c r="Q152" s="43">
        <f>IF(P152="","",EDATE(P152,IF(H152="Ya",3,6)))</f>
        <v/>
      </c>
      <c r="R152" s="41">
        <f>IF(A152="","",IF(AND(D152="Keluar",O152="Aktif"),"CABUT",IF(AND(M152&lt;&gt;"",M152&lt;TODAY(),O152="Aktif"),"KEDALUWARSA",IF(AND(Q152&lt;&gt;"",Q152&lt;TODAY(),O152="Aktif"),"REVIEW","OK"))))</f>
        <v/>
      </c>
      <c r="S152" s="40" t="n"/>
    </row>
    <row r="153" ht="15" customHeight="1" s="24">
      <c r="A153" s="40" t="n"/>
      <c r="B153" s="40" t="n"/>
      <c r="C153" s="40" t="n"/>
      <c r="D153" s="40" t="n"/>
      <c r="E153" s="40" t="n"/>
      <c r="F153" s="40" t="n"/>
      <c r="G153" s="40" t="n"/>
      <c r="H153" s="41">
        <f>IF(G153="","",IF(OR(G153="Admin",G153="Privileged"),"Ya","Tidak"))</f>
        <v/>
      </c>
      <c r="I153" s="40" t="n"/>
      <c r="J153" s="40" t="n"/>
      <c r="K153" s="40" t="n"/>
      <c r="L153" s="42" t="n"/>
      <c r="M153" s="42" t="n"/>
      <c r="N153" s="42" t="n"/>
      <c r="O153" s="40" t="n"/>
      <c r="P153" s="42" t="n"/>
      <c r="Q153" s="43">
        <f>IF(P153="","",EDATE(P153,IF(H153="Ya",3,6)))</f>
        <v/>
      </c>
      <c r="R153" s="41">
        <f>IF(A153="","",IF(AND(D153="Keluar",O153="Aktif"),"CABUT",IF(AND(M153&lt;&gt;"",M153&lt;TODAY(),O153="Aktif"),"KEDALUWARSA",IF(AND(Q153&lt;&gt;"",Q153&lt;TODAY(),O153="Aktif"),"REVIEW","OK"))))</f>
        <v/>
      </c>
      <c r="S153" s="40" t="n"/>
    </row>
    <row r="154" ht="15" customHeight="1" s="24">
      <c r="A154" s="40" t="n"/>
      <c r="B154" s="40" t="n"/>
      <c r="C154" s="40" t="n"/>
      <c r="D154" s="40" t="n"/>
      <c r="E154" s="40" t="n"/>
      <c r="F154" s="40" t="n"/>
      <c r="G154" s="40" t="n"/>
      <c r="H154" s="41">
        <f>IF(G154="","",IF(OR(G154="Admin",G154="Privileged"),"Ya","Tidak"))</f>
        <v/>
      </c>
      <c r="I154" s="40" t="n"/>
      <c r="J154" s="40" t="n"/>
      <c r="K154" s="40" t="n"/>
      <c r="L154" s="42" t="n"/>
      <c r="M154" s="42" t="n"/>
      <c r="N154" s="42" t="n"/>
      <c r="O154" s="40" t="n"/>
      <c r="P154" s="42" t="n"/>
      <c r="Q154" s="43">
        <f>IF(P154="","",EDATE(P154,IF(H154="Ya",3,6)))</f>
        <v/>
      </c>
      <c r="R154" s="41">
        <f>IF(A154="","",IF(AND(D154="Keluar",O154="Aktif"),"CABUT",IF(AND(M154&lt;&gt;"",M154&lt;TODAY(),O154="Aktif"),"KEDALUWARSA",IF(AND(Q154&lt;&gt;"",Q154&lt;TODAY(),O154="Aktif"),"REVIEW","OK"))))</f>
        <v/>
      </c>
      <c r="S154" s="40" t="n"/>
    </row>
    <row r="155" ht="15" customHeight="1" s="24">
      <c r="A155" s="40" t="n"/>
      <c r="B155" s="40" t="n"/>
      <c r="C155" s="40" t="n"/>
      <c r="D155" s="40" t="n"/>
      <c r="E155" s="40" t="n"/>
      <c r="F155" s="40" t="n"/>
      <c r="G155" s="40" t="n"/>
      <c r="H155" s="41">
        <f>IF(G155="","",IF(OR(G155="Admin",G155="Privileged"),"Ya","Tidak"))</f>
        <v/>
      </c>
      <c r="I155" s="40" t="n"/>
      <c r="J155" s="40" t="n"/>
      <c r="K155" s="40" t="n"/>
      <c r="L155" s="42" t="n"/>
      <c r="M155" s="42" t="n"/>
      <c r="N155" s="42" t="n"/>
      <c r="O155" s="40" t="n"/>
      <c r="P155" s="42" t="n"/>
      <c r="Q155" s="43">
        <f>IF(P155="","",EDATE(P155,IF(H155="Ya",3,6)))</f>
        <v/>
      </c>
      <c r="R155" s="41">
        <f>IF(A155="","",IF(AND(D155="Keluar",O155="Aktif"),"CABUT",IF(AND(M155&lt;&gt;"",M155&lt;TODAY(),O155="Aktif"),"KEDALUWARSA",IF(AND(Q155&lt;&gt;"",Q155&lt;TODAY(),O155="Aktif"),"REVIEW","OK"))))</f>
        <v/>
      </c>
      <c r="S155" s="40" t="n"/>
    </row>
    <row r="156" ht="15" customHeight="1" s="24">
      <c r="A156" s="40" t="n"/>
      <c r="B156" s="40" t="n"/>
      <c r="C156" s="40" t="n"/>
      <c r="D156" s="40" t="n"/>
      <c r="E156" s="40" t="n"/>
      <c r="F156" s="40" t="n"/>
      <c r="G156" s="40" t="n"/>
      <c r="H156" s="41">
        <f>IF(G156="","",IF(OR(G156="Admin",G156="Privileged"),"Ya","Tidak"))</f>
        <v/>
      </c>
      <c r="I156" s="40" t="n"/>
      <c r="J156" s="40" t="n"/>
      <c r="K156" s="40" t="n"/>
      <c r="L156" s="42" t="n"/>
      <c r="M156" s="42" t="n"/>
      <c r="N156" s="42" t="n"/>
      <c r="O156" s="40" t="n"/>
      <c r="P156" s="42" t="n"/>
      <c r="Q156" s="43">
        <f>IF(P156="","",EDATE(P156,IF(H156="Ya",3,6)))</f>
        <v/>
      </c>
      <c r="R156" s="41">
        <f>IF(A156="","",IF(AND(D156="Keluar",O156="Aktif"),"CABUT",IF(AND(M156&lt;&gt;"",M156&lt;TODAY(),O156="Aktif"),"KEDALUWARSA",IF(AND(Q156&lt;&gt;"",Q156&lt;TODAY(),O156="Aktif"),"REVIEW","OK"))))</f>
        <v/>
      </c>
      <c r="S156" s="40" t="n"/>
    </row>
    <row r="157" ht="15" customHeight="1" s="24">
      <c r="A157" s="40" t="n"/>
      <c r="B157" s="40" t="n"/>
      <c r="C157" s="40" t="n"/>
      <c r="D157" s="40" t="n"/>
      <c r="E157" s="40" t="n"/>
      <c r="F157" s="40" t="n"/>
      <c r="G157" s="40" t="n"/>
      <c r="H157" s="41">
        <f>IF(G157="","",IF(OR(G157="Admin",G157="Privileged"),"Ya","Tidak"))</f>
        <v/>
      </c>
      <c r="I157" s="40" t="n"/>
      <c r="J157" s="40" t="n"/>
      <c r="K157" s="40" t="n"/>
      <c r="L157" s="42" t="n"/>
      <c r="M157" s="42" t="n"/>
      <c r="N157" s="42" t="n"/>
      <c r="O157" s="40" t="n"/>
      <c r="P157" s="42" t="n"/>
      <c r="Q157" s="43">
        <f>IF(P157="","",EDATE(P157,IF(H157="Ya",3,6)))</f>
        <v/>
      </c>
      <c r="R157" s="41">
        <f>IF(A157="","",IF(AND(D157="Keluar",O157="Aktif"),"CABUT",IF(AND(M157&lt;&gt;"",M157&lt;TODAY(),O157="Aktif"),"KEDALUWARSA",IF(AND(Q157&lt;&gt;"",Q157&lt;TODAY(),O157="Aktif"),"REVIEW","OK"))))</f>
        <v/>
      </c>
      <c r="S157" s="40" t="n"/>
    </row>
    <row r="158" ht="15" customHeight="1" s="24">
      <c r="A158" s="40" t="n"/>
      <c r="B158" s="40" t="n"/>
      <c r="C158" s="40" t="n"/>
      <c r="D158" s="40" t="n"/>
      <c r="E158" s="40" t="n"/>
      <c r="F158" s="40" t="n"/>
      <c r="G158" s="40" t="n"/>
      <c r="H158" s="41">
        <f>IF(G158="","",IF(OR(G158="Admin",G158="Privileged"),"Ya","Tidak"))</f>
        <v/>
      </c>
      <c r="I158" s="40" t="n"/>
      <c r="J158" s="40" t="n"/>
      <c r="K158" s="40" t="n"/>
      <c r="L158" s="42" t="n"/>
      <c r="M158" s="42" t="n"/>
      <c r="N158" s="42" t="n"/>
      <c r="O158" s="40" t="n"/>
      <c r="P158" s="42" t="n"/>
      <c r="Q158" s="43">
        <f>IF(P158="","",EDATE(P158,IF(H158="Ya",3,6)))</f>
        <v/>
      </c>
      <c r="R158" s="41">
        <f>IF(A158="","",IF(AND(D158="Keluar",O158="Aktif"),"CABUT",IF(AND(M158&lt;&gt;"",M158&lt;TODAY(),O158="Aktif"),"KEDALUWARSA",IF(AND(Q158&lt;&gt;"",Q158&lt;TODAY(),O158="Aktif"),"REVIEW","OK"))))</f>
        <v/>
      </c>
      <c r="S158" s="40" t="n"/>
    </row>
    <row r="159" ht="15" customHeight="1" s="24">
      <c r="A159" s="40" t="n"/>
      <c r="B159" s="40" t="n"/>
      <c r="C159" s="40" t="n"/>
      <c r="D159" s="40" t="n"/>
      <c r="E159" s="40" t="n"/>
      <c r="F159" s="40" t="n"/>
      <c r="G159" s="40" t="n"/>
      <c r="H159" s="41">
        <f>IF(G159="","",IF(OR(G159="Admin",G159="Privileged"),"Ya","Tidak"))</f>
        <v/>
      </c>
      <c r="I159" s="40" t="n"/>
      <c r="J159" s="40" t="n"/>
      <c r="K159" s="40" t="n"/>
      <c r="L159" s="42" t="n"/>
      <c r="M159" s="42" t="n"/>
      <c r="N159" s="42" t="n"/>
      <c r="O159" s="40" t="n"/>
      <c r="P159" s="42" t="n"/>
      <c r="Q159" s="43">
        <f>IF(P159="","",EDATE(P159,IF(H159="Ya",3,6)))</f>
        <v/>
      </c>
      <c r="R159" s="41">
        <f>IF(A159="","",IF(AND(D159="Keluar",O159="Aktif"),"CABUT",IF(AND(M159&lt;&gt;"",M159&lt;TODAY(),O159="Aktif"),"KEDALUWARSA",IF(AND(Q159&lt;&gt;"",Q159&lt;TODAY(),O159="Aktif"),"REVIEW","OK"))))</f>
        <v/>
      </c>
      <c r="S159" s="40" t="n"/>
    </row>
    <row r="160" ht="15" customHeight="1" s="24">
      <c r="A160" s="40" t="n"/>
      <c r="B160" s="40" t="n"/>
      <c r="C160" s="40" t="n"/>
      <c r="D160" s="40" t="n"/>
      <c r="E160" s="40" t="n"/>
      <c r="F160" s="40" t="n"/>
      <c r="G160" s="40" t="n"/>
      <c r="H160" s="41">
        <f>IF(G160="","",IF(OR(G160="Admin",G160="Privileged"),"Ya","Tidak"))</f>
        <v/>
      </c>
      <c r="I160" s="40" t="n"/>
      <c r="J160" s="40" t="n"/>
      <c r="K160" s="40" t="n"/>
      <c r="L160" s="42" t="n"/>
      <c r="M160" s="42" t="n"/>
      <c r="N160" s="42" t="n"/>
      <c r="O160" s="40" t="n"/>
      <c r="P160" s="42" t="n"/>
      <c r="Q160" s="43">
        <f>IF(P160="","",EDATE(P160,IF(H160="Ya",3,6)))</f>
        <v/>
      </c>
      <c r="R160" s="41">
        <f>IF(A160="","",IF(AND(D160="Keluar",O160="Aktif"),"CABUT",IF(AND(M160&lt;&gt;"",M160&lt;TODAY(),O160="Aktif"),"KEDALUWARSA",IF(AND(Q160&lt;&gt;"",Q160&lt;TODAY(),O160="Aktif"),"REVIEW","OK"))))</f>
        <v/>
      </c>
      <c r="S160" s="40" t="n"/>
    </row>
    <row r="161" ht="15" customHeight="1" s="24">
      <c r="A161" s="40" t="n"/>
      <c r="B161" s="40" t="n"/>
      <c r="C161" s="40" t="n"/>
      <c r="D161" s="40" t="n"/>
      <c r="E161" s="40" t="n"/>
      <c r="F161" s="40" t="n"/>
      <c r="G161" s="40" t="n"/>
      <c r="H161" s="41">
        <f>IF(G161="","",IF(OR(G161="Admin",G161="Privileged"),"Ya","Tidak"))</f>
        <v/>
      </c>
      <c r="I161" s="40" t="n"/>
      <c r="J161" s="40" t="n"/>
      <c r="K161" s="40" t="n"/>
      <c r="L161" s="42" t="n"/>
      <c r="M161" s="42" t="n"/>
      <c r="N161" s="42" t="n"/>
      <c r="O161" s="40" t="n"/>
      <c r="P161" s="42" t="n"/>
      <c r="Q161" s="43">
        <f>IF(P161="","",EDATE(P161,IF(H161="Ya",3,6)))</f>
        <v/>
      </c>
      <c r="R161" s="41">
        <f>IF(A161="","",IF(AND(D161="Keluar",O161="Aktif"),"CABUT",IF(AND(M161&lt;&gt;"",M161&lt;TODAY(),O161="Aktif"),"KEDALUWARSA",IF(AND(Q161&lt;&gt;"",Q161&lt;TODAY(),O161="Aktif"),"REVIEW","OK"))))</f>
        <v/>
      </c>
      <c r="S161" s="40" t="n"/>
    </row>
    <row r="162" ht="15" customHeight="1" s="24">
      <c r="A162" s="40" t="n"/>
      <c r="B162" s="40" t="n"/>
      <c r="C162" s="40" t="n"/>
      <c r="D162" s="40" t="n"/>
      <c r="E162" s="40" t="n"/>
      <c r="F162" s="40" t="n"/>
      <c r="G162" s="40" t="n"/>
      <c r="H162" s="41">
        <f>IF(G162="","",IF(OR(G162="Admin",G162="Privileged"),"Ya","Tidak"))</f>
        <v/>
      </c>
      <c r="I162" s="40" t="n"/>
      <c r="J162" s="40" t="n"/>
      <c r="K162" s="40" t="n"/>
      <c r="L162" s="42" t="n"/>
      <c r="M162" s="42" t="n"/>
      <c r="N162" s="42" t="n"/>
      <c r="O162" s="40" t="n"/>
      <c r="P162" s="42" t="n"/>
      <c r="Q162" s="43">
        <f>IF(P162="","",EDATE(P162,IF(H162="Ya",3,6)))</f>
        <v/>
      </c>
      <c r="R162" s="41">
        <f>IF(A162="","",IF(AND(D162="Keluar",O162="Aktif"),"CABUT",IF(AND(M162&lt;&gt;"",M162&lt;TODAY(),O162="Aktif"),"KEDALUWARSA",IF(AND(Q162&lt;&gt;"",Q162&lt;TODAY(),O162="Aktif"),"REVIEW","OK"))))</f>
        <v/>
      </c>
      <c r="S162" s="40" t="n"/>
    </row>
    <row r="163" ht="15" customHeight="1" s="24">
      <c r="A163" s="40" t="n"/>
      <c r="B163" s="40" t="n"/>
      <c r="C163" s="40" t="n"/>
      <c r="D163" s="40" t="n"/>
      <c r="E163" s="40" t="n"/>
      <c r="F163" s="40" t="n"/>
      <c r="G163" s="40" t="n"/>
      <c r="H163" s="41">
        <f>IF(G163="","",IF(OR(G163="Admin",G163="Privileged"),"Ya","Tidak"))</f>
        <v/>
      </c>
      <c r="I163" s="40" t="n"/>
      <c r="J163" s="40" t="n"/>
      <c r="K163" s="40" t="n"/>
      <c r="L163" s="42" t="n"/>
      <c r="M163" s="42" t="n"/>
      <c r="N163" s="42" t="n"/>
      <c r="O163" s="40" t="n"/>
      <c r="P163" s="42" t="n"/>
      <c r="Q163" s="43">
        <f>IF(P163="","",EDATE(P163,IF(H163="Ya",3,6)))</f>
        <v/>
      </c>
      <c r="R163" s="41">
        <f>IF(A163="","",IF(AND(D163="Keluar",O163="Aktif"),"CABUT",IF(AND(M163&lt;&gt;"",M163&lt;TODAY(),O163="Aktif"),"KEDALUWARSA",IF(AND(Q163&lt;&gt;"",Q163&lt;TODAY(),O163="Aktif"),"REVIEW","OK"))))</f>
        <v/>
      </c>
      <c r="S163" s="40" t="n"/>
    </row>
    <row r="164" ht="15" customHeight="1" s="24">
      <c r="A164" s="40" t="n"/>
      <c r="B164" s="40" t="n"/>
      <c r="C164" s="40" t="n"/>
      <c r="D164" s="40" t="n"/>
      <c r="E164" s="40" t="n"/>
      <c r="F164" s="40" t="n"/>
      <c r="G164" s="40" t="n"/>
      <c r="H164" s="41">
        <f>IF(G164="","",IF(OR(G164="Admin",G164="Privileged"),"Ya","Tidak"))</f>
        <v/>
      </c>
      <c r="I164" s="40" t="n"/>
      <c r="J164" s="40" t="n"/>
      <c r="K164" s="40" t="n"/>
      <c r="L164" s="42" t="n"/>
      <c r="M164" s="42" t="n"/>
      <c r="N164" s="42" t="n"/>
      <c r="O164" s="40" t="n"/>
      <c r="P164" s="42" t="n"/>
      <c r="Q164" s="43">
        <f>IF(P164="","",EDATE(P164,IF(H164="Ya",3,6)))</f>
        <v/>
      </c>
      <c r="R164" s="41">
        <f>IF(A164="","",IF(AND(D164="Keluar",O164="Aktif"),"CABUT",IF(AND(M164&lt;&gt;"",M164&lt;TODAY(),O164="Aktif"),"KEDALUWARSA",IF(AND(Q164&lt;&gt;"",Q164&lt;TODAY(),O164="Aktif"),"REVIEW","OK"))))</f>
        <v/>
      </c>
      <c r="S164" s="40" t="n"/>
    </row>
    <row r="165" ht="15" customHeight="1" s="24">
      <c r="A165" s="40" t="n"/>
      <c r="B165" s="40" t="n"/>
      <c r="C165" s="40" t="n"/>
      <c r="D165" s="40" t="n"/>
      <c r="E165" s="40" t="n"/>
      <c r="F165" s="40" t="n"/>
      <c r="G165" s="40" t="n"/>
      <c r="H165" s="41">
        <f>IF(G165="","",IF(OR(G165="Admin",G165="Privileged"),"Ya","Tidak"))</f>
        <v/>
      </c>
      <c r="I165" s="40" t="n"/>
      <c r="J165" s="40" t="n"/>
      <c r="K165" s="40" t="n"/>
      <c r="L165" s="42" t="n"/>
      <c r="M165" s="42" t="n"/>
      <c r="N165" s="42" t="n"/>
      <c r="O165" s="40" t="n"/>
      <c r="P165" s="42" t="n"/>
      <c r="Q165" s="43">
        <f>IF(P165="","",EDATE(P165,IF(H165="Ya",3,6)))</f>
        <v/>
      </c>
      <c r="R165" s="41">
        <f>IF(A165="","",IF(AND(D165="Keluar",O165="Aktif"),"CABUT",IF(AND(M165&lt;&gt;"",M165&lt;TODAY(),O165="Aktif"),"KEDALUWARSA",IF(AND(Q165&lt;&gt;"",Q165&lt;TODAY(),O165="Aktif"),"REVIEW","OK"))))</f>
        <v/>
      </c>
      <c r="S165" s="40" t="n"/>
    </row>
    <row r="166" ht="15" customHeight="1" s="24">
      <c r="A166" s="40" t="n"/>
      <c r="B166" s="40" t="n"/>
      <c r="C166" s="40" t="n"/>
      <c r="D166" s="40" t="n"/>
      <c r="E166" s="40" t="n"/>
      <c r="F166" s="40" t="n"/>
      <c r="G166" s="40" t="n"/>
      <c r="H166" s="41">
        <f>IF(G166="","",IF(OR(G166="Admin",G166="Privileged"),"Ya","Tidak"))</f>
        <v/>
      </c>
      <c r="I166" s="40" t="n"/>
      <c r="J166" s="40" t="n"/>
      <c r="K166" s="40" t="n"/>
      <c r="L166" s="42" t="n"/>
      <c r="M166" s="42" t="n"/>
      <c r="N166" s="42" t="n"/>
      <c r="O166" s="40" t="n"/>
      <c r="P166" s="42" t="n"/>
      <c r="Q166" s="43">
        <f>IF(P166="","",EDATE(P166,IF(H166="Ya",3,6)))</f>
        <v/>
      </c>
      <c r="R166" s="41">
        <f>IF(A166="","",IF(AND(D166="Keluar",O166="Aktif"),"CABUT",IF(AND(M166&lt;&gt;"",M166&lt;TODAY(),O166="Aktif"),"KEDALUWARSA",IF(AND(Q166&lt;&gt;"",Q166&lt;TODAY(),O166="Aktif"),"REVIEW","OK"))))</f>
        <v/>
      </c>
      <c r="S166" s="40" t="n"/>
    </row>
    <row r="167" ht="15" customHeight="1" s="24">
      <c r="A167" s="40" t="n"/>
      <c r="B167" s="40" t="n"/>
      <c r="C167" s="40" t="n"/>
      <c r="D167" s="40" t="n"/>
      <c r="E167" s="40" t="n"/>
      <c r="F167" s="40" t="n"/>
      <c r="G167" s="40" t="n"/>
      <c r="H167" s="41">
        <f>IF(G167="","",IF(OR(G167="Admin",G167="Privileged"),"Ya","Tidak"))</f>
        <v/>
      </c>
      <c r="I167" s="40" t="n"/>
      <c r="J167" s="40" t="n"/>
      <c r="K167" s="40" t="n"/>
      <c r="L167" s="42" t="n"/>
      <c r="M167" s="42" t="n"/>
      <c r="N167" s="42" t="n"/>
      <c r="O167" s="40" t="n"/>
      <c r="P167" s="42" t="n"/>
      <c r="Q167" s="43">
        <f>IF(P167="","",EDATE(P167,IF(H167="Ya",3,6)))</f>
        <v/>
      </c>
      <c r="R167" s="41">
        <f>IF(A167="","",IF(AND(D167="Keluar",O167="Aktif"),"CABUT",IF(AND(M167&lt;&gt;"",M167&lt;TODAY(),O167="Aktif"),"KEDALUWARSA",IF(AND(Q167&lt;&gt;"",Q167&lt;TODAY(),O167="Aktif"),"REVIEW","OK"))))</f>
        <v/>
      </c>
      <c r="S167" s="40" t="n"/>
    </row>
    <row r="168" ht="15" customHeight="1" s="24">
      <c r="A168" s="40" t="n"/>
      <c r="B168" s="40" t="n"/>
      <c r="C168" s="40" t="n"/>
      <c r="D168" s="40" t="n"/>
      <c r="E168" s="40" t="n"/>
      <c r="F168" s="40" t="n"/>
      <c r="G168" s="40" t="n"/>
      <c r="H168" s="41">
        <f>IF(G168="","",IF(OR(G168="Admin",G168="Privileged"),"Ya","Tidak"))</f>
        <v/>
      </c>
      <c r="I168" s="40" t="n"/>
      <c r="J168" s="40" t="n"/>
      <c r="K168" s="40" t="n"/>
      <c r="L168" s="42" t="n"/>
      <c r="M168" s="42" t="n"/>
      <c r="N168" s="42" t="n"/>
      <c r="O168" s="40" t="n"/>
      <c r="P168" s="42" t="n"/>
      <c r="Q168" s="43">
        <f>IF(P168="","",EDATE(P168,IF(H168="Ya",3,6)))</f>
        <v/>
      </c>
      <c r="R168" s="41">
        <f>IF(A168="","",IF(AND(D168="Keluar",O168="Aktif"),"CABUT",IF(AND(M168&lt;&gt;"",M168&lt;TODAY(),O168="Aktif"),"KEDALUWARSA",IF(AND(Q168&lt;&gt;"",Q168&lt;TODAY(),O168="Aktif"),"REVIEW","OK"))))</f>
        <v/>
      </c>
      <c r="S168" s="40" t="n"/>
    </row>
    <row r="169" ht="15" customHeight="1" s="24">
      <c r="A169" s="40" t="n"/>
      <c r="B169" s="40" t="n"/>
      <c r="C169" s="40" t="n"/>
      <c r="D169" s="40" t="n"/>
      <c r="E169" s="40" t="n"/>
      <c r="F169" s="40" t="n"/>
      <c r="G169" s="40" t="n"/>
      <c r="H169" s="41">
        <f>IF(G169="","",IF(OR(G169="Admin",G169="Privileged"),"Ya","Tidak"))</f>
        <v/>
      </c>
      <c r="I169" s="40" t="n"/>
      <c r="J169" s="40" t="n"/>
      <c r="K169" s="40" t="n"/>
      <c r="L169" s="42" t="n"/>
      <c r="M169" s="42" t="n"/>
      <c r="N169" s="42" t="n"/>
      <c r="O169" s="40" t="n"/>
      <c r="P169" s="42" t="n"/>
      <c r="Q169" s="43">
        <f>IF(P169="","",EDATE(P169,IF(H169="Ya",3,6)))</f>
        <v/>
      </c>
      <c r="R169" s="41">
        <f>IF(A169="","",IF(AND(D169="Keluar",O169="Aktif"),"CABUT",IF(AND(M169&lt;&gt;"",M169&lt;TODAY(),O169="Aktif"),"KEDALUWARSA",IF(AND(Q169&lt;&gt;"",Q169&lt;TODAY(),O169="Aktif"),"REVIEW","OK"))))</f>
        <v/>
      </c>
      <c r="S169" s="40" t="n"/>
    </row>
    <row r="170" ht="15" customHeight="1" s="24">
      <c r="A170" s="40" t="n"/>
      <c r="B170" s="40" t="n"/>
      <c r="C170" s="40" t="n"/>
      <c r="D170" s="40" t="n"/>
      <c r="E170" s="40" t="n"/>
      <c r="F170" s="40" t="n"/>
      <c r="G170" s="40" t="n"/>
      <c r="H170" s="41">
        <f>IF(G170="","",IF(OR(G170="Admin",G170="Privileged"),"Ya","Tidak"))</f>
        <v/>
      </c>
      <c r="I170" s="40" t="n"/>
      <c r="J170" s="40" t="n"/>
      <c r="K170" s="40" t="n"/>
      <c r="L170" s="42" t="n"/>
      <c r="M170" s="42" t="n"/>
      <c r="N170" s="42" t="n"/>
      <c r="O170" s="40" t="n"/>
      <c r="P170" s="42" t="n"/>
      <c r="Q170" s="43">
        <f>IF(P170="","",EDATE(P170,IF(H170="Ya",3,6)))</f>
        <v/>
      </c>
      <c r="R170" s="41">
        <f>IF(A170="","",IF(AND(D170="Keluar",O170="Aktif"),"CABUT",IF(AND(M170&lt;&gt;"",M170&lt;TODAY(),O170="Aktif"),"KEDALUWARSA",IF(AND(Q170&lt;&gt;"",Q170&lt;TODAY(),O170="Aktif"),"REVIEW","OK"))))</f>
        <v/>
      </c>
      <c r="S170" s="40" t="n"/>
    </row>
    <row r="171" ht="15" customHeight="1" s="24">
      <c r="A171" s="40" t="n"/>
      <c r="B171" s="40" t="n"/>
      <c r="C171" s="40" t="n"/>
      <c r="D171" s="40" t="n"/>
      <c r="E171" s="40" t="n"/>
      <c r="F171" s="40" t="n"/>
      <c r="G171" s="40" t="n"/>
      <c r="H171" s="41">
        <f>IF(G171="","",IF(OR(G171="Admin",G171="Privileged"),"Ya","Tidak"))</f>
        <v/>
      </c>
      <c r="I171" s="40" t="n"/>
      <c r="J171" s="40" t="n"/>
      <c r="K171" s="40" t="n"/>
      <c r="L171" s="42" t="n"/>
      <c r="M171" s="42" t="n"/>
      <c r="N171" s="42" t="n"/>
      <c r="O171" s="40" t="n"/>
      <c r="P171" s="42" t="n"/>
      <c r="Q171" s="43">
        <f>IF(P171="","",EDATE(P171,IF(H171="Ya",3,6)))</f>
        <v/>
      </c>
      <c r="R171" s="41">
        <f>IF(A171="","",IF(AND(D171="Keluar",O171="Aktif"),"CABUT",IF(AND(M171&lt;&gt;"",M171&lt;TODAY(),O171="Aktif"),"KEDALUWARSA",IF(AND(Q171&lt;&gt;"",Q171&lt;TODAY(),O171="Aktif"),"REVIEW","OK"))))</f>
        <v/>
      </c>
      <c r="S171" s="40" t="n"/>
    </row>
    <row r="172" ht="15" customHeight="1" s="24">
      <c r="A172" s="40" t="n"/>
      <c r="B172" s="40" t="n"/>
      <c r="C172" s="40" t="n"/>
      <c r="D172" s="40" t="n"/>
      <c r="E172" s="40" t="n"/>
      <c r="F172" s="40" t="n"/>
      <c r="G172" s="40" t="n"/>
      <c r="H172" s="41">
        <f>IF(G172="","",IF(OR(G172="Admin",G172="Privileged"),"Ya","Tidak"))</f>
        <v/>
      </c>
      <c r="I172" s="40" t="n"/>
      <c r="J172" s="40" t="n"/>
      <c r="K172" s="40" t="n"/>
      <c r="L172" s="42" t="n"/>
      <c r="M172" s="42" t="n"/>
      <c r="N172" s="42" t="n"/>
      <c r="O172" s="40" t="n"/>
      <c r="P172" s="42" t="n"/>
      <c r="Q172" s="43">
        <f>IF(P172="","",EDATE(P172,IF(H172="Ya",3,6)))</f>
        <v/>
      </c>
      <c r="R172" s="41">
        <f>IF(A172="","",IF(AND(D172="Keluar",O172="Aktif"),"CABUT",IF(AND(M172&lt;&gt;"",M172&lt;TODAY(),O172="Aktif"),"KEDALUWARSA",IF(AND(Q172&lt;&gt;"",Q172&lt;TODAY(),O172="Aktif"),"REVIEW","OK"))))</f>
        <v/>
      </c>
      <c r="S172" s="40" t="n"/>
    </row>
    <row r="173" ht="15" customHeight="1" s="24">
      <c r="A173" s="40" t="n"/>
      <c r="B173" s="40" t="n"/>
      <c r="C173" s="40" t="n"/>
      <c r="D173" s="40" t="n"/>
      <c r="E173" s="40" t="n"/>
      <c r="F173" s="40" t="n"/>
      <c r="G173" s="40" t="n"/>
      <c r="H173" s="41">
        <f>IF(G173="","",IF(OR(G173="Admin",G173="Privileged"),"Ya","Tidak"))</f>
        <v/>
      </c>
      <c r="I173" s="40" t="n"/>
      <c r="J173" s="40" t="n"/>
      <c r="K173" s="40" t="n"/>
      <c r="L173" s="42" t="n"/>
      <c r="M173" s="42" t="n"/>
      <c r="N173" s="42" t="n"/>
      <c r="O173" s="40" t="n"/>
      <c r="P173" s="42" t="n"/>
      <c r="Q173" s="43">
        <f>IF(P173="","",EDATE(P173,IF(H173="Ya",3,6)))</f>
        <v/>
      </c>
      <c r="R173" s="41">
        <f>IF(A173="","",IF(AND(D173="Keluar",O173="Aktif"),"CABUT",IF(AND(M173&lt;&gt;"",M173&lt;TODAY(),O173="Aktif"),"KEDALUWARSA",IF(AND(Q173&lt;&gt;"",Q173&lt;TODAY(),O173="Aktif"),"REVIEW","OK"))))</f>
        <v/>
      </c>
      <c r="S173" s="40" t="n"/>
    </row>
    <row r="174" ht="15" customHeight="1" s="24">
      <c r="A174" s="40" t="n"/>
      <c r="B174" s="40" t="n"/>
      <c r="C174" s="40" t="n"/>
      <c r="D174" s="40" t="n"/>
      <c r="E174" s="40" t="n"/>
      <c r="F174" s="40" t="n"/>
      <c r="G174" s="40" t="n"/>
      <c r="H174" s="41">
        <f>IF(G174="","",IF(OR(G174="Admin",G174="Privileged"),"Ya","Tidak"))</f>
        <v/>
      </c>
      <c r="I174" s="40" t="n"/>
      <c r="J174" s="40" t="n"/>
      <c r="K174" s="40" t="n"/>
      <c r="L174" s="42" t="n"/>
      <c r="M174" s="42" t="n"/>
      <c r="N174" s="42" t="n"/>
      <c r="O174" s="40" t="n"/>
      <c r="P174" s="42" t="n"/>
      <c r="Q174" s="43">
        <f>IF(P174="","",EDATE(P174,IF(H174="Ya",3,6)))</f>
        <v/>
      </c>
      <c r="R174" s="41">
        <f>IF(A174="","",IF(AND(D174="Keluar",O174="Aktif"),"CABUT",IF(AND(M174&lt;&gt;"",M174&lt;TODAY(),O174="Aktif"),"KEDALUWARSA",IF(AND(Q174&lt;&gt;"",Q174&lt;TODAY(),O174="Aktif"),"REVIEW","OK"))))</f>
        <v/>
      </c>
      <c r="S174" s="40" t="n"/>
    </row>
    <row r="175" ht="15" customHeight="1" s="24">
      <c r="A175" s="40" t="n"/>
      <c r="B175" s="40" t="n"/>
      <c r="C175" s="40" t="n"/>
      <c r="D175" s="40" t="n"/>
      <c r="E175" s="40" t="n"/>
      <c r="F175" s="40" t="n"/>
      <c r="G175" s="40" t="n"/>
      <c r="H175" s="41">
        <f>IF(G175="","",IF(OR(G175="Admin",G175="Privileged"),"Ya","Tidak"))</f>
        <v/>
      </c>
      <c r="I175" s="40" t="n"/>
      <c r="J175" s="40" t="n"/>
      <c r="K175" s="40" t="n"/>
      <c r="L175" s="42" t="n"/>
      <c r="M175" s="42" t="n"/>
      <c r="N175" s="42" t="n"/>
      <c r="O175" s="40" t="n"/>
      <c r="P175" s="42" t="n"/>
      <c r="Q175" s="43">
        <f>IF(P175="","",EDATE(P175,IF(H175="Ya",3,6)))</f>
        <v/>
      </c>
      <c r="R175" s="41">
        <f>IF(A175="","",IF(AND(D175="Keluar",O175="Aktif"),"CABUT",IF(AND(M175&lt;&gt;"",M175&lt;TODAY(),O175="Aktif"),"KEDALUWARSA",IF(AND(Q175&lt;&gt;"",Q175&lt;TODAY(),O175="Aktif"),"REVIEW","OK"))))</f>
        <v/>
      </c>
      <c r="S175" s="40" t="n"/>
    </row>
    <row r="176" ht="15" customHeight="1" s="24">
      <c r="A176" s="40" t="n"/>
      <c r="B176" s="40" t="n"/>
      <c r="C176" s="40" t="n"/>
      <c r="D176" s="40" t="n"/>
      <c r="E176" s="40" t="n"/>
      <c r="F176" s="40" t="n"/>
      <c r="G176" s="40" t="n"/>
      <c r="H176" s="41">
        <f>IF(G176="","",IF(OR(G176="Admin",G176="Privileged"),"Ya","Tidak"))</f>
        <v/>
      </c>
      <c r="I176" s="40" t="n"/>
      <c r="J176" s="40" t="n"/>
      <c r="K176" s="40" t="n"/>
      <c r="L176" s="42" t="n"/>
      <c r="M176" s="42" t="n"/>
      <c r="N176" s="42" t="n"/>
      <c r="O176" s="40" t="n"/>
      <c r="P176" s="42" t="n"/>
      <c r="Q176" s="43">
        <f>IF(P176="","",EDATE(P176,IF(H176="Ya",3,6)))</f>
        <v/>
      </c>
      <c r="R176" s="41">
        <f>IF(A176="","",IF(AND(D176="Keluar",O176="Aktif"),"CABUT",IF(AND(M176&lt;&gt;"",M176&lt;TODAY(),O176="Aktif"),"KEDALUWARSA",IF(AND(Q176&lt;&gt;"",Q176&lt;TODAY(),O176="Aktif"),"REVIEW","OK"))))</f>
        <v/>
      </c>
      <c r="S176" s="40" t="n"/>
    </row>
    <row r="177" ht="15" customHeight="1" s="24">
      <c r="A177" s="40" t="n"/>
      <c r="B177" s="40" t="n"/>
      <c r="C177" s="40" t="n"/>
      <c r="D177" s="40" t="n"/>
      <c r="E177" s="40" t="n"/>
      <c r="F177" s="40" t="n"/>
      <c r="G177" s="40" t="n"/>
      <c r="H177" s="41">
        <f>IF(G177="","",IF(OR(G177="Admin",G177="Privileged"),"Ya","Tidak"))</f>
        <v/>
      </c>
      <c r="I177" s="40" t="n"/>
      <c r="J177" s="40" t="n"/>
      <c r="K177" s="40" t="n"/>
      <c r="L177" s="42" t="n"/>
      <c r="M177" s="42" t="n"/>
      <c r="N177" s="42" t="n"/>
      <c r="O177" s="40" t="n"/>
      <c r="P177" s="42" t="n"/>
      <c r="Q177" s="43">
        <f>IF(P177="","",EDATE(P177,IF(H177="Ya",3,6)))</f>
        <v/>
      </c>
      <c r="R177" s="41">
        <f>IF(A177="","",IF(AND(D177="Keluar",O177="Aktif"),"CABUT",IF(AND(M177&lt;&gt;"",M177&lt;TODAY(),O177="Aktif"),"KEDALUWARSA",IF(AND(Q177&lt;&gt;"",Q177&lt;TODAY(),O177="Aktif"),"REVIEW","OK"))))</f>
        <v/>
      </c>
      <c r="S177" s="40" t="n"/>
    </row>
    <row r="178" ht="15" customHeight="1" s="24">
      <c r="A178" s="40" t="n"/>
      <c r="B178" s="40" t="n"/>
      <c r="C178" s="40" t="n"/>
      <c r="D178" s="40" t="n"/>
      <c r="E178" s="40" t="n"/>
      <c r="F178" s="40" t="n"/>
      <c r="G178" s="40" t="n"/>
      <c r="H178" s="41">
        <f>IF(G178="","",IF(OR(G178="Admin",G178="Privileged"),"Ya","Tidak"))</f>
        <v/>
      </c>
      <c r="I178" s="40" t="n"/>
      <c r="J178" s="40" t="n"/>
      <c r="K178" s="40" t="n"/>
      <c r="L178" s="42" t="n"/>
      <c r="M178" s="42" t="n"/>
      <c r="N178" s="42" t="n"/>
      <c r="O178" s="40" t="n"/>
      <c r="P178" s="42" t="n"/>
      <c r="Q178" s="43">
        <f>IF(P178="","",EDATE(P178,IF(H178="Ya",3,6)))</f>
        <v/>
      </c>
      <c r="R178" s="41">
        <f>IF(A178="","",IF(AND(D178="Keluar",O178="Aktif"),"CABUT",IF(AND(M178&lt;&gt;"",M178&lt;TODAY(),O178="Aktif"),"KEDALUWARSA",IF(AND(Q178&lt;&gt;"",Q178&lt;TODAY(),O178="Aktif"),"REVIEW","OK"))))</f>
        <v/>
      </c>
      <c r="S178" s="40" t="n"/>
    </row>
    <row r="179" ht="15" customHeight="1" s="24">
      <c r="A179" s="40" t="n"/>
      <c r="B179" s="40" t="n"/>
      <c r="C179" s="40" t="n"/>
      <c r="D179" s="40" t="n"/>
      <c r="E179" s="40" t="n"/>
      <c r="F179" s="40" t="n"/>
      <c r="G179" s="40" t="n"/>
      <c r="H179" s="41">
        <f>IF(G179="","",IF(OR(G179="Admin",G179="Privileged"),"Ya","Tidak"))</f>
        <v/>
      </c>
      <c r="I179" s="40" t="n"/>
      <c r="J179" s="40" t="n"/>
      <c r="K179" s="40" t="n"/>
      <c r="L179" s="42" t="n"/>
      <c r="M179" s="42" t="n"/>
      <c r="N179" s="42" t="n"/>
      <c r="O179" s="40" t="n"/>
      <c r="P179" s="42" t="n"/>
      <c r="Q179" s="43">
        <f>IF(P179="","",EDATE(P179,IF(H179="Ya",3,6)))</f>
        <v/>
      </c>
      <c r="R179" s="41">
        <f>IF(A179="","",IF(AND(D179="Keluar",O179="Aktif"),"CABUT",IF(AND(M179&lt;&gt;"",M179&lt;TODAY(),O179="Aktif"),"KEDALUWARSA",IF(AND(Q179&lt;&gt;"",Q179&lt;TODAY(),O179="Aktif"),"REVIEW","OK"))))</f>
        <v/>
      </c>
      <c r="S179" s="40" t="n"/>
    </row>
    <row r="180" ht="15" customHeight="1" s="24">
      <c r="A180" s="40" t="n"/>
      <c r="B180" s="40" t="n"/>
      <c r="C180" s="40" t="n"/>
      <c r="D180" s="40" t="n"/>
      <c r="E180" s="40" t="n"/>
      <c r="F180" s="40" t="n"/>
      <c r="G180" s="40" t="n"/>
      <c r="H180" s="41">
        <f>IF(G180="","",IF(OR(G180="Admin",G180="Privileged"),"Ya","Tidak"))</f>
        <v/>
      </c>
      <c r="I180" s="40" t="n"/>
      <c r="J180" s="40" t="n"/>
      <c r="K180" s="40" t="n"/>
      <c r="L180" s="42" t="n"/>
      <c r="M180" s="42" t="n"/>
      <c r="N180" s="42" t="n"/>
      <c r="O180" s="40" t="n"/>
      <c r="P180" s="42" t="n"/>
      <c r="Q180" s="43">
        <f>IF(P180="","",EDATE(P180,IF(H180="Ya",3,6)))</f>
        <v/>
      </c>
      <c r="R180" s="41">
        <f>IF(A180="","",IF(AND(D180="Keluar",O180="Aktif"),"CABUT",IF(AND(M180&lt;&gt;"",M180&lt;TODAY(),O180="Aktif"),"KEDALUWARSA",IF(AND(Q180&lt;&gt;"",Q180&lt;TODAY(),O180="Aktif"),"REVIEW","OK"))))</f>
        <v/>
      </c>
      <c r="S180" s="40" t="n"/>
    </row>
    <row r="181" ht="15" customHeight="1" s="24">
      <c r="A181" s="40" t="n"/>
      <c r="B181" s="40" t="n"/>
      <c r="C181" s="40" t="n"/>
      <c r="D181" s="40" t="n"/>
      <c r="E181" s="40" t="n"/>
      <c r="F181" s="40" t="n"/>
      <c r="G181" s="40" t="n"/>
      <c r="H181" s="41">
        <f>IF(G181="","",IF(OR(G181="Admin",G181="Privileged"),"Ya","Tidak"))</f>
        <v/>
      </c>
      <c r="I181" s="40" t="n"/>
      <c r="J181" s="40" t="n"/>
      <c r="K181" s="40" t="n"/>
      <c r="L181" s="42" t="n"/>
      <c r="M181" s="42" t="n"/>
      <c r="N181" s="42" t="n"/>
      <c r="O181" s="40" t="n"/>
      <c r="P181" s="42" t="n"/>
      <c r="Q181" s="43">
        <f>IF(P181="","",EDATE(P181,IF(H181="Ya",3,6)))</f>
        <v/>
      </c>
      <c r="R181" s="41">
        <f>IF(A181="","",IF(AND(D181="Keluar",O181="Aktif"),"CABUT",IF(AND(M181&lt;&gt;"",M181&lt;TODAY(),O181="Aktif"),"KEDALUWARSA",IF(AND(Q181&lt;&gt;"",Q181&lt;TODAY(),O181="Aktif"),"REVIEW","OK"))))</f>
        <v/>
      </c>
      <c r="S181" s="40" t="n"/>
    </row>
    <row r="182" ht="15" customHeight="1" s="24">
      <c r="A182" s="40" t="n"/>
      <c r="B182" s="40" t="n"/>
      <c r="C182" s="40" t="n"/>
      <c r="D182" s="40" t="n"/>
      <c r="E182" s="40" t="n"/>
      <c r="F182" s="40" t="n"/>
      <c r="G182" s="40" t="n"/>
      <c r="H182" s="41">
        <f>IF(G182="","",IF(OR(G182="Admin",G182="Privileged"),"Ya","Tidak"))</f>
        <v/>
      </c>
      <c r="I182" s="40" t="n"/>
      <c r="J182" s="40" t="n"/>
      <c r="K182" s="40" t="n"/>
      <c r="L182" s="42" t="n"/>
      <c r="M182" s="42" t="n"/>
      <c r="N182" s="42" t="n"/>
      <c r="O182" s="40" t="n"/>
      <c r="P182" s="42" t="n"/>
      <c r="Q182" s="43">
        <f>IF(P182="","",EDATE(P182,IF(H182="Ya",3,6)))</f>
        <v/>
      </c>
      <c r="R182" s="41">
        <f>IF(A182="","",IF(AND(D182="Keluar",O182="Aktif"),"CABUT",IF(AND(M182&lt;&gt;"",M182&lt;TODAY(),O182="Aktif"),"KEDALUWARSA",IF(AND(Q182&lt;&gt;"",Q182&lt;TODAY(),O182="Aktif"),"REVIEW","OK"))))</f>
        <v/>
      </c>
      <c r="S182" s="40" t="n"/>
    </row>
    <row r="183" ht="15" customHeight="1" s="24">
      <c r="A183" s="40" t="n"/>
      <c r="B183" s="40" t="n"/>
      <c r="C183" s="40" t="n"/>
      <c r="D183" s="40" t="n"/>
      <c r="E183" s="40" t="n"/>
      <c r="F183" s="40" t="n"/>
      <c r="G183" s="40" t="n"/>
      <c r="H183" s="41">
        <f>IF(G183="","",IF(OR(G183="Admin",G183="Privileged"),"Ya","Tidak"))</f>
        <v/>
      </c>
      <c r="I183" s="40" t="n"/>
      <c r="J183" s="40" t="n"/>
      <c r="K183" s="40" t="n"/>
      <c r="L183" s="42" t="n"/>
      <c r="M183" s="42" t="n"/>
      <c r="N183" s="42" t="n"/>
      <c r="O183" s="40" t="n"/>
      <c r="P183" s="42" t="n"/>
      <c r="Q183" s="43">
        <f>IF(P183="","",EDATE(P183,IF(H183="Ya",3,6)))</f>
        <v/>
      </c>
      <c r="R183" s="41">
        <f>IF(A183="","",IF(AND(D183="Keluar",O183="Aktif"),"CABUT",IF(AND(M183&lt;&gt;"",M183&lt;TODAY(),O183="Aktif"),"KEDALUWARSA",IF(AND(Q183&lt;&gt;"",Q183&lt;TODAY(),O183="Aktif"),"REVIEW","OK"))))</f>
        <v/>
      </c>
      <c r="S183" s="40" t="n"/>
    </row>
    <row r="184" ht="15" customHeight="1" s="24">
      <c r="A184" s="40" t="n"/>
      <c r="B184" s="40" t="n"/>
      <c r="C184" s="40" t="n"/>
      <c r="D184" s="40" t="n"/>
      <c r="E184" s="40" t="n"/>
      <c r="F184" s="40" t="n"/>
      <c r="G184" s="40" t="n"/>
      <c r="H184" s="41">
        <f>IF(G184="","",IF(OR(G184="Admin",G184="Privileged"),"Ya","Tidak"))</f>
        <v/>
      </c>
      <c r="I184" s="40" t="n"/>
      <c r="J184" s="40" t="n"/>
      <c r="K184" s="40" t="n"/>
      <c r="L184" s="42" t="n"/>
      <c r="M184" s="42" t="n"/>
      <c r="N184" s="42" t="n"/>
      <c r="O184" s="40" t="n"/>
      <c r="P184" s="42" t="n"/>
      <c r="Q184" s="43">
        <f>IF(P184="","",EDATE(P184,IF(H184="Ya",3,6)))</f>
        <v/>
      </c>
      <c r="R184" s="41">
        <f>IF(A184="","",IF(AND(D184="Keluar",O184="Aktif"),"CABUT",IF(AND(M184&lt;&gt;"",M184&lt;TODAY(),O184="Aktif"),"KEDALUWARSA",IF(AND(Q184&lt;&gt;"",Q184&lt;TODAY(),O184="Aktif"),"REVIEW","OK"))))</f>
        <v/>
      </c>
      <c r="S184" s="40" t="n"/>
    </row>
    <row r="185" ht="15" customHeight="1" s="24">
      <c r="A185" s="40" t="n"/>
      <c r="B185" s="40" t="n"/>
      <c r="C185" s="40" t="n"/>
      <c r="D185" s="40" t="n"/>
      <c r="E185" s="40" t="n"/>
      <c r="F185" s="40" t="n"/>
      <c r="G185" s="40" t="n"/>
      <c r="H185" s="41">
        <f>IF(G185="","",IF(OR(G185="Admin",G185="Privileged"),"Ya","Tidak"))</f>
        <v/>
      </c>
      <c r="I185" s="40" t="n"/>
      <c r="J185" s="40" t="n"/>
      <c r="K185" s="40" t="n"/>
      <c r="L185" s="42" t="n"/>
      <c r="M185" s="42" t="n"/>
      <c r="N185" s="42" t="n"/>
      <c r="O185" s="40" t="n"/>
      <c r="P185" s="42" t="n"/>
      <c r="Q185" s="43">
        <f>IF(P185="","",EDATE(P185,IF(H185="Ya",3,6)))</f>
        <v/>
      </c>
      <c r="R185" s="41">
        <f>IF(A185="","",IF(AND(D185="Keluar",O185="Aktif"),"CABUT",IF(AND(M185&lt;&gt;"",M185&lt;TODAY(),O185="Aktif"),"KEDALUWARSA",IF(AND(Q185&lt;&gt;"",Q185&lt;TODAY(),O185="Aktif"),"REVIEW","OK"))))</f>
        <v/>
      </c>
      <c r="S185" s="40" t="n"/>
    </row>
    <row r="186" ht="15" customHeight="1" s="24">
      <c r="A186" s="40" t="n"/>
      <c r="B186" s="40" t="n"/>
      <c r="C186" s="40" t="n"/>
      <c r="D186" s="40" t="n"/>
      <c r="E186" s="40" t="n"/>
      <c r="F186" s="40" t="n"/>
      <c r="G186" s="40" t="n"/>
      <c r="H186" s="41">
        <f>IF(G186="","",IF(OR(G186="Admin",G186="Privileged"),"Ya","Tidak"))</f>
        <v/>
      </c>
      <c r="I186" s="40" t="n"/>
      <c r="J186" s="40" t="n"/>
      <c r="K186" s="40" t="n"/>
      <c r="L186" s="42" t="n"/>
      <c r="M186" s="42" t="n"/>
      <c r="N186" s="42" t="n"/>
      <c r="O186" s="40" t="n"/>
      <c r="P186" s="42" t="n"/>
      <c r="Q186" s="43">
        <f>IF(P186="","",EDATE(P186,IF(H186="Ya",3,6)))</f>
        <v/>
      </c>
      <c r="R186" s="41">
        <f>IF(A186="","",IF(AND(D186="Keluar",O186="Aktif"),"CABUT",IF(AND(M186&lt;&gt;"",M186&lt;TODAY(),O186="Aktif"),"KEDALUWARSA",IF(AND(Q186&lt;&gt;"",Q186&lt;TODAY(),O186="Aktif"),"REVIEW","OK"))))</f>
        <v/>
      </c>
      <c r="S186" s="40" t="n"/>
    </row>
    <row r="187" ht="15" customHeight="1" s="24">
      <c r="A187" s="40" t="n"/>
      <c r="B187" s="40" t="n"/>
      <c r="C187" s="40" t="n"/>
      <c r="D187" s="40" t="n"/>
      <c r="E187" s="40" t="n"/>
      <c r="F187" s="40" t="n"/>
      <c r="G187" s="40" t="n"/>
      <c r="H187" s="41">
        <f>IF(G187="","",IF(OR(G187="Admin",G187="Privileged"),"Ya","Tidak"))</f>
        <v/>
      </c>
      <c r="I187" s="40" t="n"/>
      <c r="J187" s="40" t="n"/>
      <c r="K187" s="40" t="n"/>
      <c r="L187" s="42" t="n"/>
      <c r="M187" s="42" t="n"/>
      <c r="N187" s="42" t="n"/>
      <c r="O187" s="40" t="n"/>
      <c r="P187" s="42" t="n"/>
      <c r="Q187" s="43">
        <f>IF(P187="","",EDATE(P187,IF(H187="Ya",3,6)))</f>
        <v/>
      </c>
      <c r="R187" s="41">
        <f>IF(A187="","",IF(AND(D187="Keluar",O187="Aktif"),"CABUT",IF(AND(M187&lt;&gt;"",M187&lt;TODAY(),O187="Aktif"),"KEDALUWARSA",IF(AND(Q187&lt;&gt;"",Q187&lt;TODAY(),O187="Aktif"),"REVIEW","OK"))))</f>
        <v/>
      </c>
      <c r="S187" s="40" t="n"/>
    </row>
    <row r="188" ht="15" customHeight="1" s="24">
      <c r="A188" s="40" t="n"/>
      <c r="B188" s="40" t="n"/>
      <c r="C188" s="40" t="n"/>
      <c r="D188" s="40" t="n"/>
      <c r="E188" s="40" t="n"/>
      <c r="F188" s="40" t="n"/>
      <c r="G188" s="40" t="n"/>
      <c r="H188" s="41">
        <f>IF(G188="","",IF(OR(G188="Admin",G188="Privileged"),"Ya","Tidak"))</f>
        <v/>
      </c>
      <c r="I188" s="40" t="n"/>
      <c r="J188" s="40" t="n"/>
      <c r="K188" s="40" t="n"/>
      <c r="L188" s="42" t="n"/>
      <c r="M188" s="42" t="n"/>
      <c r="N188" s="42" t="n"/>
      <c r="O188" s="40" t="n"/>
      <c r="P188" s="42" t="n"/>
      <c r="Q188" s="43">
        <f>IF(P188="","",EDATE(P188,IF(H188="Ya",3,6)))</f>
        <v/>
      </c>
      <c r="R188" s="41">
        <f>IF(A188="","",IF(AND(D188="Keluar",O188="Aktif"),"CABUT",IF(AND(M188&lt;&gt;"",M188&lt;TODAY(),O188="Aktif"),"KEDALUWARSA",IF(AND(Q188&lt;&gt;"",Q188&lt;TODAY(),O188="Aktif"),"REVIEW","OK"))))</f>
        <v/>
      </c>
      <c r="S188" s="40" t="n"/>
    </row>
    <row r="189" ht="15" customHeight="1" s="24">
      <c r="A189" s="40" t="n"/>
      <c r="B189" s="40" t="n"/>
      <c r="C189" s="40" t="n"/>
      <c r="D189" s="40" t="n"/>
      <c r="E189" s="40" t="n"/>
      <c r="F189" s="40" t="n"/>
      <c r="G189" s="40" t="n"/>
      <c r="H189" s="41">
        <f>IF(G189="","",IF(OR(G189="Admin",G189="Privileged"),"Ya","Tidak"))</f>
        <v/>
      </c>
      <c r="I189" s="40" t="n"/>
      <c r="J189" s="40" t="n"/>
      <c r="K189" s="40" t="n"/>
      <c r="L189" s="42" t="n"/>
      <c r="M189" s="42" t="n"/>
      <c r="N189" s="42" t="n"/>
      <c r="O189" s="40" t="n"/>
      <c r="P189" s="42" t="n"/>
      <c r="Q189" s="43">
        <f>IF(P189="","",EDATE(P189,IF(H189="Ya",3,6)))</f>
        <v/>
      </c>
      <c r="R189" s="41">
        <f>IF(A189="","",IF(AND(D189="Keluar",O189="Aktif"),"CABUT",IF(AND(M189&lt;&gt;"",M189&lt;TODAY(),O189="Aktif"),"KEDALUWARSA",IF(AND(Q189&lt;&gt;"",Q189&lt;TODAY(),O189="Aktif"),"REVIEW","OK"))))</f>
        <v/>
      </c>
      <c r="S189" s="40" t="n"/>
    </row>
    <row r="190" ht="15" customHeight="1" s="24">
      <c r="A190" s="40" t="n"/>
      <c r="B190" s="40" t="n"/>
      <c r="C190" s="40" t="n"/>
      <c r="D190" s="40" t="n"/>
      <c r="E190" s="40" t="n"/>
      <c r="F190" s="40" t="n"/>
      <c r="G190" s="40" t="n"/>
      <c r="H190" s="41">
        <f>IF(G190="","",IF(OR(G190="Admin",G190="Privileged"),"Ya","Tidak"))</f>
        <v/>
      </c>
      <c r="I190" s="40" t="n"/>
      <c r="J190" s="40" t="n"/>
      <c r="K190" s="40" t="n"/>
      <c r="L190" s="42" t="n"/>
      <c r="M190" s="42" t="n"/>
      <c r="N190" s="42" t="n"/>
      <c r="O190" s="40" t="n"/>
      <c r="P190" s="42" t="n"/>
      <c r="Q190" s="43">
        <f>IF(P190="","",EDATE(P190,IF(H190="Ya",3,6)))</f>
        <v/>
      </c>
      <c r="R190" s="41">
        <f>IF(A190="","",IF(AND(D190="Keluar",O190="Aktif"),"CABUT",IF(AND(M190&lt;&gt;"",M190&lt;TODAY(),O190="Aktif"),"KEDALUWARSA",IF(AND(Q190&lt;&gt;"",Q190&lt;TODAY(),O190="Aktif"),"REVIEW","OK"))))</f>
        <v/>
      </c>
      <c r="S190" s="40" t="n"/>
    </row>
    <row r="191" ht="15" customHeight="1" s="24">
      <c r="A191" s="40" t="n"/>
      <c r="B191" s="40" t="n"/>
      <c r="C191" s="40" t="n"/>
      <c r="D191" s="40" t="n"/>
      <c r="E191" s="40" t="n"/>
      <c r="F191" s="40" t="n"/>
      <c r="G191" s="40" t="n"/>
      <c r="H191" s="41">
        <f>IF(G191="","",IF(OR(G191="Admin",G191="Privileged"),"Ya","Tidak"))</f>
        <v/>
      </c>
      <c r="I191" s="40" t="n"/>
      <c r="J191" s="40" t="n"/>
      <c r="K191" s="40" t="n"/>
      <c r="L191" s="42" t="n"/>
      <c r="M191" s="42" t="n"/>
      <c r="N191" s="42" t="n"/>
      <c r="O191" s="40" t="n"/>
      <c r="P191" s="42" t="n"/>
      <c r="Q191" s="43">
        <f>IF(P191="","",EDATE(P191,IF(H191="Ya",3,6)))</f>
        <v/>
      </c>
      <c r="R191" s="41">
        <f>IF(A191="","",IF(AND(D191="Keluar",O191="Aktif"),"CABUT",IF(AND(M191&lt;&gt;"",M191&lt;TODAY(),O191="Aktif"),"KEDALUWARSA",IF(AND(Q191&lt;&gt;"",Q191&lt;TODAY(),O191="Aktif"),"REVIEW","OK"))))</f>
        <v/>
      </c>
      <c r="S191" s="40" t="n"/>
    </row>
    <row r="192" ht="15" customHeight="1" s="24">
      <c r="A192" s="40" t="n"/>
      <c r="B192" s="40" t="n"/>
      <c r="C192" s="40" t="n"/>
      <c r="D192" s="40" t="n"/>
      <c r="E192" s="40" t="n"/>
      <c r="F192" s="40" t="n"/>
      <c r="G192" s="40" t="n"/>
      <c r="H192" s="41">
        <f>IF(G192="","",IF(OR(G192="Admin",G192="Privileged"),"Ya","Tidak"))</f>
        <v/>
      </c>
      <c r="I192" s="40" t="n"/>
      <c r="J192" s="40" t="n"/>
      <c r="K192" s="40" t="n"/>
      <c r="L192" s="42" t="n"/>
      <c r="M192" s="42" t="n"/>
      <c r="N192" s="42" t="n"/>
      <c r="O192" s="40" t="n"/>
      <c r="P192" s="42" t="n"/>
      <c r="Q192" s="43">
        <f>IF(P192="","",EDATE(P192,IF(H192="Ya",3,6)))</f>
        <v/>
      </c>
      <c r="R192" s="41">
        <f>IF(A192="","",IF(AND(D192="Keluar",O192="Aktif"),"CABUT",IF(AND(M192&lt;&gt;"",M192&lt;TODAY(),O192="Aktif"),"KEDALUWARSA",IF(AND(Q192&lt;&gt;"",Q192&lt;TODAY(),O192="Aktif"),"REVIEW","OK"))))</f>
        <v/>
      </c>
      <c r="S192" s="40" t="n"/>
    </row>
    <row r="193" ht="15" customHeight="1" s="24">
      <c r="A193" s="40" t="n"/>
      <c r="B193" s="40" t="n"/>
      <c r="C193" s="40" t="n"/>
      <c r="D193" s="40" t="n"/>
      <c r="E193" s="40" t="n"/>
      <c r="F193" s="40" t="n"/>
      <c r="G193" s="40" t="n"/>
      <c r="H193" s="41">
        <f>IF(G193="","",IF(OR(G193="Admin",G193="Privileged"),"Ya","Tidak"))</f>
        <v/>
      </c>
      <c r="I193" s="40" t="n"/>
      <c r="J193" s="40" t="n"/>
      <c r="K193" s="40" t="n"/>
      <c r="L193" s="42" t="n"/>
      <c r="M193" s="42" t="n"/>
      <c r="N193" s="42" t="n"/>
      <c r="O193" s="40" t="n"/>
      <c r="P193" s="42" t="n"/>
      <c r="Q193" s="43">
        <f>IF(P193="","",EDATE(P193,IF(H193="Ya",3,6)))</f>
        <v/>
      </c>
      <c r="R193" s="41">
        <f>IF(A193="","",IF(AND(D193="Keluar",O193="Aktif"),"CABUT",IF(AND(M193&lt;&gt;"",M193&lt;TODAY(),O193="Aktif"),"KEDALUWARSA",IF(AND(Q193&lt;&gt;"",Q193&lt;TODAY(),O193="Aktif"),"REVIEW","OK"))))</f>
        <v/>
      </c>
      <c r="S193" s="40" t="n"/>
    </row>
    <row r="194" ht="15" customHeight="1" s="24">
      <c r="A194" s="40" t="n"/>
      <c r="B194" s="40" t="n"/>
      <c r="C194" s="40" t="n"/>
      <c r="D194" s="40" t="n"/>
      <c r="E194" s="40" t="n"/>
      <c r="F194" s="40" t="n"/>
      <c r="G194" s="40" t="n"/>
      <c r="H194" s="41">
        <f>IF(G194="","",IF(OR(G194="Admin",G194="Privileged"),"Ya","Tidak"))</f>
        <v/>
      </c>
      <c r="I194" s="40" t="n"/>
      <c r="J194" s="40" t="n"/>
      <c r="K194" s="40" t="n"/>
      <c r="L194" s="42" t="n"/>
      <c r="M194" s="42" t="n"/>
      <c r="N194" s="42" t="n"/>
      <c r="O194" s="40" t="n"/>
      <c r="P194" s="42" t="n"/>
      <c r="Q194" s="43">
        <f>IF(P194="","",EDATE(P194,IF(H194="Ya",3,6)))</f>
        <v/>
      </c>
      <c r="R194" s="41">
        <f>IF(A194="","",IF(AND(D194="Keluar",O194="Aktif"),"CABUT",IF(AND(M194&lt;&gt;"",M194&lt;TODAY(),O194="Aktif"),"KEDALUWARSA",IF(AND(Q194&lt;&gt;"",Q194&lt;TODAY(),O194="Aktif"),"REVIEW","OK"))))</f>
        <v/>
      </c>
      <c r="S194" s="40" t="n"/>
    </row>
    <row r="195" ht="15" customHeight="1" s="24">
      <c r="A195" s="40" t="n"/>
      <c r="B195" s="40" t="n"/>
      <c r="C195" s="40" t="n"/>
      <c r="D195" s="40" t="n"/>
      <c r="E195" s="40" t="n"/>
      <c r="F195" s="40" t="n"/>
      <c r="G195" s="40" t="n"/>
      <c r="H195" s="41">
        <f>IF(G195="","",IF(OR(G195="Admin",G195="Privileged"),"Ya","Tidak"))</f>
        <v/>
      </c>
      <c r="I195" s="40" t="n"/>
      <c r="J195" s="40" t="n"/>
      <c r="K195" s="40" t="n"/>
      <c r="L195" s="42" t="n"/>
      <c r="M195" s="42" t="n"/>
      <c r="N195" s="42" t="n"/>
      <c r="O195" s="40" t="n"/>
      <c r="P195" s="42" t="n"/>
      <c r="Q195" s="43">
        <f>IF(P195="","",EDATE(P195,IF(H195="Ya",3,6)))</f>
        <v/>
      </c>
      <c r="R195" s="41">
        <f>IF(A195="","",IF(AND(D195="Keluar",O195="Aktif"),"CABUT",IF(AND(M195&lt;&gt;"",M195&lt;TODAY(),O195="Aktif"),"KEDALUWARSA",IF(AND(Q195&lt;&gt;"",Q195&lt;TODAY(),O195="Aktif"),"REVIEW","OK"))))</f>
        <v/>
      </c>
      <c r="S195" s="40" t="n"/>
    </row>
    <row r="196" ht="15" customHeight="1" s="24">
      <c r="A196" s="40" t="n"/>
      <c r="B196" s="40" t="n"/>
      <c r="C196" s="40" t="n"/>
      <c r="D196" s="40" t="n"/>
      <c r="E196" s="40" t="n"/>
      <c r="F196" s="40" t="n"/>
      <c r="G196" s="40" t="n"/>
      <c r="H196" s="41">
        <f>IF(G196="","",IF(OR(G196="Admin",G196="Privileged"),"Ya","Tidak"))</f>
        <v/>
      </c>
      <c r="I196" s="40" t="n"/>
      <c r="J196" s="40" t="n"/>
      <c r="K196" s="40" t="n"/>
      <c r="L196" s="42" t="n"/>
      <c r="M196" s="42" t="n"/>
      <c r="N196" s="42" t="n"/>
      <c r="O196" s="40" t="n"/>
      <c r="P196" s="42" t="n"/>
      <c r="Q196" s="43">
        <f>IF(P196="","",EDATE(P196,IF(H196="Ya",3,6)))</f>
        <v/>
      </c>
      <c r="R196" s="41">
        <f>IF(A196="","",IF(AND(D196="Keluar",O196="Aktif"),"CABUT",IF(AND(M196&lt;&gt;"",M196&lt;TODAY(),O196="Aktif"),"KEDALUWARSA",IF(AND(Q196&lt;&gt;"",Q196&lt;TODAY(),O196="Aktif"),"REVIEW","OK"))))</f>
        <v/>
      </c>
      <c r="S196" s="40" t="n"/>
    </row>
    <row r="197" ht="15" customHeight="1" s="24">
      <c r="A197" s="40" t="n"/>
      <c r="B197" s="40" t="n"/>
      <c r="C197" s="40" t="n"/>
      <c r="D197" s="40" t="n"/>
      <c r="E197" s="40" t="n"/>
      <c r="F197" s="40" t="n"/>
      <c r="G197" s="40" t="n"/>
      <c r="H197" s="41">
        <f>IF(G197="","",IF(OR(G197="Admin",G197="Privileged"),"Ya","Tidak"))</f>
        <v/>
      </c>
      <c r="I197" s="40" t="n"/>
      <c r="J197" s="40" t="n"/>
      <c r="K197" s="40" t="n"/>
      <c r="L197" s="42" t="n"/>
      <c r="M197" s="42" t="n"/>
      <c r="N197" s="42" t="n"/>
      <c r="O197" s="40" t="n"/>
      <c r="P197" s="42" t="n"/>
      <c r="Q197" s="43">
        <f>IF(P197="","",EDATE(P197,IF(H197="Ya",3,6)))</f>
        <v/>
      </c>
      <c r="R197" s="41">
        <f>IF(A197="","",IF(AND(D197="Keluar",O197="Aktif"),"CABUT",IF(AND(M197&lt;&gt;"",M197&lt;TODAY(),O197="Aktif"),"KEDALUWARSA",IF(AND(Q197&lt;&gt;"",Q197&lt;TODAY(),O197="Aktif"),"REVIEW","OK"))))</f>
        <v/>
      </c>
      <c r="S197" s="40" t="n"/>
    </row>
    <row r="198" ht="15" customHeight="1" s="24">
      <c r="A198" s="40" t="n"/>
      <c r="B198" s="40" t="n"/>
      <c r="C198" s="40" t="n"/>
      <c r="D198" s="40" t="n"/>
      <c r="E198" s="40" t="n"/>
      <c r="F198" s="40" t="n"/>
      <c r="G198" s="40" t="n"/>
      <c r="H198" s="41">
        <f>IF(G198="","",IF(OR(G198="Admin",G198="Privileged"),"Ya","Tidak"))</f>
        <v/>
      </c>
      <c r="I198" s="40" t="n"/>
      <c r="J198" s="40" t="n"/>
      <c r="K198" s="40" t="n"/>
      <c r="L198" s="42" t="n"/>
      <c r="M198" s="42" t="n"/>
      <c r="N198" s="42" t="n"/>
      <c r="O198" s="40" t="n"/>
      <c r="P198" s="42" t="n"/>
      <c r="Q198" s="43">
        <f>IF(P198="","",EDATE(P198,IF(H198="Ya",3,6)))</f>
        <v/>
      </c>
      <c r="R198" s="41">
        <f>IF(A198="","",IF(AND(D198="Keluar",O198="Aktif"),"CABUT",IF(AND(M198&lt;&gt;"",M198&lt;TODAY(),O198="Aktif"),"KEDALUWARSA",IF(AND(Q198&lt;&gt;"",Q198&lt;TODAY(),O198="Aktif"),"REVIEW","OK"))))</f>
        <v/>
      </c>
      <c r="S198" s="40" t="n"/>
    </row>
    <row r="199" ht="15" customHeight="1" s="24">
      <c r="A199" s="40" t="n"/>
      <c r="B199" s="40" t="n"/>
      <c r="C199" s="40" t="n"/>
      <c r="D199" s="40" t="n"/>
      <c r="E199" s="40" t="n"/>
      <c r="F199" s="40" t="n"/>
      <c r="G199" s="40" t="n"/>
      <c r="H199" s="41">
        <f>IF(G199="","",IF(OR(G199="Admin",G199="Privileged"),"Ya","Tidak"))</f>
        <v/>
      </c>
      <c r="I199" s="40" t="n"/>
      <c r="J199" s="40" t="n"/>
      <c r="K199" s="40" t="n"/>
      <c r="L199" s="42" t="n"/>
      <c r="M199" s="42" t="n"/>
      <c r="N199" s="42" t="n"/>
      <c r="O199" s="40" t="n"/>
      <c r="P199" s="42" t="n"/>
      <c r="Q199" s="43">
        <f>IF(P199="","",EDATE(P199,IF(H199="Ya",3,6)))</f>
        <v/>
      </c>
      <c r="R199" s="41">
        <f>IF(A199="","",IF(AND(D199="Keluar",O199="Aktif"),"CABUT",IF(AND(M199&lt;&gt;"",M199&lt;TODAY(),O199="Aktif"),"KEDALUWARSA",IF(AND(Q199&lt;&gt;"",Q199&lt;TODAY(),O199="Aktif"),"REVIEW","OK"))))</f>
        <v/>
      </c>
      <c r="S199" s="40" t="n"/>
    </row>
    <row r="200" ht="15" customHeight="1" s="24">
      <c r="A200" s="40" t="n"/>
      <c r="B200" s="40" t="n"/>
      <c r="C200" s="40" t="n"/>
      <c r="D200" s="40" t="n"/>
      <c r="E200" s="40" t="n"/>
      <c r="F200" s="40" t="n"/>
      <c r="G200" s="40" t="n"/>
      <c r="H200" s="41">
        <f>IF(G200="","",IF(OR(G200="Admin",G200="Privileged"),"Ya","Tidak"))</f>
        <v/>
      </c>
      <c r="I200" s="40" t="n"/>
      <c r="J200" s="40" t="n"/>
      <c r="K200" s="40" t="n"/>
      <c r="L200" s="42" t="n"/>
      <c r="M200" s="42" t="n"/>
      <c r="N200" s="42" t="n"/>
      <c r="O200" s="40" t="n"/>
      <c r="P200" s="42" t="n"/>
      <c r="Q200" s="43">
        <f>IF(P200="","",EDATE(P200,IF(H200="Ya",3,6)))</f>
        <v/>
      </c>
      <c r="R200" s="41">
        <f>IF(A200="","",IF(AND(D200="Keluar",O200="Aktif"),"CABUT",IF(AND(M200&lt;&gt;"",M200&lt;TODAY(),O200="Aktif"),"KEDALUWARSA",IF(AND(Q200&lt;&gt;"",Q200&lt;TODAY(),O200="Aktif"),"REVIEW","OK"))))</f>
        <v/>
      </c>
      <c r="S200" s="40" t="n"/>
    </row>
    <row r="201" ht="15" customHeight="1" s="24">
      <c r="A201" s="40" t="n"/>
      <c r="B201" s="40" t="n"/>
      <c r="C201" s="40" t="n"/>
      <c r="D201" s="40" t="n"/>
      <c r="E201" s="40" t="n"/>
      <c r="F201" s="40" t="n"/>
      <c r="G201" s="40" t="n"/>
      <c r="H201" s="41">
        <f>IF(G201="","",IF(OR(G201="Admin",G201="Privileged"),"Ya","Tidak"))</f>
        <v/>
      </c>
      <c r="I201" s="40" t="n"/>
      <c r="J201" s="40" t="n"/>
      <c r="K201" s="40" t="n"/>
      <c r="L201" s="42" t="n"/>
      <c r="M201" s="42" t="n"/>
      <c r="N201" s="42" t="n"/>
      <c r="O201" s="40" t="n"/>
      <c r="P201" s="42" t="n"/>
      <c r="Q201" s="43">
        <f>IF(P201="","",EDATE(P201,IF(H201="Ya",3,6)))</f>
        <v/>
      </c>
      <c r="R201" s="41">
        <f>IF(A201="","",IF(AND(D201="Keluar",O201="Aktif"),"CABUT",IF(AND(M201&lt;&gt;"",M201&lt;TODAY(),O201="Aktif"),"KEDALUWARSA",IF(AND(Q201&lt;&gt;"",Q201&lt;TODAY(),O201="Aktif"),"REVIEW","OK"))))</f>
        <v/>
      </c>
      <c r="S201" s="40" t="n"/>
    </row>
    <row r="202" ht="15" customHeight="1" s="24">
      <c r="A202" s="40" t="n"/>
      <c r="B202" s="40" t="n"/>
      <c r="C202" s="40" t="n"/>
      <c r="D202" s="40" t="n"/>
      <c r="E202" s="40" t="n"/>
      <c r="F202" s="40" t="n"/>
      <c r="G202" s="40" t="n"/>
      <c r="H202" s="41">
        <f>IF(G202="","",IF(OR(G202="Admin",G202="Privileged"),"Ya","Tidak"))</f>
        <v/>
      </c>
      <c r="I202" s="40" t="n"/>
      <c r="J202" s="40" t="n"/>
      <c r="K202" s="40" t="n"/>
      <c r="L202" s="42" t="n"/>
      <c r="M202" s="42" t="n"/>
      <c r="N202" s="42" t="n"/>
      <c r="O202" s="40" t="n"/>
      <c r="P202" s="42" t="n"/>
      <c r="Q202" s="43">
        <f>IF(P202="","",EDATE(P202,IF(H202="Ya",3,6)))</f>
        <v/>
      </c>
      <c r="R202" s="41">
        <f>IF(A202="","",IF(AND(D202="Keluar",O202="Aktif"),"CABUT",IF(AND(M202&lt;&gt;"",M202&lt;TODAY(),O202="Aktif"),"KEDALUWARSA",IF(AND(Q202&lt;&gt;"",Q202&lt;TODAY(),O202="Aktif"),"REVIEW","OK"))))</f>
        <v/>
      </c>
      <c r="S202" s="40" t="n"/>
    </row>
    <row r="203" ht="15" customHeight="1" s="24">
      <c r="A203" s="40" t="n"/>
      <c r="B203" s="40" t="n"/>
      <c r="C203" s="40" t="n"/>
      <c r="D203" s="40" t="n"/>
      <c r="E203" s="40" t="n"/>
      <c r="F203" s="40" t="n"/>
      <c r="G203" s="40" t="n"/>
      <c r="H203" s="41">
        <f>IF(G203="","",IF(OR(G203="Admin",G203="Privileged"),"Ya","Tidak"))</f>
        <v/>
      </c>
      <c r="I203" s="40" t="n"/>
      <c r="J203" s="40" t="n"/>
      <c r="K203" s="40" t="n"/>
      <c r="L203" s="42" t="n"/>
      <c r="M203" s="42" t="n"/>
      <c r="N203" s="42" t="n"/>
      <c r="O203" s="40" t="n"/>
      <c r="P203" s="42" t="n"/>
      <c r="Q203" s="43">
        <f>IF(P203="","",EDATE(P203,IF(H203="Ya",3,6)))</f>
        <v/>
      </c>
      <c r="R203" s="41">
        <f>IF(A203="","",IF(AND(D203="Keluar",O203="Aktif"),"CABUT",IF(AND(M203&lt;&gt;"",M203&lt;TODAY(),O203="Aktif"),"KEDALUWARSA",IF(AND(Q203&lt;&gt;"",Q203&lt;TODAY(),O203="Aktif"),"REVIEW","OK"))))</f>
        <v/>
      </c>
      <c r="S203" s="40" t="n"/>
    </row>
    <row r="204" ht="15" customHeight="1" s="24">
      <c r="A204" s="40" t="n"/>
      <c r="B204" s="40" t="n"/>
      <c r="C204" s="40" t="n"/>
      <c r="D204" s="40" t="n"/>
      <c r="E204" s="40" t="n"/>
      <c r="F204" s="40" t="n"/>
      <c r="G204" s="40" t="n"/>
      <c r="H204" s="41">
        <f>IF(G204="","",IF(OR(G204="Admin",G204="Privileged"),"Ya","Tidak"))</f>
        <v/>
      </c>
      <c r="I204" s="40" t="n"/>
      <c r="J204" s="40" t="n"/>
      <c r="K204" s="40" t="n"/>
      <c r="L204" s="42" t="n"/>
      <c r="M204" s="42" t="n"/>
      <c r="N204" s="42" t="n"/>
      <c r="O204" s="40" t="n"/>
      <c r="P204" s="42" t="n"/>
      <c r="Q204" s="43">
        <f>IF(P204="","",EDATE(P204,IF(H204="Ya",3,6)))</f>
        <v/>
      </c>
      <c r="R204" s="41">
        <f>IF(A204="","",IF(AND(D204="Keluar",O204="Aktif"),"CABUT",IF(AND(M204&lt;&gt;"",M204&lt;TODAY(),O204="Aktif"),"KEDALUWARSA",IF(AND(Q204&lt;&gt;"",Q204&lt;TODAY(),O204="Aktif"),"REVIEW","OK"))))</f>
        <v/>
      </c>
      <c r="S204" s="40" t="n"/>
    </row>
    <row r="205" ht="15" customHeight="1" s="24">
      <c r="A205" s="40" t="n"/>
      <c r="B205" s="40" t="n"/>
      <c r="C205" s="40" t="n"/>
      <c r="D205" s="40" t="n"/>
      <c r="E205" s="40" t="n"/>
      <c r="F205" s="40" t="n"/>
      <c r="G205" s="40" t="n"/>
      <c r="H205" s="41">
        <f>IF(G205="","",IF(OR(G205="Admin",G205="Privileged"),"Ya","Tidak"))</f>
        <v/>
      </c>
      <c r="I205" s="40" t="n"/>
      <c r="J205" s="40" t="n"/>
      <c r="K205" s="40" t="n"/>
      <c r="L205" s="42" t="n"/>
      <c r="M205" s="42" t="n"/>
      <c r="N205" s="42" t="n"/>
      <c r="O205" s="40" t="n"/>
      <c r="P205" s="42" t="n"/>
      <c r="Q205" s="43">
        <f>IF(P205="","",EDATE(P205,IF(H205="Ya",3,6)))</f>
        <v/>
      </c>
      <c r="R205" s="41">
        <f>IF(A205="","",IF(AND(D205="Keluar",O205="Aktif"),"CABUT",IF(AND(M205&lt;&gt;"",M205&lt;TODAY(),O205="Aktif"),"KEDALUWARSA",IF(AND(Q205&lt;&gt;"",Q205&lt;TODAY(),O205="Aktif"),"REVIEW","OK"))))</f>
        <v/>
      </c>
      <c r="S205" s="40" t="n"/>
    </row>
    <row r="206" ht="15" customHeight="1" s="24">
      <c r="A206" s="40" t="n"/>
      <c r="B206" s="40" t="n"/>
      <c r="C206" s="40" t="n"/>
      <c r="D206" s="40" t="n"/>
      <c r="E206" s="40" t="n"/>
      <c r="F206" s="40" t="n"/>
      <c r="G206" s="40" t="n"/>
      <c r="H206" s="41">
        <f>IF(G206="","",IF(OR(G206="Admin",G206="Privileged"),"Ya","Tidak"))</f>
        <v/>
      </c>
      <c r="I206" s="40" t="n"/>
      <c r="J206" s="40" t="n"/>
      <c r="K206" s="40" t="n"/>
      <c r="L206" s="42" t="n"/>
      <c r="M206" s="42" t="n"/>
      <c r="N206" s="42" t="n"/>
      <c r="O206" s="40" t="n"/>
      <c r="P206" s="42" t="n"/>
      <c r="Q206" s="43">
        <f>IF(P206="","",EDATE(P206,IF(H206="Ya",3,6)))</f>
        <v/>
      </c>
      <c r="R206" s="41">
        <f>IF(A206="","",IF(AND(D206="Keluar",O206="Aktif"),"CABUT",IF(AND(M206&lt;&gt;"",M206&lt;TODAY(),O206="Aktif"),"KEDALUWARSA",IF(AND(Q206&lt;&gt;"",Q206&lt;TODAY(),O206="Aktif"),"REVIEW","OK"))))</f>
        <v/>
      </c>
      <c r="S206" s="40" t="n"/>
    </row>
    <row r="207" ht="15" customHeight="1" s="24">
      <c r="A207" s="40" t="n"/>
      <c r="B207" s="40" t="n"/>
      <c r="C207" s="40" t="n"/>
      <c r="D207" s="40" t="n"/>
      <c r="E207" s="40" t="n"/>
      <c r="F207" s="40" t="n"/>
      <c r="G207" s="40" t="n"/>
      <c r="H207" s="41">
        <f>IF(G207="","",IF(OR(G207="Admin",G207="Privileged"),"Ya","Tidak"))</f>
        <v/>
      </c>
      <c r="I207" s="40" t="n"/>
      <c r="J207" s="40" t="n"/>
      <c r="K207" s="40" t="n"/>
      <c r="L207" s="42" t="n"/>
      <c r="M207" s="42" t="n"/>
      <c r="N207" s="42" t="n"/>
      <c r="O207" s="40" t="n"/>
      <c r="P207" s="42" t="n"/>
      <c r="Q207" s="43">
        <f>IF(P207="","",EDATE(P207,IF(H207="Ya",3,6)))</f>
        <v/>
      </c>
      <c r="R207" s="41">
        <f>IF(A207="","",IF(AND(D207="Keluar",O207="Aktif"),"CABUT",IF(AND(M207&lt;&gt;"",M207&lt;TODAY(),O207="Aktif"),"KEDALUWARSA",IF(AND(Q207&lt;&gt;"",Q207&lt;TODAY(),O207="Aktif"),"REVIEW","OK"))))</f>
        <v/>
      </c>
      <c r="S207" s="40" t="n"/>
    </row>
    <row r="208" ht="15" customHeight="1" s="24">
      <c r="A208" s="40" t="n"/>
      <c r="B208" s="40" t="n"/>
      <c r="C208" s="40" t="n"/>
      <c r="D208" s="40" t="n"/>
      <c r="E208" s="40" t="n"/>
      <c r="F208" s="40" t="n"/>
      <c r="G208" s="40" t="n"/>
      <c r="H208" s="41">
        <f>IF(G208="","",IF(OR(G208="Admin",G208="Privileged"),"Ya","Tidak"))</f>
        <v/>
      </c>
      <c r="I208" s="40" t="n"/>
      <c r="J208" s="40" t="n"/>
      <c r="K208" s="40" t="n"/>
      <c r="L208" s="42" t="n"/>
      <c r="M208" s="42" t="n"/>
      <c r="N208" s="42" t="n"/>
      <c r="O208" s="40" t="n"/>
      <c r="P208" s="42" t="n"/>
      <c r="Q208" s="43">
        <f>IF(P208="","",EDATE(P208,IF(H208="Ya",3,6)))</f>
        <v/>
      </c>
      <c r="R208" s="41">
        <f>IF(A208="","",IF(AND(D208="Keluar",O208="Aktif"),"CABUT",IF(AND(M208&lt;&gt;"",M208&lt;TODAY(),O208="Aktif"),"KEDALUWARSA",IF(AND(Q208&lt;&gt;"",Q208&lt;TODAY(),O208="Aktif"),"REVIEW","OK"))))</f>
        <v/>
      </c>
      <c r="S208" s="40" t="n"/>
    </row>
    <row r="209" ht="15" customHeight="1" s="24">
      <c r="A209" s="40" t="n"/>
      <c r="B209" s="40" t="n"/>
      <c r="C209" s="40" t="n"/>
      <c r="D209" s="40" t="n"/>
      <c r="E209" s="40" t="n"/>
      <c r="F209" s="40" t="n"/>
      <c r="G209" s="40" t="n"/>
      <c r="H209" s="41">
        <f>IF(G209="","",IF(OR(G209="Admin",G209="Privileged"),"Ya","Tidak"))</f>
        <v/>
      </c>
      <c r="I209" s="40" t="n"/>
      <c r="J209" s="40" t="n"/>
      <c r="K209" s="40" t="n"/>
      <c r="L209" s="42" t="n"/>
      <c r="M209" s="42" t="n"/>
      <c r="N209" s="42" t="n"/>
      <c r="O209" s="40" t="n"/>
      <c r="P209" s="42" t="n"/>
      <c r="Q209" s="43">
        <f>IF(P209="","",EDATE(P209,IF(H209="Ya",3,6)))</f>
        <v/>
      </c>
      <c r="R209" s="41">
        <f>IF(A209="","",IF(AND(D209="Keluar",O209="Aktif"),"CABUT",IF(AND(M209&lt;&gt;"",M209&lt;TODAY(),O209="Aktif"),"KEDALUWARSA",IF(AND(Q209&lt;&gt;"",Q209&lt;TODAY(),O209="Aktif"),"REVIEW","OK"))))</f>
        <v/>
      </c>
      <c r="S209" s="40" t="n"/>
    </row>
    <row r="210" ht="15" customHeight="1" s="24">
      <c r="A210" s="40" t="n"/>
      <c r="B210" s="40" t="n"/>
      <c r="C210" s="40" t="n"/>
      <c r="D210" s="40" t="n"/>
      <c r="E210" s="40" t="n"/>
      <c r="F210" s="40" t="n"/>
      <c r="G210" s="40" t="n"/>
      <c r="H210" s="41">
        <f>IF(G210="","",IF(OR(G210="Admin",G210="Privileged"),"Ya","Tidak"))</f>
        <v/>
      </c>
      <c r="I210" s="40" t="n"/>
      <c r="J210" s="40" t="n"/>
      <c r="K210" s="40" t="n"/>
      <c r="L210" s="42" t="n"/>
      <c r="M210" s="42" t="n"/>
      <c r="N210" s="42" t="n"/>
      <c r="O210" s="40" t="n"/>
      <c r="P210" s="42" t="n"/>
      <c r="Q210" s="43">
        <f>IF(P210="","",EDATE(P210,IF(H210="Ya",3,6)))</f>
        <v/>
      </c>
      <c r="R210" s="41">
        <f>IF(A210="","",IF(AND(D210="Keluar",O210="Aktif"),"CABUT",IF(AND(M210&lt;&gt;"",M210&lt;TODAY(),O210="Aktif"),"KEDALUWARSA",IF(AND(Q210&lt;&gt;"",Q210&lt;TODAY(),O210="Aktif"),"REVIEW","OK"))))</f>
        <v/>
      </c>
      <c r="S210" s="40" t="n"/>
    </row>
    <row r="211" ht="15" customHeight="1" s="24">
      <c r="A211" s="40" t="n"/>
      <c r="B211" s="40" t="n"/>
      <c r="C211" s="40" t="n"/>
      <c r="D211" s="40" t="n"/>
      <c r="E211" s="40" t="n"/>
      <c r="F211" s="40" t="n"/>
      <c r="G211" s="40" t="n"/>
      <c r="H211" s="41">
        <f>IF(G211="","",IF(OR(G211="Admin",G211="Privileged"),"Ya","Tidak"))</f>
        <v/>
      </c>
      <c r="I211" s="40" t="n"/>
      <c r="J211" s="40" t="n"/>
      <c r="K211" s="40" t="n"/>
      <c r="L211" s="42" t="n"/>
      <c r="M211" s="42" t="n"/>
      <c r="N211" s="42" t="n"/>
      <c r="O211" s="40" t="n"/>
      <c r="P211" s="42" t="n"/>
      <c r="Q211" s="43">
        <f>IF(P211="","",EDATE(P211,IF(H211="Ya",3,6)))</f>
        <v/>
      </c>
      <c r="R211" s="41">
        <f>IF(A211="","",IF(AND(D211="Keluar",O211="Aktif"),"CABUT",IF(AND(M211&lt;&gt;"",M211&lt;TODAY(),O211="Aktif"),"KEDALUWARSA",IF(AND(Q211&lt;&gt;"",Q211&lt;TODAY(),O211="Aktif"),"REVIEW","OK"))))</f>
        <v/>
      </c>
      <c r="S211" s="40" t="n"/>
    </row>
    <row r="212" ht="15" customHeight="1" s="24">
      <c r="A212" s="40" t="n"/>
      <c r="B212" s="40" t="n"/>
      <c r="C212" s="40" t="n"/>
      <c r="D212" s="40" t="n"/>
      <c r="E212" s="40" t="n"/>
      <c r="F212" s="40" t="n"/>
      <c r="G212" s="40" t="n"/>
      <c r="H212" s="41">
        <f>IF(G212="","",IF(OR(G212="Admin",G212="Privileged"),"Ya","Tidak"))</f>
        <v/>
      </c>
      <c r="I212" s="40" t="n"/>
      <c r="J212" s="40" t="n"/>
      <c r="K212" s="40" t="n"/>
      <c r="L212" s="42" t="n"/>
      <c r="M212" s="42" t="n"/>
      <c r="N212" s="42" t="n"/>
      <c r="O212" s="40" t="n"/>
      <c r="P212" s="42" t="n"/>
      <c r="Q212" s="43">
        <f>IF(P212="","",EDATE(P212,IF(H212="Ya",3,6)))</f>
        <v/>
      </c>
      <c r="R212" s="41">
        <f>IF(A212="","",IF(AND(D212="Keluar",O212="Aktif"),"CABUT",IF(AND(M212&lt;&gt;"",M212&lt;TODAY(),O212="Aktif"),"KEDALUWARSA",IF(AND(Q212&lt;&gt;"",Q212&lt;TODAY(),O212="Aktif"),"REVIEW","OK"))))</f>
        <v/>
      </c>
      <c r="S212" s="40" t="n"/>
    </row>
    <row r="213" ht="15" customHeight="1" s="24">
      <c r="A213" s="40" t="n"/>
      <c r="B213" s="40" t="n"/>
      <c r="C213" s="40" t="n"/>
      <c r="D213" s="40" t="n"/>
      <c r="E213" s="40" t="n"/>
      <c r="F213" s="40" t="n"/>
      <c r="G213" s="40" t="n"/>
      <c r="H213" s="41">
        <f>IF(G213="","",IF(OR(G213="Admin",G213="Privileged"),"Ya","Tidak"))</f>
        <v/>
      </c>
      <c r="I213" s="40" t="n"/>
      <c r="J213" s="40" t="n"/>
      <c r="K213" s="40" t="n"/>
      <c r="L213" s="42" t="n"/>
      <c r="M213" s="42" t="n"/>
      <c r="N213" s="42" t="n"/>
      <c r="O213" s="40" t="n"/>
      <c r="P213" s="42" t="n"/>
      <c r="Q213" s="43">
        <f>IF(P213="","",EDATE(P213,IF(H213="Ya",3,6)))</f>
        <v/>
      </c>
      <c r="R213" s="41">
        <f>IF(A213="","",IF(AND(D213="Keluar",O213="Aktif"),"CABUT",IF(AND(M213&lt;&gt;"",M213&lt;TODAY(),O213="Aktif"),"KEDALUWARSA",IF(AND(Q213&lt;&gt;"",Q213&lt;TODAY(),O213="Aktif"),"REVIEW","OK"))))</f>
        <v/>
      </c>
      <c r="S213" s="40" t="n"/>
    </row>
    <row r="214" ht="15" customHeight="1" s="24">
      <c r="A214" s="40" t="n"/>
      <c r="B214" s="40" t="n"/>
      <c r="C214" s="40" t="n"/>
      <c r="D214" s="40" t="n"/>
      <c r="E214" s="40" t="n"/>
      <c r="F214" s="40" t="n"/>
      <c r="G214" s="40" t="n"/>
      <c r="H214" s="41">
        <f>IF(G214="","",IF(OR(G214="Admin",G214="Privileged"),"Ya","Tidak"))</f>
        <v/>
      </c>
      <c r="I214" s="40" t="n"/>
      <c r="J214" s="40" t="n"/>
      <c r="K214" s="40" t="n"/>
      <c r="L214" s="42" t="n"/>
      <c r="M214" s="42" t="n"/>
      <c r="N214" s="42" t="n"/>
      <c r="O214" s="40" t="n"/>
      <c r="P214" s="42" t="n"/>
      <c r="Q214" s="43">
        <f>IF(P214="","",EDATE(P214,IF(H214="Ya",3,6)))</f>
        <v/>
      </c>
      <c r="R214" s="41">
        <f>IF(A214="","",IF(AND(D214="Keluar",O214="Aktif"),"CABUT",IF(AND(M214&lt;&gt;"",M214&lt;TODAY(),O214="Aktif"),"KEDALUWARSA",IF(AND(Q214&lt;&gt;"",Q214&lt;TODAY(),O214="Aktif"),"REVIEW","OK"))))</f>
        <v/>
      </c>
      <c r="S214" s="40" t="n"/>
    </row>
    <row r="215" ht="15" customHeight="1" s="24">
      <c r="A215" s="40" t="n"/>
      <c r="B215" s="40" t="n"/>
      <c r="C215" s="40" t="n"/>
      <c r="D215" s="40" t="n"/>
      <c r="E215" s="40" t="n"/>
      <c r="F215" s="40" t="n"/>
      <c r="G215" s="40" t="n"/>
      <c r="H215" s="41">
        <f>IF(G215="","",IF(OR(G215="Admin",G215="Privileged"),"Ya","Tidak"))</f>
        <v/>
      </c>
      <c r="I215" s="40" t="n"/>
      <c r="J215" s="40" t="n"/>
      <c r="K215" s="40" t="n"/>
      <c r="L215" s="42" t="n"/>
      <c r="M215" s="42" t="n"/>
      <c r="N215" s="42" t="n"/>
      <c r="O215" s="40" t="n"/>
      <c r="P215" s="42" t="n"/>
      <c r="Q215" s="43">
        <f>IF(P215="","",EDATE(P215,IF(H215="Ya",3,6)))</f>
        <v/>
      </c>
      <c r="R215" s="41">
        <f>IF(A215="","",IF(AND(D215="Keluar",O215="Aktif"),"CABUT",IF(AND(M215&lt;&gt;"",M215&lt;TODAY(),O215="Aktif"),"KEDALUWARSA",IF(AND(Q215&lt;&gt;"",Q215&lt;TODAY(),O215="Aktif"),"REVIEW","OK"))))</f>
        <v/>
      </c>
      <c r="S215" s="40" t="n"/>
    </row>
    <row r="216" ht="15" customHeight="1" s="24">
      <c r="A216" s="40" t="n"/>
      <c r="B216" s="40" t="n"/>
      <c r="C216" s="40" t="n"/>
      <c r="D216" s="40" t="n"/>
      <c r="E216" s="40" t="n"/>
      <c r="F216" s="40" t="n"/>
      <c r="G216" s="40" t="n"/>
      <c r="H216" s="41">
        <f>IF(G216="","",IF(OR(G216="Admin",G216="Privileged"),"Ya","Tidak"))</f>
        <v/>
      </c>
      <c r="I216" s="40" t="n"/>
      <c r="J216" s="40" t="n"/>
      <c r="K216" s="40" t="n"/>
      <c r="L216" s="42" t="n"/>
      <c r="M216" s="42" t="n"/>
      <c r="N216" s="42" t="n"/>
      <c r="O216" s="40" t="n"/>
      <c r="P216" s="42" t="n"/>
      <c r="Q216" s="43">
        <f>IF(P216="","",EDATE(P216,IF(H216="Ya",3,6)))</f>
        <v/>
      </c>
      <c r="R216" s="41">
        <f>IF(A216="","",IF(AND(D216="Keluar",O216="Aktif"),"CABUT",IF(AND(M216&lt;&gt;"",M216&lt;TODAY(),O216="Aktif"),"KEDALUWARSA",IF(AND(Q216&lt;&gt;"",Q216&lt;TODAY(),O216="Aktif"),"REVIEW","OK"))))</f>
        <v/>
      </c>
      <c r="S216" s="40" t="n"/>
    </row>
    <row r="217" ht="15" customHeight="1" s="24">
      <c r="A217" s="40" t="n"/>
      <c r="B217" s="40" t="n"/>
      <c r="C217" s="40" t="n"/>
      <c r="D217" s="40" t="n"/>
      <c r="E217" s="40" t="n"/>
      <c r="F217" s="40" t="n"/>
      <c r="G217" s="40" t="n"/>
      <c r="H217" s="41">
        <f>IF(G217="","",IF(OR(G217="Admin",G217="Privileged"),"Ya","Tidak"))</f>
        <v/>
      </c>
      <c r="I217" s="40" t="n"/>
      <c r="J217" s="40" t="n"/>
      <c r="K217" s="40" t="n"/>
      <c r="L217" s="42" t="n"/>
      <c r="M217" s="42" t="n"/>
      <c r="N217" s="42" t="n"/>
      <c r="O217" s="40" t="n"/>
      <c r="P217" s="42" t="n"/>
      <c r="Q217" s="43">
        <f>IF(P217="","",EDATE(P217,IF(H217="Ya",3,6)))</f>
        <v/>
      </c>
      <c r="R217" s="41">
        <f>IF(A217="","",IF(AND(D217="Keluar",O217="Aktif"),"CABUT",IF(AND(M217&lt;&gt;"",M217&lt;TODAY(),O217="Aktif"),"KEDALUWARSA",IF(AND(Q217&lt;&gt;"",Q217&lt;TODAY(),O217="Aktif"),"REVIEW","OK"))))</f>
        <v/>
      </c>
      <c r="S217" s="40" t="n"/>
    </row>
    <row r="218" ht="15" customHeight="1" s="24">
      <c r="A218" s="40" t="n"/>
      <c r="B218" s="40" t="n"/>
      <c r="C218" s="40" t="n"/>
      <c r="D218" s="40" t="n"/>
      <c r="E218" s="40" t="n"/>
      <c r="F218" s="40" t="n"/>
      <c r="G218" s="40" t="n"/>
      <c r="H218" s="41">
        <f>IF(G218="","",IF(OR(G218="Admin",G218="Privileged"),"Ya","Tidak"))</f>
        <v/>
      </c>
      <c r="I218" s="40" t="n"/>
      <c r="J218" s="40" t="n"/>
      <c r="K218" s="40" t="n"/>
      <c r="L218" s="42" t="n"/>
      <c r="M218" s="42" t="n"/>
      <c r="N218" s="42" t="n"/>
      <c r="O218" s="40" t="n"/>
      <c r="P218" s="42" t="n"/>
      <c r="Q218" s="43">
        <f>IF(P218="","",EDATE(P218,IF(H218="Ya",3,6)))</f>
        <v/>
      </c>
      <c r="R218" s="41">
        <f>IF(A218="","",IF(AND(D218="Keluar",O218="Aktif"),"CABUT",IF(AND(M218&lt;&gt;"",M218&lt;TODAY(),O218="Aktif"),"KEDALUWARSA",IF(AND(Q218&lt;&gt;"",Q218&lt;TODAY(),O218="Aktif"),"REVIEW","OK"))))</f>
        <v/>
      </c>
      <c r="S218" s="40" t="n"/>
    </row>
    <row r="219" ht="15" customHeight="1" s="24">
      <c r="A219" s="40" t="n"/>
      <c r="B219" s="40" t="n"/>
      <c r="C219" s="40" t="n"/>
      <c r="D219" s="40" t="n"/>
      <c r="E219" s="40" t="n"/>
      <c r="F219" s="40" t="n"/>
      <c r="G219" s="40" t="n"/>
      <c r="H219" s="41">
        <f>IF(G219="","",IF(OR(G219="Admin",G219="Privileged"),"Ya","Tidak"))</f>
        <v/>
      </c>
      <c r="I219" s="40" t="n"/>
      <c r="J219" s="40" t="n"/>
      <c r="K219" s="40" t="n"/>
      <c r="L219" s="42" t="n"/>
      <c r="M219" s="42" t="n"/>
      <c r="N219" s="42" t="n"/>
      <c r="O219" s="40" t="n"/>
      <c r="P219" s="42" t="n"/>
      <c r="Q219" s="43">
        <f>IF(P219="","",EDATE(P219,IF(H219="Ya",3,6)))</f>
        <v/>
      </c>
      <c r="R219" s="41">
        <f>IF(A219="","",IF(AND(D219="Keluar",O219="Aktif"),"CABUT",IF(AND(M219&lt;&gt;"",M219&lt;TODAY(),O219="Aktif"),"KEDALUWARSA",IF(AND(Q219&lt;&gt;"",Q219&lt;TODAY(),O219="Aktif"),"REVIEW","OK"))))</f>
        <v/>
      </c>
      <c r="S219" s="40" t="n"/>
    </row>
    <row r="220" ht="15" customHeight="1" s="24">
      <c r="A220" s="40" t="n"/>
      <c r="B220" s="40" t="n"/>
      <c r="C220" s="40" t="n"/>
      <c r="D220" s="40" t="n"/>
      <c r="E220" s="40" t="n"/>
      <c r="F220" s="40" t="n"/>
      <c r="G220" s="40" t="n"/>
      <c r="H220" s="41">
        <f>IF(G220="","",IF(OR(G220="Admin",G220="Privileged"),"Ya","Tidak"))</f>
        <v/>
      </c>
      <c r="I220" s="40" t="n"/>
      <c r="J220" s="40" t="n"/>
      <c r="K220" s="40" t="n"/>
      <c r="L220" s="42" t="n"/>
      <c r="M220" s="42" t="n"/>
      <c r="N220" s="42" t="n"/>
      <c r="O220" s="40" t="n"/>
      <c r="P220" s="42" t="n"/>
      <c r="Q220" s="43">
        <f>IF(P220="","",EDATE(P220,IF(H220="Ya",3,6)))</f>
        <v/>
      </c>
      <c r="R220" s="41">
        <f>IF(A220="","",IF(AND(D220="Keluar",O220="Aktif"),"CABUT",IF(AND(M220&lt;&gt;"",M220&lt;TODAY(),O220="Aktif"),"KEDALUWARSA",IF(AND(Q220&lt;&gt;"",Q220&lt;TODAY(),O220="Aktif"),"REVIEW","OK"))))</f>
        <v/>
      </c>
      <c r="S220" s="40" t="n"/>
    </row>
    <row r="221" ht="15" customHeight="1" s="24">
      <c r="A221" s="40" t="n"/>
      <c r="B221" s="40" t="n"/>
      <c r="C221" s="40" t="n"/>
      <c r="D221" s="40" t="n"/>
      <c r="E221" s="40" t="n"/>
      <c r="F221" s="40" t="n"/>
      <c r="G221" s="40" t="n"/>
      <c r="H221" s="41">
        <f>IF(G221="","",IF(OR(G221="Admin",G221="Privileged"),"Ya","Tidak"))</f>
        <v/>
      </c>
      <c r="I221" s="40" t="n"/>
      <c r="J221" s="40" t="n"/>
      <c r="K221" s="40" t="n"/>
      <c r="L221" s="42" t="n"/>
      <c r="M221" s="42" t="n"/>
      <c r="N221" s="42" t="n"/>
      <c r="O221" s="40" t="n"/>
      <c r="P221" s="42" t="n"/>
      <c r="Q221" s="43">
        <f>IF(P221="","",EDATE(P221,IF(H221="Ya",3,6)))</f>
        <v/>
      </c>
      <c r="R221" s="41">
        <f>IF(A221="","",IF(AND(D221="Keluar",O221="Aktif"),"CABUT",IF(AND(M221&lt;&gt;"",M221&lt;TODAY(),O221="Aktif"),"KEDALUWARSA",IF(AND(Q221&lt;&gt;"",Q221&lt;TODAY(),O221="Aktif"),"REVIEW","OK"))))</f>
        <v/>
      </c>
      <c r="S221" s="40" t="n"/>
    </row>
    <row r="222" ht="15" customHeight="1" s="24">
      <c r="A222" s="40" t="n"/>
      <c r="B222" s="40" t="n"/>
      <c r="C222" s="40" t="n"/>
      <c r="D222" s="40" t="n"/>
      <c r="E222" s="40" t="n"/>
      <c r="F222" s="40" t="n"/>
      <c r="G222" s="40" t="n"/>
      <c r="H222" s="41">
        <f>IF(G222="","",IF(OR(G222="Admin",G222="Privileged"),"Ya","Tidak"))</f>
        <v/>
      </c>
      <c r="I222" s="40" t="n"/>
      <c r="J222" s="40" t="n"/>
      <c r="K222" s="40" t="n"/>
      <c r="L222" s="42" t="n"/>
      <c r="M222" s="42" t="n"/>
      <c r="N222" s="42" t="n"/>
      <c r="O222" s="40" t="n"/>
      <c r="P222" s="42" t="n"/>
      <c r="Q222" s="43">
        <f>IF(P222="","",EDATE(P222,IF(H222="Ya",3,6)))</f>
        <v/>
      </c>
      <c r="R222" s="41">
        <f>IF(A222="","",IF(AND(D222="Keluar",O222="Aktif"),"CABUT",IF(AND(M222&lt;&gt;"",M222&lt;TODAY(),O222="Aktif"),"KEDALUWARSA",IF(AND(Q222&lt;&gt;"",Q222&lt;TODAY(),O222="Aktif"),"REVIEW","OK"))))</f>
        <v/>
      </c>
      <c r="S222" s="40" t="n"/>
    </row>
    <row r="223" ht="15" customHeight="1" s="24">
      <c r="A223" s="40" t="n"/>
      <c r="B223" s="40" t="n"/>
      <c r="C223" s="40" t="n"/>
      <c r="D223" s="40" t="n"/>
      <c r="E223" s="40" t="n"/>
      <c r="F223" s="40" t="n"/>
      <c r="G223" s="40" t="n"/>
      <c r="H223" s="41">
        <f>IF(G223="","",IF(OR(G223="Admin",G223="Privileged"),"Ya","Tidak"))</f>
        <v/>
      </c>
      <c r="I223" s="40" t="n"/>
      <c r="J223" s="40" t="n"/>
      <c r="K223" s="40" t="n"/>
      <c r="L223" s="42" t="n"/>
      <c r="M223" s="42" t="n"/>
      <c r="N223" s="42" t="n"/>
      <c r="O223" s="40" t="n"/>
      <c r="P223" s="42" t="n"/>
      <c r="Q223" s="43">
        <f>IF(P223="","",EDATE(P223,IF(H223="Ya",3,6)))</f>
        <v/>
      </c>
      <c r="R223" s="41">
        <f>IF(A223="","",IF(AND(D223="Keluar",O223="Aktif"),"CABUT",IF(AND(M223&lt;&gt;"",M223&lt;TODAY(),O223="Aktif"),"KEDALUWARSA",IF(AND(Q223&lt;&gt;"",Q223&lt;TODAY(),O223="Aktif"),"REVIEW","OK"))))</f>
        <v/>
      </c>
      <c r="S223" s="40" t="n"/>
    </row>
    <row r="224" ht="15" customHeight="1" s="24">
      <c r="A224" s="40" t="n"/>
      <c r="B224" s="40" t="n"/>
      <c r="C224" s="40" t="n"/>
      <c r="D224" s="40" t="n"/>
      <c r="E224" s="40" t="n"/>
      <c r="F224" s="40" t="n"/>
      <c r="G224" s="40" t="n"/>
      <c r="H224" s="41">
        <f>IF(G224="","",IF(OR(G224="Admin",G224="Privileged"),"Ya","Tidak"))</f>
        <v/>
      </c>
      <c r="I224" s="40" t="n"/>
      <c r="J224" s="40" t="n"/>
      <c r="K224" s="40" t="n"/>
      <c r="L224" s="42" t="n"/>
      <c r="M224" s="42" t="n"/>
      <c r="N224" s="42" t="n"/>
      <c r="O224" s="40" t="n"/>
      <c r="P224" s="42" t="n"/>
      <c r="Q224" s="43">
        <f>IF(P224="","",EDATE(P224,IF(H224="Ya",3,6)))</f>
        <v/>
      </c>
      <c r="R224" s="41">
        <f>IF(A224="","",IF(AND(D224="Keluar",O224="Aktif"),"CABUT",IF(AND(M224&lt;&gt;"",M224&lt;TODAY(),O224="Aktif"),"KEDALUWARSA",IF(AND(Q224&lt;&gt;"",Q224&lt;TODAY(),O224="Aktif"),"REVIEW","OK"))))</f>
        <v/>
      </c>
      <c r="S224" s="40" t="n"/>
    </row>
    <row r="225" ht="15" customHeight="1" s="24">
      <c r="A225" s="40" t="n"/>
      <c r="B225" s="40" t="n"/>
      <c r="C225" s="40" t="n"/>
      <c r="D225" s="40" t="n"/>
      <c r="E225" s="40" t="n"/>
      <c r="F225" s="40" t="n"/>
      <c r="G225" s="40" t="n"/>
      <c r="H225" s="41">
        <f>IF(G225="","",IF(OR(G225="Admin",G225="Privileged"),"Ya","Tidak"))</f>
        <v/>
      </c>
      <c r="I225" s="40" t="n"/>
      <c r="J225" s="40" t="n"/>
      <c r="K225" s="40" t="n"/>
      <c r="L225" s="42" t="n"/>
      <c r="M225" s="42" t="n"/>
      <c r="N225" s="42" t="n"/>
      <c r="O225" s="40" t="n"/>
      <c r="P225" s="42" t="n"/>
      <c r="Q225" s="43">
        <f>IF(P225="","",EDATE(P225,IF(H225="Ya",3,6)))</f>
        <v/>
      </c>
      <c r="R225" s="41">
        <f>IF(A225="","",IF(AND(D225="Keluar",O225="Aktif"),"CABUT",IF(AND(M225&lt;&gt;"",M225&lt;TODAY(),O225="Aktif"),"KEDALUWARSA",IF(AND(Q225&lt;&gt;"",Q225&lt;TODAY(),O225="Aktif"),"REVIEW","OK"))))</f>
        <v/>
      </c>
      <c r="S225" s="40" t="n"/>
    </row>
    <row r="226" ht="15" customHeight="1" s="24">
      <c r="A226" s="40" t="n"/>
      <c r="B226" s="40" t="n"/>
      <c r="C226" s="40" t="n"/>
      <c r="D226" s="40" t="n"/>
      <c r="E226" s="40" t="n"/>
      <c r="F226" s="40" t="n"/>
      <c r="G226" s="40" t="n"/>
      <c r="H226" s="41">
        <f>IF(G226="","",IF(OR(G226="Admin",G226="Privileged"),"Ya","Tidak"))</f>
        <v/>
      </c>
      <c r="I226" s="40" t="n"/>
      <c r="J226" s="40" t="n"/>
      <c r="K226" s="40" t="n"/>
      <c r="L226" s="42" t="n"/>
      <c r="M226" s="42" t="n"/>
      <c r="N226" s="42" t="n"/>
      <c r="O226" s="40" t="n"/>
      <c r="P226" s="42" t="n"/>
      <c r="Q226" s="43">
        <f>IF(P226="","",EDATE(P226,IF(H226="Ya",3,6)))</f>
        <v/>
      </c>
      <c r="R226" s="41">
        <f>IF(A226="","",IF(AND(D226="Keluar",O226="Aktif"),"CABUT",IF(AND(M226&lt;&gt;"",M226&lt;TODAY(),O226="Aktif"),"KEDALUWARSA",IF(AND(Q226&lt;&gt;"",Q226&lt;TODAY(),O226="Aktif"),"REVIEW","OK"))))</f>
        <v/>
      </c>
      <c r="S226" s="40" t="n"/>
    </row>
    <row r="227" ht="15" customHeight="1" s="24">
      <c r="A227" s="40" t="n"/>
      <c r="B227" s="40" t="n"/>
      <c r="C227" s="40" t="n"/>
      <c r="D227" s="40" t="n"/>
      <c r="E227" s="40" t="n"/>
      <c r="F227" s="40" t="n"/>
      <c r="G227" s="40" t="n"/>
      <c r="H227" s="41">
        <f>IF(G227="","",IF(OR(G227="Admin",G227="Privileged"),"Ya","Tidak"))</f>
        <v/>
      </c>
      <c r="I227" s="40" t="n"/>
      <c r="J227" s="40" t="n"/>
      <c r="K227" s="40" t="n"/>
      <c r="L227" s="42" t="n"/>
      <c r="M227" s="42" t="n"/>
      <c r="N227" s="42" t="n"/>
      <c r="O227" s="40" t="n"/>
      <c r="P227" s="42" t="n"/>
      <c r="Q227" s="43">
        <f>IF(P227="","",EDATE(P227,IF(H227="Ya",3,6)))</f>
        <v/>
      </c>
      <c r="R227" s="41">
        <f>IF(A227="","",IF(AND(D227="Keluar",O227="Aktif"),"CABUT",IF(AND(M227&lt;&gt;"",M227&lt;TODAY(),O227="Aktif"),"KEDALUWARSA",IF(AND(Q227&lt;&gt;"",Q227&lt;TODAY(),O227="Aktif"),"REVIEW","OK"))))</f>
        <v/>
      </c>
      <c r="S227" s="40" t="n"/>
    </row>
    <row r="228" ht="15" customHeight="1" s="24">
      <c r="A228" s="40" t="n"/>
      <c r="B228" s="40" t="n"/>
      <c r="C228" s="40" t="n"/>
      <c r="D228" s="40" t="n"/>
      <c r="E228" s="40" t="n"/>
      <c r="F228" s="40" t="n"/>
      <c r="G228" s="40" t="n"/>
      <c r="H228" s="41">
        <f>IF(G228="","",IF(OR(G228="Admin",G228="Privileged"),"Ya","Tidak"))</f>
        <v/>
      </c>
      <c r="I228" s="40" t="n"/>
      <c r="J228" s="40" t="n"/>
      <c r="K228" s="40" t="n"/>
      <c r="L228" s="42" t="n"/>
      <c r="M228" s="42" t="n"/>
      <c r="N228" s="42" t="n"/>
      <c r="O228" s="40" t="n"/>
      <c r="P228" s="42" t="n"/>
      <c r="Q228" s="43">
        <f>IF(P228="","",EDATE(P228,IF(H228="Ya",3,6)))</f>
        <v/>
      </c>
      <c r="R228" s="41">
        <f>IF(A228="","",IF(AND(D228="Keluar",O228="Aktif"),"CABUT",IF(AND(M228&lt;&gt;"",M228&lt;TODAY(),O228="Aktif"),"KEDALUWARSA",IF(AND(Q228&lt;&gt;"",Q228&lt;TODAY(),O228="Aktif"),"REVIEW","OK"))))</f>
        <v/>
      </c>
      <c r="S228" s="40" t="n"/>
    </row>
    <row r="229" ht="15" customHeight="1" s="24">
      <c r="A229" s="40" t="n"/>
      <c r="B229" s="40" t="n"/>
      <c r="C229" s="40" t="n"/>
      <c r="D229" s="40" t="n"/>
      <c r="E229" s="40" t="n"/>
      <c r="F229" s="40" t="n"/>
      <c r="G229" s="40" t="n"/>
      <c r="H229" s="41">
        <f>IF(G229="","",IF(OR(G229="Admin",G229="Privileged"),"Ya","Tidak"))</f>
        <v/>
      </c>
      <c r="I229" s="40" t="n"/>
      <c r="J229" s="40" t="n"/>
      <c r="K229" s="40" t="n"/>
      <c r="L229" s="42" t="n"/>
      <c r="M229" s="42" t="n"/>
      <c r="N229" s="42" t="n"/>
      <c r="O229" s="40" t="n"/>
      <c r="P229" s="42" t="n"/>
      <c r="Q229" s="43">
        <f>IF(P229="","",EDATE(P229,IF(H229="Ya",3,6)))</f>
        <v/>
      </c>
      <c r="R229" s="41">
        <f>IF(A229="","",IF(AND(D229="Keluar",O229="Aktif"),"CABUT",IF(AND(M229&lt;&gt;"",M229&lt;TODAY(),O229="Aktif"),"KEDALUWARSA",IF(AND(Q229&lt;&gt;"",Q229&lt;TODAY(),O229="Aktif"),"REVIEW","OK"))))</f>
        <v/>
      </c>
      <c r="S229" s="40" t="n"/>
    </row>
    <row r="230" ht="15" customHeight="1" s="24">
      <c r="A230" s="40" t="n"/>
      <c r="B230" s="40" t="n"/>
      <c r="C230" s="40" t="n"/>
      <c r="D230" s="40" t="n"/>
      <c r="E230" s="40" t="n"/>
      <c r="F230" s="40" t="n"/>
      <c r="G230" s="40" t="n"/>
      <c r="H230" s="41">
        <f>IF(G230="","",IF(OR(G230="Admin",G230="Privileged"),"Ya","Tidak"))</f>
        <v/>
      </c>
      <c r="I230" s="40" t="n"/>
      <c r="J230" s="40" t="n"/>
      <c r="K230" s="40" t="n"/>
      <c r="L230" s="42" t="n"/>
      <c r="M230" s="42" t="n"/>
      <c r="N230" s="42" t="n"/>
      <c r="O230" s="40" t="n"/>
      <c r="P230" s="42" t="n"/>
      <c r="Q230" s="43">
        <f>IF(P230="","",EDATE(P230,IF(H230="Ya",3,6)))</f>
        <v/>
      </c>
      <c r="R230" s="41">
        <f>IF(A230="","",IF(AND(D230="Keluar",O230="Aktif"),"CABUT",IF(AND(M230&lt;&gt;"",M230&lt;TODAY(),O230="Aktif"),"KEDALUWARSA",IF(AND(Q230&lt;&gt;"",Q230&lt;TODAY(),O230="Aktif"),"REVIEW","OK"))))</f>
        <v/>
      </c>
      <c r="S230" s="40" t="n"/>
    </row>
    <row r="231" ht="15" customHeight="1" s="24">
      <c r="A231" s="40" t="n"/>
      <c r="B231" s="40" t="n"/>
      <c r="C231" s="40" t="n"/>
      <c r="D231" s="40" t="n"/>
      <c r="E231" s="40" t="n"/>
      <c r="F231" s="40" t="n"/>
      <c r="G231" s="40" t="n"/>
      <c r="H231" s="41">
        <f>IF(G231="","",IF(OR(G231="Admin",G231="Privileged"),"Ya","Tidak"))</f>
        <v/>
      </c>
      <c r="I231" s="40" t="n"/>
      <c r="J231" s="40" t="n"/>
      <c r="K231" s="40" t="n"/>
      <c r="L231" s="42" t="n"/>
      <c r="M231" s="42" t="n"/>
      <c r="N231" s="42" t="n"/>
      <c r="O231" s="40" t="n"/>
      <c r="P231" s="42" t="n"/>
      <c r="Q231" s="43">
        <f>IF(P231="","",EDATE(P231,IF(H231="Ya",3,6)))</f>
        <v/>
      </c>
      <c r="R231" s="41">
        <f>IF(A231="","",IF(AND(D231="Keluar",O231="Aktif"),"CABUT",IF(AND(M231&lt;&gt;"",M231&lt;TODAY(),O231="Aktif"),"KEDALUWARSA",IF(AND(Q231&lt;&gt;"",Q231&lt;TODAY(),O231="Aktif"),"REVIEW","OK"))))</f>
        <v/>
      </c>
      <c r="S231" s="40" t="n"/>
    </row>
    <row r="232" ht="15" customHeight="1" s="24">
      <c r="A232" s="40" t="n"/>
      <c r="B232" s="40" t="n"/>
      <c r="C232" s="40" t="n"/>
      <c r="D232" s="40" t="n"/>
      <c r="E232" s="40" t="n"/>
      <c r="F232" s="40" t="n"/>
      <c r="G232" s="40" t="n"/>
      <c r="H232" s="41">
        <f>IF(G232="","",IF(OR(G232="Admin",G232="Privileged"),"Ya","Tidak"))</f>
        <v/>
      </c>
      <c r="I232" s="40" t="n"/>
      <c r="J232" s="40" t="n"/>
      <c r="K232" s="40" t="n"/>
      <c r="L232" s="42" t="n"/>
      <c r="M232" s="42" t="n"/>
      <c r="N232" s="42" t="n"/>
      <c r="O232" s="40" t="n"/>
      <c r="P232" s="42" t="n"/>
      <c r="Q232" s="43">
        <f>IF(P232="","",EDATE(P232,IF(H232="Ya",3,6)))</f>
        <v/>
      </c>
      <c r="R232" s="41">
        <f>IF(A232="","",IF(AND(D232="Keluar",O232="Aktif"),"CABUT",IF(AND(M232&lt;&gt;"",M232&lt;TODAY(),O232="Aktif"),"KEDALUWARSA",IF(AND(Q232&lt;&gt;"",Q232&lt;TODAY(),O232="Aktif"),"REVIEW","OK"))))</f>
        <v/>
      </c>
      <c r="S232" s="40" t="n"/>
    </row>
    <row r="233" ht="15" customHeight="1" s="24">
      <c r="A233" s="40" t="n"/>
      <c r="B233" s="40" t="n"/>
      <c r="C233" s="40" t="n"/>
      <c r="D233" s="40" t="n"/>
      <c r="E233" s="40" t="n"/>
      <c r="F233" s="40" t="n"/>
      <c r="G233" s="40" t="n"/>
      <c r="H233" s="41">
        <f>IF(G233="","",IF(OR(G233="Admin",G233="Privileged"),"Ya","Tidak"))</f>
        <v/>
      </c>
      <c r="I233" s="40" t="n"/>
      <c r="J233" s="40" t="n"/>
      <c r="K233" s="40" t="n"/>
      <c r="L233" s="42" t="n"/>
      <c r="M233" s="42" t="n"/>
      <c r="N233" s="42" t="n"/>
      <c r="O233" s="40" t="n"/>
      <c r="P233" s="42" t="n"/>
      <c r="Q233" s="43">
        <f>IF(P233="","",EDATE(P233,IF(H233="Ya",3,6)))</f>
        <v/>
      </c>
      <c r="R233" s="41">
        <f>IF(A233="","",IF(AND(D233="Keluar",O233="Aktif"),"CABUT",IF(AND(M233&lt;&gt;"",M233&lt;TODAY(),O233="Aktif"),"KEDALUWARSA",IF(AND(Q233&lt;&gt;"",Q233&lt;TODAY(),O233="Aktif"),"REVIEW","OK"))))</f>
        <v/>
      </c>
      <c r="S233" s="40" t="n"/>
    </row>
    <row r="234" ht="15" customHeight="1" s="24">
      <c r="A234" s="40" t="n"/>
      <c r="B234" s="40" t="n"/>
      <c r="C234" s="40" t="n"/>
      <c r="D234" s="40" t="n"/>
      <c r="E234" s="40" t="n"/>
      <c r="F234" s="40" t="n"/>
      <c r="G234" s="40" t="n"/>
      <c r="H234" s="41">
        <f>IF(G234="","",IF(OR(G234="Admin",G234="Privileged"),"Ya","Tidak"))</f>
        <v/>
      </c>
      <c r="I234" s="40" t="n"/>
      <c r="J234" s="40" t="n"/>
      <c r="K234" s="40" t="n"/>
      <c r="L234" s="42" t="n"/>
      <c r="M234" s="42" t="n"/>
      <c r="N234" s="42" t="n"/>
      <c r="O234" s="40" t="n"/>
      <c r="P234" s="42" t="n"/>
      <c r="Q234" s="43">
        <f>IF(P234="","",EDATE(P234,IF(H234="Ya",3,6)))</f>
        <v/>
      </c>
      <c r="R234" s="41">
        <f>IF(A234="","",IF(AND(D234="Keluar",O234="Aktif"),"CABUT",IF(AND(M234&lt;&gt;"",M234&lt;TODAY(),O234="Aktif"),"KEDALUWARSA",IF(AND(Q234&lt;&gt;"",Q234&lt;TODAY(),O234="Aktif"),"REVIEW","OK"))))</f>
        <v/>
      </c>
      <c r="S234" s="40" t="n"/>
    </row>
    <row r="235" ht="15" customHeight="1" s="24">
      <c r="A235" s="40" t="n"/>
      <c r="B235" s="40" t="n"/>
      <c r="C235" s="40" t="n"/>
      <c r="D235" s="40" t="n"/>
      <c r="E235" s="40" t="n"/>
      <c r="F235" s="40" t="n"/>
      <c r="G235" s="40" t="n"/>
      <c r="H235" s="41">
        <f>IF(G235="","",IF(OR(G235="Admin",G235="Privileged"),"Ya","Tidak"))</f>
        <v/>
      </c>
      <c r="I235" s="40" t="n"/>
      <c r="J235" s="40" t="n"/>
      <c r="K235" s="40" t="n"/>
      <c r="L235" s="42" t="n"/>
      <c r="M235" s="42" t="n"/>
      <c r="N235" s="42" t="n"/>
      <c r="O235" s="40" t="n"/>
      <c r="P235" s="42" t="n"/>
      <c r="Q235" s="43">
        <f>IF(P235="","",EDATE(P235,IF(H235="Ya",3,6)))</f>
        <v/>
      </c>
      <c r="R235" s="41">
        <f>IF(A235="","",IF(AND(D235="Keluar",O235="Aktif"),"CABUT",IF(AND(M235&lt;&gt;"",M235&lt;TODAY(),O235="Aktif"),"KEDALUWARSA",IF(AND(Q235&lt;&gt;"",Q235&lt;TODAY(),O235="Aktif"),"REVIEW","OK"))))</f>
        <v/>
      </c>
      <c r="S235" s="40" t="n"/>
    </row>
    <row r="236" ht="15" customHeight="1" s="24">
      <c r="A236" s="40" t="n"/>
      <c r="B236" s="40" t="n"/>
      <c r="C236" s="40" t="n"/>
      <c r="D236" s="40" t="n"/>
      <c r="E236" s="40" t="n"/>
      <c r="F236" s="40" t="n"/>
      <c r="G236" s="40" t="n"/>
      <c r="H236" s="41">
        <f>IF(G236="","",IF(OR(G236="Admin",G236="Privileged"),"Ya","Tidak"))</f>
        <v/>
      </c>
      <c r="I236" s="40" t="n"/>
      <c r="J236" s="40" t="n"/>
      <c r="K236" s="40" t="n"/>
      <c r="L236" s="42" t="n"/>
      <c r="M236" s="42" t="n"/>
      <c r="N236" s="42" t="n"/>
      <c r="O236" s="40" t="n"/>
      <c r="P236" s="42" t="n"/>
      <c r="Q236" s="43">
        <f>IF(P236="","",EDATE(P236,IF(H236="Ya",3,6)))</f>
        <v/>
      </c>
      <c r="R236" s="41">
        <f>IF(A236="","",IF(AND(D236="Keluar",O236="Aktif"),"CABUT",IF(AND(M236&lt;&gt;"",M236&lt;TODAY(),O236="Aktif"),"KEDALUWARSA",IF(AND(Q236&lt;&gt;"",Q236&lt;TODAY(),O236="Aktif"),"REVIEW","OK"))))</f>
        <v/>
      </c>
      <c r="S236" s="40" t="n"/>
    </row>
    <row r="237" ht="15" customHeight="1" s="24">
      <c r="A237" s="40" t="n"/>
      <c r="B237" s="40" t="n"/>
      <c r="C237" s="40" t="n"/>
      <c r="D237" s="40" t="n"/>
      <c r="E237" s="40" t="n"/>
      <c r="F237" s="40" t="n"/>
      <c r="G237" s="40" t="n"/>
      <c r="H237" s="41">
        <f>IF(G237="","",IF(OR(G237="Admin",G237="Privileged"),"Ya","Tidak"))</f>
        <v/>
      </c>
      <c r="I237" s="40" t="n"/>
      <c r="J237" s="40" t="n"/>
      <c r="K237" s="40" t="n"/>
      <c r="L237" s="42" t="n"/>
      <c r="M237" s="42" t="n"/>
      <c r="N237" s="42" t="n"/>
      <c r="O237" s="40" t="n"/>
      <c r="P237" s="42" t="n"/>
      <c r="Q237" s="43">
        <f>IF(P237="","",EDATE(P237,IF(H237="Ya",3,6)))</f>
        <v/>
      </c>
      <c r="R237" s="41">
        <f>IF(A237="","",IF(AND(D237="Keluar",O237="Aktif"),"CABUT",IF(AND(M237&lt;&gt;"",M237&lt;TODAY(),O237="Aktif"),"KEDALUWARSA",IF(AND(Q237&lt;&gt;"",Q237&lt;TODAY(),O237="Aktif"),"REVIEW","OK"))))</f>
        <v/>
      </c>
      <c r="S237" s="40" t="n"/>
    </row>
    <row r="238" ht="15" customHeight="1" s="24">
      <c r="A238" s="40" t="n"/>
      <c r="B238" s="40" t="n"/>
      <c r="C238" s="40" t="n"/>
      <c r="D238" s="40" t="n"/>
      <c r="E238" s="40" t="n"/>
      <c r="F238" s="40" t="n"/>
      <c r="G238" s="40" t="n"/>
      <c r="H238" s="41">
        <f>IF(G238="","",IF(OR(G238="Admin",G238="Privileged"),"Ya","Tidak"))</f>
        <v/>
      </c>
      <c r="I238" s="40" t="n"/>
      <c r="J238" s="40" t="n"/>
      <c r="K238" s="40" t="n"/>
      <c r="L238" s="42" t="n"/>
      <c r="M238" s="42" t="n"/>
      <c r="N238" s="42" t="n"/>
      <c r="O238" s="40" t="n"/>
      <c r="P238" s="42" t="n"/>
      <c r="Q238" s="43">
        <f>IF(P238="","",EDATE(P238,IF(H238="Ya",3,6)))</f>
        <v/>
      </c>
      <c r="R238" s="41">
        <f>IF(A238="","",IF(AND(D238="Keluar",O238="Aktif"),"CABUT",IF(AND(M238&lt;&gt;"",M238&lt;TODAY(),O238="Aktif"),"KEDALUWARSA",IF(AND(Q238&lt;&gt;"",Q238&lt;TODAY(),O238="Aktif"),"REVIEW","OK"))))</f>
        <v/>
      </c>
      <c r="S238" s="40" t="n"/>
    </row>
    <row r="239" ht="15" customHeight="1" s="24">
      <c r="A239" s="40" t="n"/>
      <c r="B239" s="40" t="n"/>
      <c r="C239" s="40" t="n"/>
      <c r="D239" s="40" t="n"/>
      <c r="E239" s="40" t="n"/>
      <c r="F239" s="40" t="n"/>
      <c r="G239" s="40" t="n"/>
      <c r="H239" s="41">
        <f>IF(G239="","",IF(OR(G239="Admin",G239="Privileged"),"Ya","Tidak"))</f>
        <v/>
      </c>
      <c r="I239" s="40" t="n"/>
      <c r="J239" s="40" t="n"/>
      <c r="K239" s="40" t="n"/>
      <c r="L239" s="42" t="n"/>
      <c r="M239" s="42" t="n"/>
      <c r="N239" s="42" t="n"/>
      <c r="O239" s="40" t="n"/>
      <c r="P239" s="42" t="n"/>
      <c r="Q239" s="43">
        <f>IF(P239="","",EDATE(P239,IF(H239="Ya",3,6)))</f>
        <v/>
      </c>
      <c r="R239" s="41">
        <f>IF(A239="","",IF(AND(D239="Keluar",O239="Aktif"),"CABUT",IF(AND(M239&lt;&gt;"",M239&lt;TODAY(),O239="Aktif"),"KEDALUWARSA",IF(AND(Q239&lt;&gt;"",Q239&lt;TODAY(),O239="Aktif"),"REVIEW","OK"))))</f>
        <v/>
      </c>
      <c r="S239" s="40" t="n"/>
    </row>
    <row r="240" ht="15" customHeight="1" s="24">
      <c r="A240" s="40" t="n"/>
      <c r="B240" s="40" t="n"/>
      <c r="C240" s="40" t="n"/>
      <c r="D240" s="40" t="n"/>
      <c r="E240" s="40" t="n"/>
      <c r="F240" s="40" t="n"/>
      <c r="G240" s="40" t="n"/>
      <c r="H240" s="41">
        <f>IF(G240="","",IF(OR(G240="Admin",G240="Privileged"),"Ya","Tidak"))</f>
        <v/>
      </c>
      <c r="I240" s="40" t="n"/>
      <c r="J240" s="40" t="n"/>
      <c r="K240" s="40" t="n"/>
      <c r="L240" s="42" t="n"/>
      <c r="M240" s="42" t="n"/>
      <c r="N240" s="42" t="n"/>
      <c r="O240" s="40" t="n"/>
      <c r="P240" s="42" t="n"/>
      <c r="Q240" s="43">
        <f>IF(P240="","",EDATE(P240,IF(H240="Ya",3,6)))</f>
        <v/>
      </c>
      <c r="R240" s="41">
        <f>IF(A240="","",IF(AND(D240="Keluar",O240="Aktif"),"CABUT",IF(AND(M240&lt;&gt;"",M240&lt;TODAY(),O240="Aktif"),"KEDALUWARSA",IF(AND(Q240&lt;&gt;"",Q240&lt;TODAY(),O240="Aktif"),"REVIEW","OK"))))</f>
        <v/>
      </c>
      <c r="S240" s="40" t="n"/>
    </row>
    <row r="241" ht="15" customHeight="1" s="24">
      <c r="A241" s="40" t="n"/>
      <c r="B241" s="40" t="n"/>
      <c r="C241" s="40" t="n"/>
      <c r="D241" s="40" t="n"/>
      <c r="E241" s="40" t="n"/>
      <c r="F241" s="40" t="n"/>
      <c r="G241" s="40" t="n"/>
      <c r="H241" s="41">
        <f>IF(G241="","",IF(OR(G241="Admin",G241="Privileged"),"Ya","Tidak"))</f>
        <v/>
      </c>
      <c r="I241" s="40" t="n"/>
      <c r="J241" s="40" t="n"/>
      <c r="K241" s="40" t="n"/>
      <c r="L241" s="42" t="n"/>
      <c r="M241" s="42" t="n"/>
      <c r="N241" s="42" t="n"/>
      <c r="O241" s="40" t="n"/>
      <c r="P241" s="42" t="n"/>
      <c r="Q241" s="43">
        <f>IF(P241="","",EDATE(P241,IF(H241="Ya",3,6)))</f>
        <v/>
      </c>
      <c r="R241" s="41">
        <f>IF(A241="","",IF(AND(D241="Keluar",O241="Aktif"),"CABUT",IF(AND(M241&lt;&gt;"",M241&lt;TODAY(),O241="Aktif"),"KEDALUWARSA",IF(AND(Q241&lt;&gt;"",Q241&lt;TODAY(),O241="Aktif"),"REVIEW","OK"))))</f>
        <v/>
      </c>
      <c r="S241" s="40" t="n"/>
    </row>
    <row r="242" ht="15" customHeight="1" s="24">
      <c r="A242" s="40" t="n"/>
      <c r="B242" s="40" t="n"/>
      <c r="C242" s="40" t="n"/>
      <c r="D242" s="40" t="n"/>
      <c r="E242" s="40" t="n"/>
      <c r="F242" s="40" t="n"/>
      <c r="G242" s="40" t="n"/>
      <c r="H242" s="41">
        <f>IF(G242="","",IF(OR(G242="Admin",G242="Privileged"),"Ya","Tidak"))</f>
        <v/>
      </c>
      <c r="I242" s="40" t="n"/>
      <c r="J242" s="40" t="n"/>
      <c r="K242" s="40" t="n"/>
      <c r="L242" s="42" t="n"/>
      <c r="M242" s="42" t="n"/>
      <c r="N242" s="42" t="n"/>
      <c r="O242" s="40" t="n"/>
      <c r="P242" s="42" t="n"/>
      <c r="Q242" s="43">
        <f>IF(P242="","",EDATE(P242,IF(H242="Ya",3,6)))</f>
        <v/>
      </c>
      <c r="R242" s="41">
        <f>IF(A242="","",IF(AND(D242="Keluar",O242="Aktif"),"CABUT",IF(AND(M242&lt;&gt;"",M242&lt;TODAY(),O242="Aktif"),"KEDALUWARSA",IF(AND(Q242&lt;&gt;"",Q242&lt;TODAY(),O242="Aktif"),"REVIEW","OK"))))</f>
        <v/>
      </c>
      <c r="S242" s="40" t="n"/>
    </row>
    <row r="243" ht="15" customHeight="1" s="24">
      <c r="A243" s="40" t="n"/>
      <c r="B243" s="40" t="n"/>
      <c r="C243" s="40" t="n"/>
      <c r="D243" s="40" t="n"/>
      <c r="E243" s="40" t="n"/>
      <c r="F243" s="40" t="n"/>
      <c r="G243" s="40" t="n"/>
      <c r="H243" s="41">
        <f>IF(G243="","",IF(OR(G243="Admin",G243="Privileged"),"Ya","Tidak"))</f>
        <v/>
      </c>
      <c r="I243" s="40" t="n"/>
      <c r="J243" s="40" t="n"/>
      <c r="K243" s="40" t="n"/>
      <c r="L243" s="42" t="n"/>
      <c r="M243" s="42" t="n"/>
      <c r="N243" s="42" t="n"/>
      <c r="O243" s="40" t="n"/>
      <c r="P243" s="42" t="n"/>
      <c r="Q243" s="43">
        <f>IF(P243="","",EDATE(P243,IF(H243="Ya",3,6)))</f>
        <v/>
      </c>
      <c r="R243" s="41">
        <f>IF(A243="","",IF(AND(D243="Keluar",O243="Aktif"),"CABUT",IF(AND(M243&lt;&gt;"",M243&lt;TODAY(),O243="Aktif"),"KEDALUWARSA",IF(AND(Q243&lt;&gt;"",Q243&lt;TODAY(),O243="Aktif"),"REVIEW","OK"))))</f>
        <v/>
      </c>
      <c r="S243" s="40" t="n"/>
    </row>
    <row r="244" ht="15" customHeight="1" s="24">
      <c r="A244" s="40" t="n"/>
      <c r="B244" s="40" t="n"/>
      <c r="C244" s="40" t="n"/>
      <c r="D244" s="40" t="n"/>
      <c r="E244" s="40" t="n"/>
      <c r="F244" s="40" t="n"/>
      <c r="G244" s="40" t="n"/>
      <c r="H244" s="41">
        <f>IF(G244="","",IF(OR(G244="Admin",G244="Privileged"),"Ya","Tidak"))</f>
        <v/>
      </c>
      <c r="I244" s="40" t="n"/>
      <c r="J244" s="40" t="n"/>
      <c r="K244" s="40" t="n"/>
      <c r="L244" s="42" t="n"/>
      <c r="M244" s="42" t="n"/>
      <c r="N244" s="42" t="n"/>
      <c r="O244" s="40" t="n"/>
      <c r="P244" s="42" t="n"/>
      <c r="Q244" s="43">
        <f>IF(P244="","",EDATE(P244,IF(H244="Ya",3,6)))</f>
        <v/>
      </c>
      <c r="R244" s="41">
        <f>IF(A244="","",IF(AND(D244="Keluar",O244="Aktif"),"CABUT",IF(AND(M244&lt;&gt;"",M244&lt;TODAY(),O244="Aktif"),"KEDALUWARSA",IF(AND(Q244&lt;&gt;"",Q244&lt;TODAY(),O244="Aktif"),"REVIEW","OK"))))</f>
        <v/>
      </c>
      <c r="S244" s="40" t="n"/>
    </row>
    <row r="245" ht="15" customHeight="1" s="24">
      <c r="A245" s="40" t="n"/>
      <c r="B245" s="40" t="n"/>
      <c r="C245" s="40" t="n"/>
      <c r="D245" s="40" t="n"/>
      <c r="E245" s="40" t="n"/>
      <c r="F245" s="40" t="n"/>
      <c r="G245" s="40" t="n"/>
      <c r="H245" s="41">
        <f>IF(G245="","",IF(OR(G245="Admin",G245="Privileged"),"Ya","Tidak"))</f>
        <v/>
      </c>
      <c r="I245" s="40" t="n"/>
      <c r="J245" s="40" t="n"/>
      <c r="K245" s="40" t="n"/>
      <c r="L245" s="42" t="n"/>
      <c r="M245" s="42" t="n"/>
      <c r="N245" s="42" t="n"/>
      <c r="O245" s="40" t="n"/>
      <c r="P245" s="42" t="n"/>
      <c r="Q245" s="43">
        <f>IF(P245="","",EDATE(P245,IF(H245="Ya",3,6)))</f>
        <v/>
      </c>
      <c r="R245" s="41">
        <f>IF(A245="","",IF(AND(D245="Keluar",O245="Aktif"),"CABUT",IF(AND(M245&lt;&gt;"",M245&lt;TODAY(),O245="Aktif"),"KEDALUWARSA",IF(AND(Q245&lt;&gt;"",Q245&lt;TODAY(),O245="Aktif"),"REVIEW","OK"))))</f>
        <v/>
      </c>
      <c r="S245" s="40" t="n"/>
    </row>
    <row r="246" ht="15" customHeight="1" s="24">
      <c r="A246" s="40" t="n"/>
      <c r="B246" s="40" t="n"/>
      <c r="C246" s="40" t="n"/>
      <c r="D246" s="40" t="n"/>
      <c r="E246" s="40" t="n"/>
      <c r="F246" s="40" t="n"/>
      <c r="G246" s="40" t="n"/>
      <c r="H246" s="41">
        <f>IF(G246="","",IF(OR(G246="Admin",G246="Privileged"),"Ya","Tidak"))</f>
        <v/>
      </c>
      <c r="I246" s="40" t="n"/>
      <c r="J246" s="40" t="n"/>
      <c r="K246" s="40" t="n"/>
      <c r="L246" s="42" t="n"/>
      <c r="M246" s="42" t="n"/>
      <c r="N246" s="42" t="n"/>
      <c r="O246" s="40" t="n"/>
      <c r="P246" s="42" t="n"/>
      <c r="Q246" s="43">
        <f>IF(P246="","",EDATE(P246,IF(H246="Ya",3,6)))</f>
        <v/>
      </c>
      <c r="R246" s="41">
        <f>IF(A246="","",IF(AND(D246="Keluar",O246="Aktif"),"CABUT",IF(AND(M246&lt;&gt;"",M246&lt;TODAY(),O246="Aktif"),"KEDALUWARSA",IF(AND(Q246&lt;&gt;"",Q246&lt;TODAY(),O246="Aktif"),"REVIEW","OK"))))</f>
        <v/>
      </c>
      <c r="S246" s="40" t="n"/>
    </row>
    <row r="247" ht="15" customHeight="1" s="24">
      <c r="A247" s="40" t="n"/>
      <c r="B247" s="40" t="n"/>
      <c r="C247" s="40" t="n"/>
      <c r="D247" s="40" t="n"/>
      <c r="E247" s="40" t="n"/>
      <c r="F247" s="40" t="n"/>
      <c r="G247" s="40" t="n"/>
      <c r="H247" s="41">
        <f>IF(G247="","",IF(OR(G247="Admin",G247="Privileged"),"Ya","Tidak"))</f>
        <v/>
      </c>
      <c r="I247" s="40" t="n"/>
      <c r="J247" s="40" t="n"/>
      <c r="K247" s="40" t="n"/>
      <c r="L247" s="42" t="n"/>
      <c r="M247" s="42" t="n"/>
      <c r="N247" s="42" t="n"/>
      <c r="O247" s="40" t="n"/>
      <c r="P247" s="42" t="n"/>
      <c r="Q247" s="43">
        <f>IF(P247="","",EDATE(P247,IF(H247="Ya",3,6)))</f>
        <v/>
      </c>
      <c r="R247" s="41">
        <f>IF(A247="","",IF(AND(D247="Keluar",O247="Aktif"),"CABUT",IF(AND(M247&lt;&gt;"",M247&lt;TODAY(),O247="Aktif"),"KEDALUWARSA",IF(AND(Q247&lt;&gt;"",Q247&lt;TODAY(),O247="Aktif"),"REVIEW","OK"))))</f>
        <v/>
      </c>
      <c r="S247" s="40" t="n"/>
    </row>
    <row r="248" ht="15" customHeight="1" s="24">
      <c r="A248" s="40" t="n"/>
      <c r="B248" s="40" t="n"/>
      <c r="C248" s="40" t="n"/>
      <c r="D248" s="40" t="n"/>
      <c r="E248" s="40" t="n"/>
      <c r="F248" s="40" t="n"/>
      <c r="G248" s="40" t="n"/>
      <c r="H248" s="41">
        <f>IF(G248="","",IF(OR(G248="Admin",G248="Privileged"),"Ya","Tidak"))</f>
        <v/>
      </c>
      <c r="I248" s="40" t="n"/>
      <c r="J248" s="40" t="n"/>
      <c r="K248" s="40" t="n"/>
      <c r="L248" s="42" t="n"/>
      <c r="M248" s="42" t="n"/>
      <c r="N248" s="42" t="n"/>
      <c r="O248" s="40" t="n"/>
      <c r="P248" s="42" t="n"/>
      <c r="Q248" s="43">
        <f>IF(P248="","",EDATE(P248,IF(H248="Ya",3,6)))</f>
        <v/>
      </c>
      <c r="R248" s="41">
        <f>IF(A248="","",IF(AND(D248="Keluar",O248="Aktif"),"CABUT",IF(AND(M248&lt;&gt;"",M248&lt;TODAY(),O248="Aktif"),"KEDALUWARSA",IF(AND(Q248&lt;&gt;"",Q248&lt;TODAY(),O248="Aktif"),"REVIEW","OK"))))</f>
        <v/>
      </c>
      <c r="S248" s="40" t="n"/>
    </row>
    <row r="249" ht="15" customHeight="1" s="24">
      <c r="A249" s="40" t="n"/>
      <c r="B249" s="40" t="n"/>
      <c r="C249" s="40" t="n"/>
      <c r="D249" s="40" t="n"/>
      <c r="E249" s="40" t="n"/>
      <c r="F249" s="40" t="n"/>
      <c r="G249" s="40" t="n"/>
      <c r="H249" s="41">
        <f>IF(G249="","",IF(OR(G249="Admin",G249="Privileged"),"Ya","Tidak"))</f>
        <v/>
      </c>
      <c r="I249" s="40" t="n"/>
      <c r="J249" s="40" t="n"/>
      <c r="K249" s="40" t="n"/>
      <c r="L249" s="42" t="n"/>
      <c r="M249" s="42" t="n"/>
      <c r="N249" s="42" t="n"/>
      <c r="O249" s="40" t="n"/>
      <c r="P249" s="42" t="n"/>
      <c r="Q249" s="43">
        <f>IF(P249="","",EDATE(P249,IF(H249="Ya",3,6)))</f>
        <v/>
      </c>
      <c r="R249" s="41">
        <f>IF(A249="","",IF(AND(D249="Keluar",O249="Aktif"),"CABUT",IF(AND(M249&lt;&gt;"",M249&lt;TODAY(),O249="Aktif"),"KEDALUWARSA",IF(AND(Q249&lt;&gt;"",Q249&lt;TODAY(),O249="Aktif"),"REVIEW","OK"))))</f>
        <v/>
      </c>
      <c r="S249" s="40" t="n"/>
    </row>
    <row r="250" ht="15" customHeight="1" s="24">
      <c r="A250" s="40" t="n"/>
      <c r="B250" s="40" t="n"/>
      <c r="C250" s="40" t="n"/>
      <c r="D250" s="40" t="n"/>
      <c r="E250" s="40" t="n"/>
      <c r="F250" s="40" t="n"/>
      <c r="G250" s="40" t="n"/>
      <c r="H250" s="41">
        <f>IF(G250="","",IF(OR(G250="Admin",G250="Privileged"),"Ya","Tidak"))</f>
        <v/>
      </c>
      <c r="I250" s="40" t="n"/>
      <c r="J250" s="40" t="n"/>
      <c r="K250" s="40" t="n"/>
      <c r="L250" s="42" t="n"/>
      <c r="M250" s="42" t="n"/>
      <c r="N250" s="42" t="n"/>
      <c r="O250" s="40" t="n"/>
      <c r="P250" s="42" t="n"/>
      <c r="Q250" s="43">
        <f>IF(P250="","",EDATE(P250,IF(H250="Ya",3,6)))</f>
        <v/>
      </c>
      <c r="R250" s="41">
        <f>IF(A250="","",IF(AND(D250="Keluar",O250="Aktif"),"CABUT",IF(AND(M250&lt;&gt;"",M250&lt;TODAY(),O250="Aktif"),"KEDALUWARSA",IF(AND(Q250&lt;&gt;"",Q250&lt;TODAY(),O250="Aktif"),"REVIEW","OK"))))</f>
        <v/>
      </c>
      <c r="S250" s="40" t="n"/>
    </row>
    <row r="251" ht="15" customHeight="1" s="24">
      <c r="A251" s="40" t="n"/>
      <c r="B251" s="40" t="n"/>
      <c r="C251" s="40" t="n"/>
      <c r="D251" s="40" t="n"/>
      <c r="E251" s="40" t="n"/>
      <c r="F251" s="40" t="n"/>
      <c r="G251" s="40" t="n"/>
      <c r="H251" s="41">
        <f>IF(G251="","",IF(OR(G251="Admin",G251="Privileged"),"Ya","Tidak"))</f>
        <v/>
      </c>
      <c r="I251" s="40" t="n"/>
      <c r="J251" s="40" t="n"/>
      <c r="K251" s="40" t="n"/>
      <c r="L251" s="42" t="n"/>
      <c r="M251" s="42" t="n"/>
      <c r="N251" s="42" t="n"/>
      <c r="O251" s="40" t="n"/>
      <c r="P251" s="42" t="n"/>
      <c r="Q251" s="43">
        <f>IF(P251="","",EDATE(P251,IF(H251="Ya",3,6)))</f>
        <v/>
      </c>
      <c r="R251" s="41">
        <f>IF(A251="","",IF(AND(D251="Keluar",O251="Aktif"),"CABUT",IF(AND(M251&lt;&gt;"",M251&lt;TODAY(),O251="Aktif"),"KEDALUWARSA",IF(AND(Q251&lt;&gt;"",Q251&lt;TODAY(),O251="Aktif"),"REVIEW","OK"))))</f>
        <v/>
      </c>
      <c r="S251" s="40" t="n"/>
    </row>
    <row r="252" ht="15" customHeight="1" s="24">
      <c r="A252" s="40" t="n"/>
      <c r="B252" s="40" t="n"/>
      <c r="C252" s="40" t="n"/>
      <c r="D252" s="40" t="n"/>
      <c r="E252" s="40" t="n"/>
      <c r="F252" s="40" t="n"/>
      <c r="G252" s="40" t="n"/>
      <c r="H252" s="41">
        <f>IF(G252="","",IF(OR(G252="Admin",G252="Privileged"),"Ya","Tidak"))</f>
        <v/>
      </c>
      <c r="I252" s="40" t="n"/>
      <c r="J252" s="40" t="n"/>
      <c r="K252" s="40" t="n"/>
      <c r="L252" s="42" t="n"/>
      <c r="M252" s="42" t="n"/>
      <c r="N252" s="42" t="n"/>
      <c r="O252" s="40" t="n"/>
      <c r="P252" s="42" t="n"/>
      <c r="Q252" s="43">
        <f>IF(P252="","",EDATE(P252,IF(H252="Ya",3,6)))</f>
        <v/>
      </c>
      <c r="R252" s="41">
        <f>IF(A252="","",IF(AND(D252="Keluar",O252="Aktif"),"CABUT",IF(AND(M252&lt;&gt;"",M252&lt;TODAY(),O252="Aktif"),"KEDALUWARSA",IF(AND(Q252&lt;&gt;"",Q252&lt;TODAY(),O252="Aktif"),"REVIEW","OK"))))</f>
        <v/>
      </c>
      <c r="S252" s="40" t="n"/>
    </row>
    <row r="253" ht="15" customHeight="1" s="24">
      <c r="A253" s="40" t="n"/>
      <c r="B253" s="40" t="n"/>
      <c r="C253" s="40" t="n"/>
      <c r="D253" s="40" t="n"/>
      <c r="E253" s="40" t="n"/>
      <c r="F253" s="40" t="n"/>
      <c r="G253" s="40" t="n"/>
      <c r="H253" s="41">
        <f>IF(G253="","",IF(OR(G253="Admin",G253="Privileged"),"Ya","Tidak"))</f>
        <v/>
      </c>
      <c r="I253" s="40" t="n"/>
      <c r="J253" s="40" t="n"/>
      <c r="K253" s="40" t="n"/>
      <c r="L253" s="42" t="n"/>
      <c r="M253" s="42" t="n"/>
      <c r="N253" s="42" t="n"/>
      <c r="O253" s="40" t="n"/>
      <c r="P253" s="42" t="n"/>
      <c r="Q253" s="43">
        <f>IF(P253="","",EDATE(P253,IF(H253="Ya",3,6)))</f>
        <v/>
      </c>
      <c r="R253" s="41">
        <f>IF(A253="","",IF(AND(D253="Keluar",O253="Aktif"),"CABUT",IF(AND(M253&lt;&gt;"",M253&lt;TODAY(),O253="Aktif"),"KEDALUWARSA",IF(AND(Q253&lt;&gt;"",Q253&lt;TODAY(),O253="Aktif"),"REVIEW","OK"))))</f>
        <v/>
      </c>
      <c r="S253" s="40" t="n"/>
    </row>
    <row r="254" ht="15" customHeight="1" s="24">
      <c r="A254" s="40" t="n"/>
      <c r="B254" s="40" t="n"/>
      <c r="C254" s="40" t="n"/>
      <c r="D254" s="40" t="n"/>
      <c r="E254" s="40" t="n"/>
      <c r="F254" s="40" t="n"/>
      <c r="G254" s="40" t="n"/>
      <c r="H254" s="41">
        <f>IF(G254="","",IF(OR(G254="Admin",G254="Privileged"),"Ya","Tidak"))</f>
        <v/>
      </c>
      <c r="I254" s="40" t="n"/>
      <c r="J254" s="40" t="n"/>
      <c r="K254" s="40" t="n"/>
      <c r="L254" s="42" t="n"/>
      <c r="M254" s="42" t="n"/>
      <c r="N254" s="42" t="n"/>
      <c r="O254" s="40" t="n"/>
      <c r="P254" s="42" t="n"/>
      <c r="Q254" s="43">
        <f>IF(P254="","",EDATE(P254,IF(H254="Ya",3,6)))</f>
        <v/>
      </c>
      <c r="R254" s="41">
        <f>IF(A254="","",IF(AND(D254="Keluar",O254="Aktif"),"CABUT",IF(AND(M254&lt;&gt;"",M254&lt;TODAY(),O254="Aktif"),"KEDALUWARSA",IF(AND(Q254&lt;&gt;"",Q254&lt;TODAY(),O254="Aktif"),"REVIEW","OK"))))</f>
        <v/>
      </c>
      <c r="S254" s="40" t="n"/>
    </row>
    <row r="255" ht="15" customHeight="1" s="24">
      <c r="A255" s="40" t="n"/>
      <c r="B255" s="40" t="n"/>
      <c r="C255" s="40" t="n"/>
      <c r="D255" s="40" t="n"/>
      <c r="E255" s="40" t="n"/>
      <c r="F255" s="40" t="n"/>
      <c r="G255" s="40" t="n"/>
      <c r="H255" s="41">
        <f>IF(G255="","",IF(OR(G255="Admin",G255="Privileged"),"Ya","Tidak"))</f>
        <v/>
      </c>
      <c r="I255" s="40" t="n"/>
      <c r="J255" s="40" t="n"/>
      <c r="K255" s="40" t="n"/>
      <c r="L255" s="42" t="n"/>
      <c r="M255" s="42" t="n"/>
      <c r="N255" s="42" t="n"/>
      <c r="O255" s="40" t="n"/>
      <c r="P255" s="42" t="n"/>
      <c r="Q255" s="43">
        <f>IF(P255="","",EDATE(P255,IF(H255="Ya",3,6)))</f>
        <v/>
      </c>
      <c r="R255" s="41">
        <f>IF(A255="","",IF(AND(D255="Keluar",O255="Aktif"),"CABUT",IF(AND(M255&lt;&gt;"",M255&lt;TODAY(),O255="Aktif"),"KEDALUWARSA",IF(AND(Q255&lt;&gt;"",Q255&lt;TODAY(),O255="Aktif"),"REVIEW","OK"))))</f>
        <v/>
      </c>
      <c r="S255" s="40" t="n"/>
    </row>
    <row r="256" ht="15" customHeight="1" s="24">
      <c r="A256" s="40" t="n"/>
      <c r="B256" s="40" t="n"/>
      <c r="C256" s="40" t="n"/>
      <c r="D256" s="40" t="n"/>
      <c r="E256" s="40" t="n"/>
      <c r="F256" s="40" t="n"/>
      <c r="G256" s="40" t="n"/>
      <c r="H256" s="41">
        <f>IF(G256="","",IF(OR(G256="Admin",G256="Privileged"),"Ya","Tidak"))</f>
        <v/>
      </c>
      <c r="I256" s="40" t="n"/>
      <c r="J256" s="40" t="n"/>
      <c r="K256" s="40" t="n"/>
      <c r="L256" s="42" t="n"/>
      <c r="M256" s="42" t="n"/>
      <c r="N256" s="42" t="n"/>
      <c r="O256" s="40" t="n"/>
      <c r="P256" s="42" t="n"/>
      <c r="Q256" s="43">
        <f>IF(P256="","",EDATE(P256,IF(H256="Ya",3,6)))</f>
        <v/>
      </c>
      <c r="R256" s="41">
        <f>IF(A256="","",IF(AND(D256="Keluar",O256="Aktif"),"CABUT",IF(AND(M256&lt;&gt;"",M256&lt;TODAY(),O256="Aktif"),"KEDALUWARSA",IF(AND(Q256&lt;&gt;"",Q256&lt;TODAY(),O256="Aktif"),"REVIEW","OK"))))</f>
        <v/>
      </c>
      <c r="S256" s="40" t="n"/>
    </row>
  </sheetData>
  <autoFilter ref="A4:S256"/>
  <conditionalFormatting sqref="R5:R256">
    <cfRule type="cellIs" rank="0" priority="2" equalAverage="0" operator="equal" aboveAverage="0" dxfId="7" text="" percent="0" bottom="0">
      <formula>"OK"</formula>
    </cfRule>
    <cfRule type="cellIs" rank="0" priority="3" equalAverage="0" operator="equal" aboveAverage="0" dxfId="8" text="" percent="0" bottom="0">
      <formula>"CABUT"</formula>
    </cfRule>
    <cfRule type="cellIs" rank="0" priority="4" equalAverage="0" operator="equal" aboveAverage="0" dxfId="8" text="" percent="0" bottom="0">
      <formula>"KEDALUWARSA"</formula>
    </cfRule>
    <cfRule type="cellIs" rank="0" priority="5" equalAverage="0" operator="equal" aboveAverage="0" dxfId="9" text="" percent="0" bottom="0">
      <formula>"REVIEW"</formula>
    </cfRule>
  </conditionalFormatting>
  <conditionalFormatting sqref="I5:I256">
    <cfRule type="cellIs" rank="0" priority="6" equalAverage="0" operator="equal" aboveAverage="0" dxfId="8" text="" percent="0" bottom="0">
      <formula>"Tidak"</formula>
    </cfRule>
  </conditionalFormatting>
  <dataValidations count="4">
    <dataValidation sqref="D5:D256" showDropDown="0" showInputMessage="0" showErrorMessage="0" allowBlank="1" type="list" errorStyle="stop" operator="between">
      <formula1>Daftar!$A$2:$A$5</formula1>
      <formula2>0</formula2>
    </dataValidation>
    <dataValidation sqref="G5:G256" showDropDown="0" showInputMessage="0" showErrorMessage="0" allowBlank="1" type="list" errorStyle="stop" operator="between">
      <formula1>Daftar!$B$2:$B$5</formula1>
      <formula2>0</formula2>
    </dataValidation>
    <dataValidation sqref="I5:I256" showDropDown="0" showInputMessage="0" showErrorMessage="0" allowBlank="1" type="list" errorStyle="stop" operator="between">
      <formula1>Daftar!$C$2:$C$4</formula1>
      <formula2>0</formula2>
    </dataValidation>
    <dataValidation sqref="O5:O256" showDropDown="0" showInputMessage="0" showErrorMessage="0" allowBlank="1" type="list" errorStyle="stop" operator="between">
      <formula1>Daftar!$D$2:$D$4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L2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22" customWidth="1" style="23" min="2" max="2"/>
    <col width="9" customWidth="1" style="23" min="3" max="3"/>
    <col width="18" customWidth="1" style="23" min="4" max="4"/>
    <col width="10" customWidth="1" style="23" min="5" max="5"/>
    <col width="18" customWidth="1" style="23" min="6" max="6"/>
    <col width="9" customWidth="1" style="23" min="7" max="7"/>
    <col width="26" customWidth="1" style="23" min="8" max="8"/>
    <col width="11" customWidth="1" style="23" min="9" max="10"/>
    <col width="16" customWidth="1" style="23" min="11" max="11"/>
    <col width="10" customWidth="1" style="23" min="12" max="12"/>
  </cols>
  <sheetData>
    <row r="1" ht="16.15" customHeight="1" s="24">
      <c r="A1" s="37" t="inlineStr">
        <is>
          <t>Periodic access review</t>
        </is>
      </c>
    </row>
    <row r="2" ht="15" customHeight="1" s="24">
      <c r="A2" s="26" t="inlineStr">
        <is>
          <t>Satu baris per akun yang ditinjau. Setelah review, perbarui kolom Review terakhir di Register Akses.</t>
        </is>
      </c>
    </row>
    <row r="4" ht="31.5" customHeight="1" s="24">
      <c r="A4" s="39" t="inlineStr">
        <is>
          <t>Periode review</t>
        </is>
      </c>
      <c r="B4" s="39" t="inlineStr">
        <is>
          <t>Sistem</t>
        </is>
      </c>
      <c r="C4" s="39" t="inlineStr">
        <is>
          <t>ID akun</t>
        </is>
      </c>
      <c r="D4" s="39" t="inlineStr">
        <is>
          <t>Nama pengguna</t>
        </is>
      </c>
      <c r="E4" s="39" t="inlineStr">
        <is>
          <t>Level akses</t>
        </is>
      </c>
      <c r="F4" s="39" t="inlineStr">
        <is>
          <t>Reviewer (pemilik sistem)</t>
        </is>
      </c>
      <c r="G4" s="39" t="inlineStr">
        <is>
          <t>Keputusan</t>
        </is>
      </c>
      <c r="H4" s="39" t="inlineStr">
        <is>
          <t>Alasan</t>
        </is>
      </c>
      <c r="I4" s="39" t="inlineStr">
        <is>
          <t>Tgl review</t>
        </is>
      </c>
      <c r="J4" s="39" t="inlineStr">
        <is>
          <t>Tindak lanjut selesai</t>
        </is>
      </c>
      <c r="K4" s="39" t="inlineStr">
        <is>
          <t>Pelaksana tindak lanjut</t>
        </is>
      </c>
      <c r="L4" s="39" t="inlineStr">
        <is>
          <t>Status</t>
        </is>
      </c>
    </row>
    <row r="5" ht="15" customHeight="1" s="24">
      <c r="A5" s="40" t="n"/>
      <c r="B5" s="40" t="n"/>
      <c r="C5" s="40" t="n"/>
      <c r="D5" s="40" t="n"/>
      <c r="E5" s="40" t="n"/>
      <c r="F5" s="40" t="n"/>
      <c r="G5" s="40" t="n"/>
      <c r="H5" s="40" t="n"/>
      <c r="I5" s="42" t="n"/>
      <c r="J5" s="42" t="n"/>
      <c r="K5" s="40" t="n"/>
      <c r="L5" s="41">
        <f>IF(G5="","",IF(G5="Tetap","Selesai",IF(J5="","Terbuka","Selesai")))</f>
        <v/>
      </c>
    </row>
    <row r="6" ht="15" customHeight="1" s="24">
      <c r="A6" s="40" t="n"/>
      <c r="B6" s="40" t="n"/>
      <c r="C6" s="40" t="n"/>
      <c r="D6" s="40" t="n"/>
      <c r="E6" s="40" t="n"/>
      <c r="F6" s="40" t="n"/>
      <c r="G6" s="40" t="n"/>
      <c r="H6" s="40" t="n"/>
      <c r="I6" s="42" t="n"/>
      <c r="J6" s="42" t="n"/>
      <c r="K6" s="40" t="n"/>
      <c r="L6" s="41">
        <f>IF(G6="","",IF(G6="Tetap","Selesai",IF(J6="","Terbuka","Selesai")))</f>
        <v/>
      </c>
    </row>
    <row r="7" ht="15" customHeight="1" s="24">
      <c r="A7" s="40" t="n"/>
      <c r="B7" s="40" t="n"/>
      <c r="C7" s="40" t="n"/>
      <c r="D7" s="40" t="n"/>
      <c r="E7" s="40" t="n"/>
      <c r="F7" s="40" t="n"/>
      <c r="G7" s="40" t="n"/>
      <c r="H7" s="40" t="n"/>
      <c r="I7" s="42" t="n"/>
      <c r="J7" s="42" t="n"/>
      <c r="K7" s="40" t="n"/>
      <c r="L7" s="41">
        <f>IF(G7="","",IF(G7="Tetap","Selesai",IF(J7="","Terbuka","Selesai")))</f>
        <v/>
      </c>
    </row>
    <row r="8" ht="15" customHeight="1" s="24">
      <c r="A8" s="40" t="n"/>
      <c r="B8" s="40" t="n"/>
      <c r="C8" s="40" t="n"/>
      <c r="D8" s="40" t="n"/>
      <c r="E8" s="40" t="n"/>
      <c r="F8" s="40" t="n"/>
      <c r="G8" s="40" t="n"/>
      <c r="H8" s="40" t="n"/>
      <c r="I8" s="42" t="n"/>
      <c r="J8" s="42" t="n"/>
      <c r="K8" s="40" t="n"/>
      <c r="L8" s="41">
        <f>IF(G8="","",IF(G8="Tetap","Selesai",IF(J8="","Terbuka","Selesai")))</f>
        <v/>
      </c>
    </row>
    <row r="9" ht="15" customHeight="1" s="24">
      <c r="A9" s="40" t="n"/>
      <c r="B9" s="40" t="n"/>
      <c r="C9" s="40" t="n"/>
      <c r="D9" s="40" t="n"/>
      <c r="E9" s="40" t="n"/>
      <c r="F9" s="40" t="n"/>
      <c r="G9" s="40" t="n"/>
      <c r="H9" s="40" t="n"/>
      <c r="I9" s="42" t="n"/>
      <c r="J9" s="42" t="n"/>
      <c r="K9" s="40" t="n"/>
      <c r="L9" s="41">
        <f>IF(G9="","",IF(G9="Tetap","Selesai",IF(J9="","Terbuka","Selesai")))</f>
        <v/>
      </c>
    </row>
    <row r="10" ht="15" customHeight="1" s="24">
      <c r="A10" s="40" t="n"/>
      <c r="B10" s="40" t="n"/>
      <c r="C10" s="40" t="n"/>
      <c r="D10" s="40" t="n"/>
      <c r="E10" s="40" t="n"/>
      <c r="F10" s="40" t="n"/>
      <c r="G10" s="40" t="n"/>
      <c r="H10" s="40" t="n"/>
      <c r="I10" s="42" t="n"/>
      <c r="J10" s="42" t="n"/>
      <c r="K10" s="40" t="n"/>
      <c r="L10" s="41">
        <f>IF(G10="","",IF(G10="Tetap","Selesai",IF(J10="","Terbuka","Selesai")))</f>
        <v/>
      </c>
    </row>
    <row r="11" ht="15" customHeight="1" s="24">
      <c r="A11" s="40" t="n"/>
      <c r="B11" s="40" t="n"/>
      <c r="C11" s="40" t="n"/>
      <c r="D11" s="40" t="n"/>
      <c r="E11" s="40" t="n"/>
      <c r="F11" s="40" t="n"/>
      <c r="G11" s="40" t="n"/>
      <c r="H11" s="40" t="n"/>
      <c r="I11" s="42" t="n"/>
      <c r="J11" s="42" t="n"/>
      <c r="K11" s="40" t="n"/>
      <c r="L11" s="41">
        <f>IF(G11="","",IF(G11="Tetap","Selesai",IF(J11="","Terbuka","Selesai")))</f>
        <v/>
      </c>
    </row>
    <row r="12" ht="15" customHeight="1" s="24">
      <c r="A12" s="40" t="n"/>
      <c r="B12" s="40" t="n"/>
      <c r="C12" s="40" t="n"/>
      <c r="D12" s="40" t="n"/>
      <c r="E12" s="40" t="n"/>
      <c r="F12" s="40" t="n"/>
      <c r="G12" s="40" t="n"/>
      <c r="H12" s="40" t="n"/>
      <c r="I12" s="42" t="n"/>
      <c r="J12" s="42" t="n"/>
      <c r="K12" s="40" t="n"/>
      <c r="L12" s="41">
        <f>IF(G12="","",IF(G12="Tetap","Selesai",IF(J12="","Terbuka","Selesai")))</f>
        <v/>
      </c>
    </row>
    <row r="13" ht="15" customHeight="1" s="24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2" t="n"/>
      <c r="J13" s="42" t="n"/>
      <c r="K13" s="40" t="n"/>
      <c r="L13" s="41">
        <f>IF(G13="","",IF(G13="Tetap","Selesai",IF(J13="","Terbuka","Selesai")))</f>
        <v/>
      </c>
    </row>
    <row r="14" ht="15" customHeight="1" s="24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2" t="n"/>
      <c r="J14" s="42" t="n"/>
      <c r="K14" s="40" t="n"/>
      <c r="L14" s="41">
        <f>IF(G14="","",IF(G14="Tetap","Selesai",IF(J14="","Terbuka","Selesai")))</f>
        <v/>
      </c>
    </row>
    <row r="15" ht="15" customHeight="1" s="24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2" t="n"/>
      <c r="J15" s="42" t="n"/>
      <c r="K15" s="40" t="n"/>
      <c r="L15" s="41">
        <f>IF(G15="","",IF(G15="Tetap","Selesai",IF(J15="","Terbuka","Selesai")))</f>
        <v/>
      </c>
    </row>
    <row r="16" ht="15" customHeight="1" s="24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2" t="n"/>
      <c r="J16" s="42" t="n"/>
      <c r="K16" s="40" t="n"/>
      <c r="L16" s="41">
        <f>IF(G16="","",IF(G16="Tetap","Selesai",IF(J16="","Terbuka","Selesai")))</f>
        <v/>
      </c>
    </row>
    <row r="17" ht="15" customHeight="1" s="24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2" t="n"/>
      <c r="J17" s="42" t="n"/>
      <c r="K17" s="40" t="n"/>
      <c r="L17" s="41">
        <f>IF(G17="","",IF(G17="Tetap","Selesai",IF(J17="","Terbuka","Selesai")))</f>
        <v/>
      </c>
    </row>
    <row r="18" ht="15" customHeight="1" s="24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2" t="n"/>
      <c r="J18" s="42" t="n"/>
      <c r="K18" s="40" t="n"/>
      <c r="L18" s="41">
        <f>IF(G18="","",IF(G18="Tetap","Selesai",IF(J18="","Terbuka","Selesai")))</f>
        <v/>
      </c>
    </row>
    <row r="19" ht="15" customHeight="1" s="24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2" t="n"/>
      <c r="J19" s="42" t="n"/>
      <c r="K19" s="40" t="n"/>
      <c r="L19" s="41">
        <f>IF(G19="","",IF(G19="Tetap","Selesai",IF(J19="","Terbuka","Selesai")))</f>
        <v/>
      </c>
    </row>
    <row r="20" ht="15" customHeight="1" s="24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2" t="n"/>
      <c r="J20" s="42" t="n"/>
      <c r="K20" s="40" t="n"/>
      <c r="L20" s="41">
        <f>IF(G20="","",IF(G20="Tetap","Selesai",IF(J20="","Terbuka","Selesai")))</f>
        <v/>
      </c>
    </row>
    <row r="21" ht="15" customHeight="1" s="24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2" t="n"/>
      <c r="J21" s="42" t="n"/>
      <c r="K21" s="40" t="n"/>
      <c r="L21" s="41">
        <f>IF(G21="","",IF(G21="Tetap","Selesai",IF(J21="","Terbuka","Selesai")))</f>
        <v/>
      </c>
    </row>
    <row r="22" ht="15" customHeight="1" s="24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2" t="n"/>
      <c r="J22" s="42" t="n"/>
      <c r="K22" s="40" t="n"/>
      <c r="L22" s="41">
        <f>IF(G22="","",IF(G22="Tetap","Selesai",IF(J22="","Terbuka","Selesai")))</f>
        <v/>
      </c>
    </row>
    <row r="23" ht="15" customHeight="1" s="24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2" t="n"/>
      <c r="J23" s="42" t="n"/>
      <c r="K23" s="40" t="n"/>
      <c r="L23" s="41">
        <f>IF(G23="","",IF(G23="Tetap","Selesai",IF(J23="","Terbuka","Selesai")))</f>
        <v/>
      </c>
    </row>
    <row r="24" ht="15" customHeight="1" s="24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2" t="n"/>
      <c r="J24" s="42" t="n"/>
      <c r="K24" s="40" t="n"/>
      <c r="L24" s="41">
        <f>IF(G24="","",IF(G24="Tetap","Selesai",IF(J24="","Terbuka","Selesai")))</f>
        <v/>
      </c>
    </row>
    <row r="25" ht="15" customHeight="1" s="24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2" t="n"/>
      <c r="J25" s="42" t="n"/>
      <c r="K25" s="40" t="n"/>
      <c r="L25" s="41">
        <f>IF(G25="","",IF(G25="Tetap","Selesai",IF(J25="","Terbuka","Selesai")))</f>
        <v/>
      </c>
    </row>
    <row r="26" ht="15" customHeight="1" s="24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2" t="n"/>
      <c r="J26" s="42" t="n"/>
      <c r="K26" s="40" t="n"/>
      <c r="L26" s="41">
        <f>IF(G26="","",IF(G26="Tetap","Selesai",IF(J26="","Terbuka","Selesai")))</f>
        <v/>
      </c>
    </row>
    <row r="27" ht="15" customHeight="1" s="24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2" t="n"/>
      <c r="J27" s="42" t="n"/>
      <c r="K27" s="40" t="n"/>
      <c r="L27" s="41">
        <f>IF(G27="","",IF(G27="Tetap","Selesai",IF(J27="","Terbuka","Selesai")))</f>
        <v/>
      </c>
    </row>
    <row r="28" ht="15" customHeight="1" s="24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2" t="n"/>
      <c r="J28" s="42" t="n"/>
      <c r="K28" s="40" t="n"/>
      <c r="L28" s="41">
        <f>IF(G28="","",IF(G28="Tetap","Selesai",IF(J28="","Terbuka","Selesai")))</f>
        <v/>
      </c>
    </row>
    <row r="29" ht="15" customHeight="1" s="24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2" t="n"/>
      <c r="J29" s="42" t="n"/>
      <c r="K29" s="40" t="n"/>
      <c r="L29" s="41">
        <f>IF(G29="","",IF(G29="Tetap","Selesai",IF(J29="","Terbuka","Selesai")))</f>
        <v/>
      </c>
    </row>
    <row r="30" ht="15" customHeight="1" s="24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2" t="n"/>
      <c r="J30" s="42" t="n"/>
      <c r="K30" s="40" t="n"/>
      <c r="L30" s="41">
        <f>IF(G30="","",IF(G30="Tetap","Selesai",IF(J30="","Terbuka","Selesai")))</f>
        <v/>
      </c>
    </row>
    <row r="31" ht="15" customHeight="1" s="24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2" t="n"/>
      <c r="J31" s="42" t="n"/>
      <c r="K31" s="40" t="n"/>
      <c r="L31" s="41">
        <f>IF(G31="","",IF(G31="Tetap","Selesai",IF(J31="","Terbuka","Selesai")))</f>
        <v/>
      </c>
    </row>
    <row r="32" ht="15" customHeight="1" s="24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2" t="n"/>
      <c r="J32" s="42" t="n"/>
      <c r="K32" s="40" t="n"/>
      <c r="L32" s="41">
        <f>IF(G32="","",IF(G32="Tetap","Selesai",IF(J32="","Terbuka","Selesai")))</f>
        <v/>
      </c>
    </row>
    <row r="33" ht="15" customHeight="1" s="24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2" t="n"/>
      <c r="J33" s="42" t="n"/>
      <c r="K33" s="40" t="n"/>
      <c r="L33" s="41">
        <f>IF(G33="","",IF(G33="Tetap","Selesai",IF(J33="","Terbuka","Selesai")))</f>
        <v/>
      </c>
    </row>
    <row r="34" ht="15" customHeight="1" s="24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2" t="n"/>
      <c r="J34" s="42" t="n"/>
      <c r="K34" s="40" t="n"/>
      <c r="L34" s="41">
        <f>IF(G34="","",IF(G34="Tetap","Selesai",IF(J34="","Terbuka","Selesai")))</f>
        <v/>
      </c>
    </row>
    <row r="35" ht="15" customHeight="1" s="24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2" t="n"/>
      <c r="J35" s="42" t="n"/>
      <c r="K35" s="40" t="n"/>
      <c r="L35" s="41">
        <f>IF(G35="","",IF(G35="Tetap","Selesai",IF(J35="","Terbuka","Selesai")))</f>
        <v/>
      </c>
    </row>
    <row r="36" ht="15" customHeight="1" s="24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2" t="n"/>
      <c r="J36" s="42" t="n"/>
      <c r="K36" s="40" t="n"/>
      <c r="L36" s="41">
        <f>IF(G36="","",IF(G36="Tetap","Selesai",IF(J36="","Terbuka","Selesai")))</f>
        <v/>
      </c>
    </row>
    <row r="37" ht="15" customHeight="1" s="24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2" t="n"/>
      <c r="J37" s="42" t="n"/>
      <c r="K37" s="40" t="n"/>
      <c r="L37" s="41">
        <f>IF(G37="","",IF(G37="Tetap","Selesai",IF(J37="","Terbuka","Selesai")))</f>
        <v/>
      </c>
    </row>
    <row r="38" ht="15" customHeight="1" s="24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2" t="n"/>
      <c r="J38" s="42" t="n"/>
      <c r="K38" s="40" t="n"/>
      <c r="L38" s="41">
        <f>IF(G38="","",IF(G38="Tetap","Selesai",IF(J38="","Terbuka","Selesai")))</f>
        <v/>
      </c>
    </row>
    <row r="39" ht="15" customHeight="1" s="24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2" t="n"/>
      <c r="J39" s="42" t="n"/>
      <c r="K39" s="40" t="n"/>
      <c r="L39" s="41">
        <f>IF(G39="","",IF(G39="Tetap","Selesai",IF(J39="","Terbuka","Selesai")))</f>
        <v/>
      </c>
    </row>
    <row r="40" ht="15" customHeight="1" s="24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2" t="n"/>
      <c r="J40" s="42" t="n"/>
      <c r="K40" s="40" t="n"/>
      <c r="L40" s="41">
        <f>IF(G40="","",IF(G40="Tetap","Selesai",IF(J40="","Terbuka","Selesai")))</f>
        <v/>
      </c>
    </row>
    <row r="41" ht="15" customHeight="1" s="24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2" t="n"/>
      <c r="J41" s="42" t="n"/>
      <c r="K41" s="40" t="n"/>
      <c r="L41" s="41">
        <f>IF(G41="","",IF(G41="Tetap","Selesai",IF(J41="","Terbuka","Selesai")))</f>
        <v/>
      </c>
    </row>
    <row r="42" ht="15" customHeight="1" s="24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2" t="n"/>
      <c r="J42" s="42" t="n"/>
      <c r="K42" s="40" t="n"/>
      <c r="L42" s="41">
        <f>IF(G42="","",IF(G42="Tetap","Selesai",IF(J42="","Terbuka","Selesai")))</f>
        <v/>
      </c>
    </row>
    <row r="43" ht="15" customHeight="1" s="24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2" t="n"/>
      <c r="J43" s="42" t="n"/>
      <c r="K43" s="40" t="n"/>
      <c r="L43" s="41">
        <f>IF(G43="","",IF(G43="Tetap","Selesai",IF(J43="","Terbuka","Selesai")))</f>
        <v/>
      </c>
    </row>
    <row r="44" ht="15" customHeight="1" s="24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2" t="n"/>
      <c r="J44" s="42" t="n"/>
      <c r="K44" s="40" t="n"/>
      <c r="L44" s="41">
        <f>IF(G44="","",IF(G44="Tetap","Selesai",IF(J44="","Terbuka","Selesai")))</f>
        <v/>
      </c>
    </row>
    <row r="45" ht="15" customHeight="1" s="24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2" t="n"/>
      <c r="J45" s="42" t="n"/>
      <c r="K45" s="40" t="n"/>
      <c r="L45" s="41">
        <f>IF(G45="","",IF(G45="Tetap","Selesai",IF(J45="","Terbuka","Selesai")))</f>
        <v/>
      </c>
    </row>
    <row r="46" ht="15" customHeight="1" s="24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2" t="n"/>
      <c r="J46" s="42" t="n"/>
      <c r="K46" s="40" t="n"/>
      <c r="L46" s="41">
        <f>IF(G46="","",IF(G46="Tetap","Selesai",IF(J46="","Terbuka","Selesai")))</f>
        <v/>
      </c>
    </row>
    <row r="47" ht="15" customHeight="1" s="24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2" t="n"/>
      <c r="J47" s="42" t="n"/>
      <c r="K47" s="40" t="n"/>
      <c r="L47" s="41">
        <f>IF(G47="","",IF(G47="Tetap","Selesai",IF(J47="","Terbuka","Selesai")))</f>
        <v/>
      </c>
    </row>
    <row r="48" ht="15" customHeight="1" s="24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2" t="n"/>
      <c r="J48" s="42" t="n"/>
      <c r="K48" s="40" t="n"/>
      <c r="L48" s="41">
        <f>IF(G48="","",IF(G48="Tetap","Selesai",IF(J48="","Terbuka","Selesai")))</f>
        <v/>
      </c>
    </row>
    <row r="49" ht="15" customHeight="1" s="24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2" t="n"/>
      <c r="J49" s="42" t="n"/>
      <c r="K49" s="40" t="n"/>
      <c r="L49" s="41">
        <f>IF(G49="","",IF(G49="Tetap","Selesai",IF(J49="","Terbuka","Selesai")))</f>
        <v/>
      </c>
    </row>
    <row r="50" ht="15" customHeight="1" s="24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2" t="n"/>
      <c r="J50" s="42" t="n"/>
      <c r="K50" s="40" t="n"/>
      <c r="L50" s="41">
        <f>IF(G50="","",IF(G50="Tetap","Selesai",IF(J50="","Terbuka","Selesai")))</f>
        <v/>
      </c>
    </row>
    <row r="51" ht="15" customHeight="1" s="24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2" t="n"/>
      <c r="J51" s="42" t="n"/>
      <c r="K51" s="40" t="n"/>
      <c r="L51" s="41">
        <f>IF(G51="","",IF(G51="Tetap","Selesai",IF(J51="","Terbuka","Selesai")))</f>
        <v/>
      </c>
    </row>
    <row r="52" ht="15" customHeight="1" s="24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2" t="n"/>
      <c r="J52" s="42" t="n"/>
      <c r="K52" s="40" t="n"/>
      <c r="L52" s="41">
        <f>IF(G52="","",IF(G52="Tetap","Selesai",IF(J52="","Terbuka","Selesai")))</f>
        <v/>
      </c>
    </row>
    <row r="53" ht="15" customHeight="1" s="24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2" t="n"/>
      <c r="J53" s="42" t="n"/>
      <c r="K53" s="40" t="n"/>
      <c r="L53" s="41">
        <f>IF(G53="","",IF(G53="Tetap","Selesai",IF(J53="","Terbuka","Selesai")))</f>
        <v/>
      </c>
    </row>
    <row r="54" ht="15" customHeight="1" s="2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2" t="n"/>
      <c r="J54" s="42" t="n"/>
      <c r="K54" s="40" t="n"/>
      <c r="L54" s="41">
        <f>IF(G54="","",IF(G54="Tetap","Selesai",IF(J54="","Terbuka","Selesai")))</f>
        <v/>
      </c>
    </row>
    <row r="55" ht="15" customHeight="1" s="24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2" t="n"/>
      <c r="J55" s="42" t="n"/>
      <c r="K55" s="40" t="n"/>
      <c r="L55" s="41">
        <f>IF(G55="","",IF(G55="Tetap","Selesai",IF(J55="","Terbuka","Selesai")))</f>
        <v/>
      </c>
    </row>
    <row r="56" ht="15" customHeight="1" s="24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2" t="n"/>
      <c r="J56" s="42" t="n"/>
      <c r="K56" s="40" t="n"/>
      <c r="L56" s="41">
        <f>IF(G56="","",IF(G56="Tetap","Selesai",IF(J56="","Terbuka","Selesai")))</f>
        <v/>
      </c>
    </row>
    <row r="57" ht="15" customHeight="1" s="24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2" t="n"/>
      <c r="J57" s="42" t="n"/>
      <c r="K57" s="40" t="n"/>
      <c r="L57" s="41">
        <f>IF(G57="","",IF(G57="Tetap","Selesai",IF(J57="","Terbuka","Selesai")))</f>
        <v/>
      </c>
    </row>
    <row r="58" ht="15" customHeight="1" s="24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2" t="n"/>
      <c r="J58" s="42" t="n"/>
      <c r="K58" s="40" t="n"/>
      <c r="L58" s="41">
        <f>IF(G58="","",IF(G58="Tetap","Selesai",IF(J58="","Terbuka","Selesai")))</f>
        <v/>
      </c>
    </row>
    <row r="59" ht="15" customHeight="1" s="24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2" t="n"/>
      <c r="J59" s="42" t="n"/>
      <c r="K59" s="40" t="n"/>
      <c r="L59" s="41">
        <f>IF(G59="","",IF(G59="Tetap","Selesai",IF(J59="","Terbuka","Selesai")))</f>
        <v/>
      </c>
    </row>
    <row r="60" ht="15" customHeight="1" s="24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2" t="n"/>
      <c r="J60" s="42" t="n"/>
      <c r="K60" s="40" t="n"/>
      <c r="L60" s="41">
        <f>IF(G60="","",IF(G60="Tetap","Selesai",IF(J60="","Terbuka","Selesai")))</f>
        <v/>
      </c>
    </row>
    <row r="61" ht="15" customHeight="1" s="24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2" t="n"/>
      <c r="J61" s="42" t="n"/>
      <c r="K61" s="40" t="n"/>
      <c r="L61" s="41">
        <f>IF(G61="","",IF(G61="Tetap","Selesai",IF(J61="","Terbuka","Selesai")))</f>
        <v/>
      </c>
    </row>
    <row r="62" ht="15" customHeight="1" s="24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2" t="n"/>
      <c r="J62" s="42" t="n"/>
      <c r="K62" s="40" t="n"/>
      <c r="L62" s="41">
        <f>IF(G62="","",IF(G62="Tetap","Selesai",IF(J62="","Terbuka","Selesai")))</f>
        <v/>
      </c>
    </row>
    <row r="63" ht="15" customHeight="1" s="24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2" t="n"/>
      <c r="J63" s="42" t="n"/>
      <c r="K63" s="40" t="n"/>
      <c r="L63" s="41">
        <f>IF(G63="","",IF(G63="Tetap","Selesai",IF(J63="","Terbuka","Selesai")))</f>
        <v/>
      </c>
    </row>
    <row r="64" ht="15" customHeight="1" s="2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2" t="n"/>
      <c r="J64" s="42" t="n"/>
      <c r="K64" s="40" t="n"/>
      <c r="L64" s="41">
        <f>IF(G64="","",IF(G64="Tetap","Selesai",IF(J64="","Terbuka","Selesai")))</f>
        <v/>
      </c>
    </row>
    <row r="65" ht="15" customHeight="1" s="24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2" t="n"/>
      <c r="J65" s="42" t="n"/>
      <c r="K65" s="40" t="n"/>
      <c r="L65" s="41">
        <f>IF(G65="","",IF(G65="Tetap","Selesai",IF(J65="","Terbuka","Selesai")))</f>
        <v/>
      </c>
    </row>
    <row r="66" ht="15" customHeight="1" s="24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2" t="n"/>
      <c r="J66" s="42" t="n"/>
      <c r="K66" s="40" t="n"/>
      <c r="L66" s="41">
        <f>IF(G66="","",IF(G66="Tetap","Selesai",IF(J66="","Terbuka","Selesai")))</f>
        <v/>
      </c>
    </row>
    <row r="67" ht="15" customHeight="1" s="24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2" t="n"/>
      <c r="J67" s="42" t="n"/>
      <c r="K67" s="40" t="n"/>
      <c r="L67" s="41">
        <f>IF(G67="","",IF(G67="Tetap","Selesai",IF(J67="","Terbuka","Selesai")))</f>
        <v/>
      </c>
    </row>
    <row r="68" ht="15" customHeight="1" s="24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2" t="n"/>
      <c r="J68" s="42" t="n"/>
      <c r="K68" s="40" t="n"/>
      <c r="L68" s="41">
        <f>IF(G68="","",IF(G68="Tetap","Selesai",IF(J68="","Terbuka","Selesai")))</f>
        <v/>
      </c>
    </row>
    <row r="69" ht="15" customHeight="1" s="24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2" t="n"/>
      <c r="J69" s="42" t="n"/>
      <c r="K69" s="40" t="n"/>
      <c r="L69" s="41">
        <f>IF(G69="","",IF(G69="Tetap","Selesai",IF(J69="","Terbuka","Selesai")))</f>
        <v/>
      </c>
    </row>
    <row r="70" ht="15" customHeight="1" s="24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2" t="n"/>
      <c r="J70" s="42" t="n"/>
      <c r="K70" s="40" t="n"/>
      <c r="L70" s="41">
        <f>IF(G70="","",IF(G70="Tetap","Selesai",IF(J70="","Terbuka","Selesai")))</f>
        <v/>
      </c>
    </row>
    <row r="71" ht="15" customHeight="1" s="24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2" t="n"/>
      <c r="J71" s="42" t="n"/>
      <c r="K71" s="40" t="n"/>
      <c r="L71" s="41">
        <f>IF(G71="","",IF(G71="Tetap","Selesai",IF(J71="","Terbuka","Selesai")))</f>
        <v/>
      </c>
    </row>
    <row r="72" ht="15" customHeight="1" s="24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2" t="n"/>
      <c r="J72" s="42" t="n"/>
      <c r="K72" s="40" t="n"/>
      <c r="L72" s="41">
        <f>IF(G72="","",IF(G72="Tetap","Selesai",IF(J72="","Terbuka","Selesai")))</f>
        <v/>
      </c>
    </row>
    <row r="73" ht="15" customHeight="1" s="24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2" t="n"/>
      <c r="J73" s="42" t="n"/>
      <c r="K73" s="40" t="n"/>
      <c r="L73" s="41">
        <f>IF(G73="","",IF(G73="Tetap","Selesai",IF(J73="","Terbuka","Selesai")))</f>
        <v/>
      </c>
    </row>
    <row r="74" ht="15" customHeight="1" s="2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2" t="n"/>
      <c r="J74" s="42" t="n"/>
      <c r="K74" s="40" t="n"/>
      <c r="L74" s="41">
        <f>IF(G74="","",IF(G74="Tetap","Selesai",IF(J74="","Terbuka","Selesai")))</f>
        <v/>
      </c>
    </row>
    <row r="75" ht="15" customHeight="1" s="24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2" t="n"/>
      <c r="J75" s="42" t="n"/>
      <c r="K75" s="40" t="n"/>
      <c r="L75" s="41">
        <f>IF(G75="","",IF(G75="Tetap","Selesai",IF(J75="","Terbuka","Selesai")))</f>
        <v/>
      </c>
    </row>
    <row r="76" ht="15" customHeight="1" s="24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2" t="n"/>
      <c r="J76" s="42" t="n"/>
      <c r="K76" s="40" t="n"/>
      <c r="L76" s="41">
        <f>IF(G76="","",IF(G76="Tetap","Selesai",IF(J76="","Terbuka","Selesai")))</f>
        <v/>
      </c>
    </row>
    <row r="77" ht="15" customHeight="1" s="24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2" t="n"/>
      <c r="J77" s="42" t="n"/>
      <c r="K77" s="40" t="n"/>
      <c r="L77" s="41">
        <f>IF(G77="","",IF(G77="Tetap","Selesai",IF(J77="","Terbuka","Selesai")))</f>
        <v/>
      </c>
    </row>
    <row r="78" ht="15" customHeight="1" s="24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2" t="n"/>
      <c r="J78" s="42" t="n"/>
      <c r="K78" s="40" t="n"/>
      <c r="L78" s="41">
        <f>IF(G78="","",IF(G78="Tetap","Selesai",IF(J78="","Terbuka","Selesai")))</f>
        <v/>
      </c>
    </row>
    <row r="79" ht="15" customHeight="1" s="24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2" t="n"/>
      <c r="J79" s="42" t="n"/>
      <c r="K79" s="40" t="n"/>
      <c r="L79" s="41">
        <f>IF(G79="","",IF(G79="Tetap","Selesai",IF(J79="","Terbuka","Selesai")))</f>
        <v/>
      </c>
    </row>
    <row r="80" ht="15" customHeight="1" s="24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2" t="n"/>
      <c r="J80" s="42" t="n"/>
      <c r="K80" s="40" t="n"/>
      <c r="L80" s="41">
        <f>IF(G80="","",IF(G80="Tetap","Selesai",IF(J80="","Terbuka","Selesai")))</f>
        <v/>
      </c>
    </row>
    <row r="81" ht="15" customHeight="1" s="24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2" t="n"/>
      <c r="J81" s="42" t="n"/>
      <c r="K81" s="40" t="n"/>
      <c r="L81" s="41">
        <f>IF(G81="","",IF(G81="Tetap","Selesai",IF(J81="","Terbuka","Selesai")))</f>
        <v/>
      </c>
    </row>
    <row r="82" ht="15" customHeight="1" s="24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2" t="n"/>
      <c r="J82" s="42" t="n"/>
      <c r="K82" s="40" t="n"/>
      <c r="L82" s="41">
        <f>IF(G82="","",IF(G82="Tetap","Selesai",IF(J82="","Terbuka","Selesai")))</f>
        <v/>
      </c>
    </row>
    <row r="83" ht="15" customHeight="1" s="24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2" t="n"/>
      <c r="J83" s="42" t="n"/>
      <c r="K83" s="40" t="n"/>
      <c r="L83" s="41">
        <f>IF(G83="","",IF(G83="Tetap","Selesai",IF(J83="","Terbuka","Selesai")))</f>
        <v/>
      </c>
    </row>
    <row r="84" ht="15" customHeight="1" s="2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2" t="n"/>
      <c r="J84" s="42" t="n"/>
      <c r="K84" s="40" t="n"/>
      <c r="L84" s="41">
        <f>IF(G84="","",IF(G84="Tetap","Selesai",IF(J84="","Terbuka","Selesai")))</f>
        <v/>
      </c>
    </row>
    <row r="85" ht="15" customHeight="1" s="24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2" t="n"/>
      <c r="J85" s="42" t="n"/>
      <c r="K85" s="40" t="n"/>
      <c r="L85" s="41">
        <f>IF(G85="","",IF(G85="Tetap","Selesai",IF(J85="","Terbuka","Selesai")))</f>
        <v/>
      </c>
    </row>
    <row r="86" ht="15" customHeight="1" s="24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2" t="n"/>
      <c r="J86" s="42" t="n"/>
      <c r="K86" s="40" t="n"/>
      <c r="L86" s="41">
        <f>IF(G86="","",IF(G86="Tetap","Selesai",IF(J86="","Terbuka","Selesai")))</f>
        <v/>
      </c>
    </row>
    <row r="87" ht="15" customHeight="1" s="24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2" t="n"/>
      <c r="J87" s="42" t="n"/>
      <c r="K87" s="40" t="n"/>
      <c r="L87" s="41">
        <f>IF(G87="","",IF(G87="Tetap","Selesai",IF(J87="","Terbuka","Selesai")))</f>
        <v/>
      </c>
    </row>
    <row r="88" ht="15" customHeight="1" s="24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2" t="n"/>
      <c r="J88" s="42" t="n"/>
      <c r="K88" s="40" t="n"/>
      <c r="L88" s="41">
        <f>IF(G88="","",IF(G88="Tetap","Selesai",IF(J88="","Terbuka","Selesai")))</f>
        <v/>
      </c>
    </row>
    <row r="89" ht="15" customHeight="1" s="24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2" t="n"/>
      <c r="J89" s="42" t="n"/>
      <c r="K89" s="40" t="n"/>
      <c r="L89" s="41">
        <f>IF(G89="","",IF(G89="Tetap","Selesai",IF(J89="","Terbuka","Selesai")))</f>
        <v/>
      </c>
    </row>
    <row r="90" ht="15" customHeight="1" s="24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2" t="n"/>
      <c r="J90" s="42" t="n"/>
      <c r="K90" s="40" t="n"/>
      <c r="L90" s="41">
        <f>IF(G90="","",IF(G90="Tetap","Selesai",IF(J90="","Terbuka","Selesai")))</f>
        <v/>
      </c>
    </row>
    <row r="91" ht="15" customHeight="1" s="24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2" t="n"/>
      <c r="J91" s="42" t="n"/>
      <c r="K91" s="40" t="n"/>
      <c r="L91" s="41">
        <f>IF(G91="","",IF(G91="Tetap","Selesai",IF(J91="","Terbuka","Selesai")))</f>
        <v/>
      </c>
    </row>
    <row r="92" ht="15" customHeight="1" s="24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2" t="n"/>
      <c r="J92" s="42" t="n"/>
      <c r="K92" s="40" t="n"/>
      <c r="L92" s="41">
        <f>IF(G92="","",IF(G92="Tetap","Selesai",IF(J92="","Terbuka","Selesai")))</f>
        <v/>
      </c>
    </row>
    <row r="93" ht="15" customHeight="1" s="24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2" t="n"/>
      <c r="J93" s="42" t="n"/>
      <c r="K93" s="40" t="n"/>
      <c r="L93" s="41">
        <f>IF(G93="","",IF(G93="Tetap","Selesai",IF(J93="","Terbuka","Selesai")))</f>
        <v/>
      </c>
    </row>
    <row r="94" ht="15" customHeight="1" s="2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2" t="n"/>
      <c r="J94" s="42" t="n"/>
      <c r="K94" s="40" t="n"/>
      <c r="L94" s="41">
        <f>IF(G94="","",IF(G94="Tetap","Selesai",IF(J94="","Terbuka","Selesai")))</f>
        <v/>
      </c>
    </row>
    <row r="95" ht="15" customHeight="1" s="24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2" t="n"/>
      <c r="J95" s="42" t="n"/>
      <c r="K95" s="40" t="n"/>
      <c r="L95" s="41">
        <f>IF(G95="","",IF(G95="Tetap","Selesai",IF(J95="","Terbuka","Selesai")))</f>
        <v/>
      </c>
    </row>
    <row r="96" ht="15" customHeight="1" s="24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2" t="n"/>
      <c r="J96" s="42" t="n"/>
      <c r="K96" s="40" t="n"/>
      <c r="L96" s="41">
        <f>IF(G96="","",IF(G96="Tetap","Selesai",IF(J96="","Terbuka","Selesai")))</f>
        <v/>
      </c>
    </row>
    <row r="97" ht="15" customHeight="1" s="24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2" t="n"/>
      <c r="J97" s="42" t="n"/>
      <c r="K97" s="40" t="n"/>
      <c r="L97" s="41">
        <f>IF(G97="","",IF(G97="Tetap","Selesai",IF(J97="","Terbuka","Selesai")))</f>
        <v/>
      </c>
    </row>
    <row r="98" ht="15" customHeight="1" s="24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2" t="n"/>
      <c r="J98" s="42" t="n"/>
      <c r="K98" s="40" t="n"/>
      <c r="L98" s="41">
        <f>IF(G98="","",IF(G98="Tetap","Selesai",IF(J98="","Terbuka","Selesai")))</f>
        <v/>
      </c>
    </row>
    <row r="99" ht="15" customHeight="1" s="24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2" t="n"/>
      <c r="J99" s="42" t="n"/>
      <c r="K99" s="40" t="n"/>
      <c r="L99" s="41">
        <f>IF(G99="","",IF(G99="Tetap","Selesai",IF(J99="","Terbuka","Selesai")))</f>
        <v/>
      </c>
    </row>
    <row r="100" ht="15" customHeight="1" s="24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2" t="n"/>
      <c r="J100" s="42" t="n"/>
      <c r="K100" s="40" t="n"/>
      <c r="L100" s="41">
        <f>IF(G100="","",IF(G100="Tetap","Selesai",IF(J100="","Terbuka","Selesai")))</f>
        <v/>
      </c>
    </row>
    <row r="101" ht="15" customHeight="1" s="24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2" t="n"/>
      <c r="J101" s="42" t="n"/>
      <c r="K101" s="40" t="n"/>
      <c r="L101" s="41">
        <f>IF(G101="","",IF(G101="Tetap","Selesai",IF(J101="","Terbuka","Selesai")))</f>
        <v/>
      </c>
    </row>
    <row r="102" ht="15" customHeight="1" s="24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2" t="n"/>
      <c r="J102" s="42" t="n"/>
      <c r="K102" s="40" t="n"/>
      <c r="L102" s="41">
        <f>IF(G102="","",IF(G102="Tetap","Selesai",IF(J102="","Terbuka","Selesai")))</f>
        <v/>
      </c>
    </row>
    <row r="103" ht="15" customHeight="1" s="24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2" t="n"/>
      <c r="J103" s="42" t="n"/>
      <c r="K103" s="40" t="n"/>
      <c r="L103" s="41">
        <f>IF(G103="","",IF(G103="Tetap","Selesai",IF(J103="","Terbuka","Selesai")))</f>
        <v/>
      </c>
    </row>
    <row r="104" ht="15" customHeight="1" s="2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2" t="n"/>
      <c r="J104" s="42" t="n"/>
      <c r="K104" s="40" t="n"/>
      <c r="L104" s="41">
        <f>IF(G104="","",IF(G104="Tetap","Selesai",IF(J104="","Terbuka","Selesai")))</f>
        <v/>
      </c>
    </row>
    <row r="105" ht="15" customHeight="1" s="24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2" t="n"/>
      <c r="J105" s="42" t="n"/>
      <c r="K105" s="40" t="n"/>
      <c r="L105" s="41">
        <f>IF(G105="","",IF(G105="Tetap","Selesai",IF(J105="","Terbuka","Selesai")))</f>
        <v/>
      </c>
    </row>
    <row r="106" ht="15" customHeight="1" s="24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2" t="n"/>
      <c r="J106" s="42" t="n"/>
      <c r="K106" s="40" t="n"/>
      <c r="L106" s="41">
        <f>IF(G106="","",IF(G106="Tetap","Selesai",IF(J106="","Terbuka","Selesai")))</f>
        <v/>
      </c>
    </row>
    <row r="107" ht="15" customHeight="1" s="24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2" t="n"/>
      <c r="J107" s="42" t="n"/>
      <c r="K107" s="40" t="n"/>
      <c r="L107" s="41">
        <f>IF(G107="","",IF(G107="Tetap","Selesai",IF(J107="","Terbuka","Selesai")))</f>
        <v/>
      </c>
    </row>
    <row r="108" ht="15" customHeight="1" s="24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2" t="n"/>
      <c r="J108" s="42" t="n"/>
      <c r="K108" s="40" t="n"/>
      <c r="L108" s="41">
        <f>IF(G108="","",IF(G108="Tetap","Selesai",IF(J108="","Terbuka","Selesai")))</f>
        <v/>
      </c>
    </row>
    <row r="109" ht="15" customHeight="1" s="24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2" t="n"/>
      <c r="J109" s="42" t="n"/>
      <c r="K109" s="40" t="n"/>
      <c r="L109" s="41">
        <f>IF(G109="","",IF(G109="Tetap","Selesai",IF(J109="","Terbuka","Selesai")))</f>
        <v/>
      </c>
    </row>
    <row r="110" ht="15" customHeight="1" s="24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2" t="n"/>
      <c r="J110" s="42" t="n"/>
      <c r="K110" s="40" t="n"/>
      <c r="L110" s="41">
        <f>IF(G110="","",IF(G110="Tetap","Selesai",IF(J110="","Terbuka","Selesai")))</f>
        <v/>
      </c>
    </row>
    <row r="111" ht="15" customHeight="1" s="24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2" t="n"/>
      <c r="J111" s="42" t="n"/>
      <c r="K111" s="40" t="n"/>
      <c r="L111" s="41">
        <f>IF(G111="","",IF(G111="Tetap","Selesai",IF(J111="","Terbuka","Selesai")))</f>
        <v/>
      </c>
    </row>
    <row r="112" ht="15" customHeight="1" s="24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2" t="n"/>
      <c r="J112" s="42" t="n"/>
      <c r="K112" s="40" t="n"/>
      <c r="L112" s="41">
        <f>IF(G112="","",IF(G112="Tetap","Selesai",IF(J112="","Terbuka","Selesai")))</f>
        <v/>
      </c>
    </row>
    <row r="113" ht="15" customHeight="1" s="24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2" t="n"/>
      <c r="J113" s="42" t="n"/>
      <c r="K113" s="40" t="n"/>
      <c r="L113" s="41">
        <f>IF(G113="","",IF(G113="Tetap","Selesai",IF(J113="","Terbuka","Selesai")))</f>
        <v/>
      </c>
    </row>
    <row r="114" ht="15" customHeight="1" s="2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2" t="n"/>
      <c r="J114" s="42" t="n"/>
      <c r="K114" s="40" t="n"/>
      <c r="L114" s="41">
        <f>IF(G114="","",IF(G114="Tetap","Selesai",IF(J114="","Terbuka","Selesai")))</f>
        <v/>
      </c>
    </row>
    <row r="115" ht="15" customHeight="1" s="24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2" t="n"/>
      <c r="J115" s="42" t="n"/>
      <c r="K115" s="40" t="n"/>
      <c r="L115" s="41">
        <f>IF(G115="","",IF(G115="Tetap","Selesai",IF(J115="","Terbuka","Selesai")))</f>
        <v/>
      </c>
    </row>
    <row r="116" ht="15" customHeight="1" s="24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2" t="n"/>
      <c r="J116" s="42" t="n"/>
      <c r="K116" s="40" t="n"/>
      <c r="L116" s="41">
        <f>IF(G116="","",IF(G116="Tetap","Selesai",IF(J116="","Terbuka","Selesai")))</f>
        <v/>
      </c>
    </row>
    <row r="117" ht="15" customHeight="1" s="24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2" t="n"/>
      <c r="J117" s="42" t="n"/>
      <c r="K117" s="40" t="n"/>
      <c r="L117" s="41">
        <f>IF(G117="","",IF(G117="Tetap","Selesai",IF(J117="","Terbuka","Selesai")))</f>
        <v/>
      </c>
    </row>
    <row r="118" ht="15" customHeight="1" s="24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2" t="n"/>
      <c r="J118" s="42" t="n"/>
      <c r="K118" s="40" t="n"/>
      <c r="L118" s="41">
        <f>IF(G118="","",IF(G118="Tetap","Selesai",IF(J118="","Terbuka","Selesai")))</f>
        <v/>
      </c>
    </row>
    <row r="119" ht="15" customHeight="1" s="24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2" t="n"/>
      <c r="J119" s="42" t="n"/>
      <c r="K119" s="40" t="n"/>
      <c r="L119" s="41">
        <f>IF(G119="","",IF(G119="Tetap","Selesai",IF(J119="","Terbuka","Selesai")))</f>
        <v/>
      </c>
    </row>
    <row r="120" ht="15" customHeight="1" s="24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2" t="n"/>
      <c r="J120" s="42" t="n"/>
      <c r="K120" s="40" t="n"/>
      <c r="L120" s="41">
        <f>IF(G120="","",IF(G120="Tetap","Selesai",IF(J120="","Terbuka","Selesai")))</f>
        <v/>
      </c>
    </row>
    <row r="121" ht="15" customHeight="1" s="24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2" t="n"/>
      <c r="J121" s="42" t="n"/>
      <c r="K121" s="40" t="n"/>
      <c r="L121" s="41">
        <f>IF(G121="","",IF(G121="Tetap","Selesai",IF(J121="","Terbuka","Selesai")))</f>
        <v/>
      </c>
    </row>
    <row r="122" ht="15" customHeight="1" s="24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2" t="n"/>
      <c r="J122" s="42" t="n"/>
      <c r="K122" s="40" t="n"/>
      <c r="L122" s="41">
        <f>IF(G122="","",IF(G122="Tetap","Selesai",IF(J122="","Terbuka","Selesai")))</f>
        <v/>
      </c>
    </row>
    <row r="123" ht="15" customHeight="1" s="24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2" t="n"/>
      <c r="J123" s="42" t="n"/>
      <c r="K123" s="40" t="n"/>
      <c r="L123" s="41">
        <f>IF(G123="","",IF(G123="Tetap","Selesai",IF(J123="","Terbuka","Selesai")))</f>
        <v/>
      </c>
    </row>
    <row r="124" ht="15" customHeight="1" s="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2" t="n"/>
      <c r="J124" s="42" t="n"/>
      <c r="K124" s="40" t="n"/>
      <c r="L124" s="41">
        <f>IF(G124="","",IF(G124="Tetap","Selesai",IF(J124="","Terbuka","Selesai")))</f>
        <v/>
      </c>
    </row>
    <row r="125" ht="15" customHeight="1" s="24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2" t="n"/>
      <c r="J125" s="42" t="n"/>
      <c r="K125" s="40" t="n"/>
      <c r="L125" s="41">
        <f>IF(G125="","",IF(G125="Tetap","Selesai",IF(J125="","Terbuka","Selesai")))</f>
        <v/>
      </c>
    </row>
    <row r="126" ht="15" customHeight="1" s="24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2" t="n"/>
      <c r="J126" s="42" t="n"/>
      <c r="K126" s="40" t="n"/>
      <c r="L126" s="41">
        <f>IF(G126="","",IF(G126="Tetap","Selesai",IF(J126="","Terbuka","Selesai")))</f>
        <v/>
      </c>
    </row>
    <row r="127" ht="15" customHeight="1" s="24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2" t="n"/>
      <c r="J127" s="42" t="n"/>
      <c r="K127" s="40" t="n"/>
      <c r="L127" s="41">
        <f>IF(G127="","",IF(G127="Tetap","Selesai",IF(J127="","Terbuka","Selesai")))</f>
        <v/>
      </c>
    </row>
    <row r="128" ht="15" customHeight="1" s="24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2" t="n"/>
      <c r="J128" s="42" t="n"/>
      <c r="K128" s="40" t="n"/>
      <c r="L128" s="41">
        <f>IF(G128="","",IF(G128="Tetap","Selesai",IF(J128="","Terbuka","Selesai")))</f>
        <v/>
      </c>
    </row>
    <row r="129" ht="15" customHeight="1" s="24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2" t="n"/>
      <c r="J129" s="42" t="n"/>
      <c r="K129" s="40" t="n"/>
      <c r="L129" s="41">
        <f>IF(G129="","",IF(G129="Tetap","Selesai",IF(J129="","Terbuka","Selesai")))</f>
        <v/>
      </c>
    </row>
    <row r="130" ht="15" customHeight="1" s="24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2" t="n"/>
      <c r="J130" s="42" t="n"/>
      <c r="K130" s="40" t="n"/>
      <c r="L130" s="41">
        <f>IF(G130="","",IF(G130="Tetap","Selesai",IF(J130="","Terbuka","Selesai")))</f>
        <v/>
      </c>
    </row>
    <row r="131" ht="15" customHeight="1" s="24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2" t="n"/>
      <c r="J131" s="42" t="n"/>
      <c r="K131" s="40" t="n"/>
      <c r="L131" s="41">
        <f>IF(G131="","",IF(G131="Tetap","Selesai",IF(J131="","Terbuka","Selesai")))</f>
        <v/>
      </c>
    </row>
    <row r="132" ht="15" customHeight="1" s="24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2" t="n"/>
      <c r="J132" s="42" t="n"/>
      <c r="K132" s="40" t="n"/>
      <c r="L132" s="41">
        <f>IF(G132="","",IF(G132="Tetap","Selesai",IF(J132="","Terbuka","Selesai")))</f>
        <v/>
      </c>
    </row>
    <row r="133" ht="15" customHeight="1" s="24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2" t="n"/>
      <c r="J133" s="42" t="n"/>
      <c r="K133" s="40" t="n"/>
      <c r="L133" s="41">
        <f>IF(G133="","",IF(G133="Tetap","Selesai",IF(J133="","Terbuka","Selesai")))</f>
        <v/>
      </c>
    </row>
    <row r="134" ht="15" customHeight="1" s="2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2" t="n"/>
      <c r="J134" s="42" t="n"/>
      <c r="K134" s="40" t="n"/>
      <c r="L134" s="41">
        <f>IF(G134="","",IF(G134="Tetap","Selesai",IF(J134="","Terbuka","Selesai")))</f>
        <v/>
      </c>
    </row>
    <row r="135" ht="15" customHeight="1" s="24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2" t="n"/>
      <c r="J135" s="42" t="n"/>
      <c r="K135" s="40" t="n"/>
      <c r="L135" s="41">
        <f>IF(G135="","",IF(G135="Tetap","Selesai",IF(J135="","Terbuka","Selesai")))</f>
        <v/>
      </c>
    </row>
    <row r="136" ht="15" customHeight="1" s="24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2" t="n"/>
      <c r="J136" s="42" t="n"/>
      <c r="K136" s="40" t="n"/>
      <c r="L136" s="41">
        <f>IF(G136="","",IF(G136="Tetap","Selesai",IF(J136="","Terbuka","Selesai")))</f>
        <v/>
      </c>
    </row>
    <row r="137" ht="15" customHeight="1" s="24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2" t="n"/>
      <c r="J137" s="42" t="n"/>
      <c r="K137" s="40" t="n"/>
      <c r="L137" s="41">
        <f>IF(G137="","",IF(G137="Tetap","Selesai",IF(J137="","Terbuka","Selesai")))</f>
        <v/>
      </c>
    </row>
    <row r="138" ht="15" customHeight="1" s="24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2" t="n"/>
      <c r="J138" s="42" t="n"/>
      <c r="K138" s="40" t="n"/>
      <c r="L138" s="41">
        <f>IF(G138="","",IF(G138="Tetap","Selesai",IF(J138="","Terbuka","Selesai")))</f>
        <v/>
      </c>
    </row>
    <row r="139" ht="15" customHeight="1" s="24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2" t="n"/>
      <c r="J139" s="42" t="n"/>
      <c r="K139" s="40" t="n"/>
      <c r="L139" s="41">
        <f>IF(G139="","",IF(G139="Tetap","Selesai",IF(J139="","Terbuka","Selesai")))</f>
        <v/>
      </c>
    </row>
    <row r="140" ht="15" customHeight="1" s="24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2" t="n"/>
      <c r="J140" s="42" t="n"/>
      <c r="K140" s="40" t="n"/>
      <c r="L140" s="41">
        <f>IF(G140="","",IF(G140="Tetap","Selesai",IF(J140="","Terbuka","Selesai")))</f>
        <v/>
      </c>
    </row>
    <row r="141" ht="15" customHeight="1" s="24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2" t="n"/>
      <c r="J141" s="42" t="n"/>
      <c r="K141" s="40" t="n"/>
      <c r="L141" s="41">
        <f>IF(G141="","",IF(G141="Tetap","Selesai",IF(J141="","Terbuka","Selesai")))</f>
        <v/>
      </c>
    </row>
    <row r="142" ht="15" customHeight="1" s="24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2" t="n"/>
      <c r="J142" s="42" t="n"/>
      <c r="K142" s="40" t="n"/>
      <c r="L142" s="41">
        <f>IF(G142="","",IF(G142="Tetap","Selesai",IF(J142="","Terbuka","Selesai")))</f>
        <v/>
      </c>
    </row>
    <row r="143" ht="15" customHeight="1" s="24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2" t="n"/>
      <c r="J143" s="42" t="n"/>
      <c r="K143" s="40" t="n"/>
      <c r="L143" s="41">
        <f>IF(G143="","",IF(G143="Tetap","Selesai",IF(J143="","Terbuka","Selesai")))</f>
        <v/>
      </c>
    </row>
    <row r="144" ht="15" customHeight="1" s="2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2" t="n"/>
      <c r="J144" s="42" t="n"/>
      <c r="K144" s="40" t="n"/>
      <c r="L144" s="41">
        <f>IF(G144="","",IF(G144="Tetap","Selesai",IF(J144="","Terbuka","Selesai")))</f>
        <v/>
      </c>
    </row>
    <row r="145" ht="15" customHeight="1" s="24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2" t="n"/>
      <c r="J145" s="42" t="n"/>
      <c r="K145" s="40" t="n"/>
      <c r="L145" s="41">
        <f>IF(G145="","",IF(G145="Tetap","Selesai",IF(J145="","Terbuka","Selesai")))</f>
        <v/>
      </c>
    </row>
    <row r="146" ht="15" customHeight="1" s="24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2" t="n"/>
      <c r="J146" s="42" t="n"/>
      <c r="K146" s="40" t="n"/>
      <c r="L146" s="41">
        <f>IF(G146="","",IF(G146="Tetap","Selesai",IF(J146="","Terbuka","Selesai")))</f>
        <v/>
      </c>
    </row>
    <row r="147" ht="15" customHeight="1" s="24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2" t="n"/>
      <c r="J147" s="42" t="n"/>
      <c r="K147" s="40" t="n"/>
      <c r="L147" s="41">
        <f>IF(G147="","",IF(G147="Tetap","Selesai",IF(J147="","Terbuka","Selesai")))</f>
        <v/>
      </c>
    </row>
    <row r="148" ht="15" customHeight="1" s="24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2" t="n"/>
      <c r="J148" s="42" t="n"/>
      <c r="K148" s="40" t="n"/>
      <c r="L148" s="41">
        <f>IF(G148="","",IF(G148="Tetap","Selesai",IF(J148="","Terbuka","Selesai")))</f>
        <v/>
      </c>
    </row>
    <row r="149" ht="15" customHeight="1" s="24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2" t="n"/>
      <c r="J149" s="42" t="n"/>
      <c r="K149" s="40" t="n"/>
      <c r="L149" s="41">
        <f>IF(G149="","",IF(G149="Tetap","Selesai",IF(J149="","Terbuka","Selesai")))</f>
        <v/>
      </c>
    </row>
    <row r="150" ht="15" customHeight="1" s="24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2" t="n"/>
      <c r="J150" s="42" t="n"/>
      <c r="K150" s="40" t="n"/>
      <c r="L150" s="41">
        <f>IF(G150="","",IF(G150="Tetap","Selesai",IF(J150="","Terbuka","Selesai")))</f>
        <v/>
      </c>
    </row>
    <row r="151" ht="15" customHeight="1" s="24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2" t="n"/>
      <c r="J151" s="42" t="n"/>
      <c r="K151" s="40" t="n"/>
      <c r="L151" s="41">
        <f>IF(G151="","",IF(G151="Tetap","Selesai",IF(J151="","Terbuka","Selesai")))</f>
        <v/>
      </c>
    </row>
    <row r="152" ht="15" customHeight="1" s="24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2" t="n"/>
      <c r="J152" s="42" t="n"/>
      <c r="K152" s="40" t="n"/>
      <c r="L152" s="41">
        <f>IF(G152="","",IF(G152="Tetap","Selesai",IF(J152="","Terbuka","Selesai")))</f>
        <v/>
      </c>
    </row>
    <row r="153" ht="15" customHeight="1" s="24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2" t="n"/>
      <c r="J153" s="42" t="n"/>
      <c r="K153" s="40" t="n"/>
      <c r="L153" s="41">
        <f>IF(G153="","",IF(G153="Tetap","Selesai",IF(J153="","Terbuka","Selesai")))</f>
        <v/>
      </c>
    </row>
    <row r="154" ht="15" customHeight="1" s="2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2" t="n"/>
      <c r="J154" s="42" t="n"/>
      <c r="K154" s="40" t="n"/>
      <c r="L154" s="41">
        <f>IF(G154="","",IF(G154="Tetap","Selesai",IF(J154="","Terbuka","Selesai")))</f>
        <v/>
      </c>
    </row>
    <row r="155" ht="15" customHeight="1" s="24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2" t="n"/>
      <c r="J155" s="42" t="n"/>
      <c r="K155" s="40" t="n"/>
      <c r="L155" s="41">
        <f>IF(G155="","",IF(G155="Tetap","Selesai",IF(J155="","Terbuka","Selesai")))</f>
        <v/>
      </c>
    </row>
    <row r="156" ht="15" customHeight="1" s="24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2" t="n"/>
      <c r="J156" s="42" t="n"/>
      <c r="K156" s="40" t="n"/>
      <c r="L156" s="41">
        <f>IF(G156="","",IF(G156="Tetap","Selesai",IF(J156="","Terbuka","Selesai")))</f>
        <v/>
      </c>
    </row>
    <row r="157" ht="15" customHeight="1" s="24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2" t="n"/>
      <c r="J157" s="42" t="n"/>
      <c r="K157" s="40" t="n"/>
      <c r="L157" s="41">
        <f>IF(G157="","",IF(G157="Tetap","Selesai",IF(J157="","Terbuka","Selesai")))</f>
        <v/>
      </c>
    </row>
    <row r="158" ht="15" customHeight="1" s="24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2" t="n"/>
      <c r="J158" s="42" t="n"/>
      <c r="K158" s="40" t="n"/>
      <c r="L158" s="41">
        <f>IF(G158="","",IF(G158="Tetap","Selesai",IF(J158="","Terbuka","Selesai")))</f>
        <v/>
      </c>
    </row>
    <row r="159" ht="15" customHeight="1" s="24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2" t="n"/>
      <c r="J159" s="42" t="n"/>
      <c r="K159" s="40" t="n"/>
      <c r="L159" s="41">
        <f>IF(G159="","",IF(G159="Tetap","Selesai",IF(J159="","Terbuka","Selesai")))</f>
        <v/>
      </c>
    </row>
    <row r="160" ht="15" customHeight="1" s="24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2" t="n"/>
      <c r="J160" s="42" t="n"/>
      <c r="K160" s="40" t="n"/>
      <c r="L160" s="41">
        <f>IF(G160="","",IF(G160="Tetap","Selesai",IF(J160="","Terbuka","Selesai")))</f>
        <v/>
      </c>
    </row>
    <row r="161" ht="15" customHeight="1" s="24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2" t="n"/>
      <c r="J161" s="42" t="n"/>
      <c r="K161" s="40" t="n"/>
      <c r="L161" s="41">
        <f>IF(G161="","",IF(G161="Tetap","Selesai",IF(J161="","Terbuka","Selesai")))</f>
        <v/>
      </c>
    </row>
    <row r="162" ht="15" customHeight="1" s="24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2" t="n"/>
      <c r="J162" s="42" t="n"/>
      <c r="K162" s="40" t="n"/>
      <c r="L162" s="41">
        <f>IF(G162="","",IF(G162="Tetap","Selesai",IF(J162="","Terbuka","Selesai")))</f>
        <v/>
      </c>
    </row>
    <row r="163" ht="15" customHeight="1" s="24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2" t="n"/>
      <c r="J163" s="42" t="n"/>
      <c r="K163" s="40" t="n"/>
      <c r="L163" s="41">
        <f>IF(G163="","",IF(G163="Tetap","Selesai",IF(J163="","Terbuka","Selesai")))</f>
        <v/>
      </c>
    </row>
    <row r="164" ht="15" customHeight="1" s="2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2" t="n"/>
      <c r="J164" s="42" t="n"/>
      <c r="K164" s="40" t="n"/>
      <c r="L164" s="41">
        <f>IF(G164="","",IF(G164="Tetap","Selesai",IF(J164="","Terbuka","Selesai")))</f>
        <v/>
      </c>
    </row>
    <row r="165" ht="15" customHeight="1" s="24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2" t="n"/>
      <c r="J165" s="42" t="n"/>
      <c r="K165" s="40" t="n"/>
      <c r="L165" s="41">
        <f>IF(G165="","",IF(G165="Tetap","Selesai",IF(J165="","Terbuka","Selesai")))</f>
        <v/>
      </c>
    </row>
    <row r="166" ht="15" customHeight="1" s="24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2" t="n"/>
      <c r="J166" s="42" t="n"/>
      <c r="K166" s="40" t="n"/>
      <c r="L166" s="41">
        <f>IF(G166="","",IF(G166="Tetap","Selesai",IF(J166="","Terbuka","Selesai")))</f>
        <v/>
      </c>
    </row>
    <row r="167" ht="15" customHeight="1" s="24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2" t="n"/>
      <c r="J167" s="42" t="n"/>
      <c r="K167" s="40" t="n"/>
      <c r="L167" s="41">
        <f>IF(G167="","",IF(G167="Tetap","Selesai",IF(J167="","Terbuka","Selesai")))</f>
        <v/>
      </c>
    </row>
    <row r="168" ht="15" customHeight="1" s="24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2" t="n"/>
      <c r="J168" s="42" t="n"/>
      <c r="K168" s="40" t="n"/>
      <c r="L168" s="41">
        <f>IF(G168="","",IF(G168="Tetap","Selesai",IF(J168="","Terbuka","Selesai")))</f>
        <v/>
      </c>
    </row>
    <row r="169" ht="15" customHeight="1" s="24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2" t="n"/>
      <c r="J169" s="42" t="n"/>
      <c r="K169" s="40" t="n"/>
      <c r="L169" s="41">
        <f>IF(G169="","",IF(G169="Tetap","Selesai",IF(J169="","Terbuka","Selesai")))</f>
        <v/>
      </c>
    </row>
    <row r="170" ht="15" customHeight="1" s="24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2" t="n"/>
      <c r="J170" s="42" t="n"/>
      <c r="K170" s="40" t="n"/>
      <c r="L170" s="41">
        <f>IF(G170="","",IF(G170="Tetap","Selesai",IF(J170="","Terbuka","Selesai")))</f>
        <v/>
      </c>
    </row>
    <row r="171" ht="15" customHeight="1" s="24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2" t="n"/>
      <c r="J171" s="42" t="n"/>
      <c r="K171" s="40" t="n"/>
      <c r="L171" s="41">
        <f>IF(G171="","",IF(G171="Tetap","Selesai",IF(J171="","Terbuka","Selesai")))</f>
        <v/>
      </c>
    </row>
    <row r="172" ht="15" customHeight="1" s="24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2" t="n"/>
      <c r="J172" s="42" t="n"/>
      <c r="K172" s="40" t="n"/>
      <c r="L172" s="41">
        <f>IF(G172="","",IF(G172="Tetap","Selesai",IF(J172="","Terbuka","Selesai")))</f>
        <v/>
      </c>
    </row>
    <row r="173" ht="15" customHeight="1" s="24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2" t="n"/>
      <c r="J173" s="42" t="n"/>
      <c r="K173" s="40" t="n"/>
      <c r="L173" s="41">
        <f>IF(G173="","",IF(G173="Tetap","Selesai",IF(J173="","Terbuka","Selesai")))</f>
        <v/>
      </c>
    </row>
    <row r="174" ht="15" customHeight="1" s="2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2" t="n"/>
      <c r="J174" s="42" t="n"/>
      <c r="K174" s="40" t="n"/>
      <c r="L174" s="41">
        <f>IF(G174="","",IF(G174="Tetap","Selesai",IF(J174="","Terbuka","Selesai")))</f>
        <v/>
      </c>
    </row>
    <row r="175" ht="15" customHeight="1" s="24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2" t="n"/>
      <c r="J175" s="42" t="n"/>
      <c r="K175" s="40" t="n"/>
      <c r="L175" s="41">
        <f>IF(G175="","",IF(G175="Tetap","Selesai",IF(J175="","Terbuka","Selesai")))</f>
        <v/>
      </c>
    </row>
    <row r="176" ht="15" customHeight="1" s="24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2" t="n"/>
      <c r="J176" s="42" t="n"/>
      <c r="K176" s="40" t="n"/>
      <c r="L176" s="41">
        <f>IF(G176="","",IF(G176="Tetap","Selesai",IF(J176="","Terbuka","Selesai")))</f>
        <v/>
      </c>
    </row>
    <row r="177" ht="15" customHeight="1" s="24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2" t="n"/>
      <c r="J177" s="42" t="n"/>
      <c r="K177" s="40" t="n"/>
      <c r="L177" s="41">
        <f>IF(G177="","",IF(G177="Tetap","Selesai",IF(J177="","Terbuka","Selesai")))</f>
        <v/>
      </c>
    </row>
    <row r="178" ht="15" customHeight="1" s="24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2" t="n"/>
      <c r="J178" s="42" t="n"/>
      <c r="K178" s="40" t="n"/>
      <c r="L178" s="41">
        <f>IF(G178="","",IF(G178="Tetap","Selesai",IF(J178="","Terbuka","Selesai")))</f>
        <v/>
      </c>
    </row>
    <row r="179" ht="15" customHeight="1" s="24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2" t="n"/>
      <c r="J179" s="42" t="n"/>
      <c r="K179" s="40" t="n"/>
      <c r="L179" s="41">
        <f>IF(G179="","",IF(G179="Tetap","Selesai",IF(J179="","Terbuka","Selesai")))</f>
        <v/>
      </c>
    </row>
    <row r="180" ht="15" customHeight="1" s="24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2" t="n"/>
      <c r="J180" s="42" t="n"/>
      <c r="K180" s="40" t="n"/>
      <c r="L180" s="41">
        <f>IF(G180="","",IF(G180="Tetap","Selesai",IF(J180="","Terbuka","Selesai")))</f>
        <v/>
      </c>
    </row>
    <row r="181" ht="15" customHeight="1" s="24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2" t="n"/>
      <c r="J181" s="42" t="n"/>
      <c r="K181" s="40" t="n"/>
      <c r="L181" s="41">
        <f>IF(G181="","",IF(G181="Tetap","Selesai",IF(J181="","Terbuka","Selesai")))</f>
        <v/>
      </c>
    </row>
    <row r="182" ht="15" customHeight="1" s="24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2" t="n"/>
      <c r="J182" s="42" t="n"/>
      <c r="K182" s="40" t="n"/>
      <c r="L182" s="41">
        <f>IF(G182="","",IF(G182="Tetap","Selesai",IF(J182="","Terbuka","Selesai")))</f>
        <v/>
      </c>
    </row>
    <row r="183" ht="15" customHeight="1" s="24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2" t="n"/>
      <c r="J183" s="42" t="n"/>
      <c r="K183" s="40" t="n"/>
      <c r="L183" s="41">
        <f>IF(G183="","",IF(G183="Tetap","Selesai",IF(J183="","Terbuka","Selesai")))</f>
        <v/>
      </c>
    </row>
    <row r="184" ht="15" customHeight="1" s="2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2" t="n"/>
      <c r="J184" s="42" t="n"/>
      <c r="K184" s="40" t="n"/>
      <c r="L184" s="41">
        <f>IF(G184="","",IF(G184="Tetap","Selesai",IF(J184="","Terbuka","Selesai")))</f>
        <v/>
      </c>
    </row>
    <row r="185" ht="15" customHeight="1" s="24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2" t="n"/>
      <c r="J185" s="42" t="n"/>
      <c r="K185" s="40" t="n"/>
      <c r="L185" s="41">
        <f>IF(G185="","",IF(G185="Tetap","Selesai",IF(J185="","Terbuka","Selesai")))</f>
        <v/>
      </c>
    </row>
    <row r="186" ht="15" customHeight="1" s="24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2" t="n"/>
      <c r="J186" s="42" t="n"/>
      <c r="K186" s="40" t="n"/>
      <c r="L186" s="41">
        <f>IF(G186="","",IF(G186="Tetap","Selesai",IF(J186="","Terbuka","Selesai")))</f>
        <v/>
      </c>
    </row>
    <row r="187" ht="15" customHeight="1" s="24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2" t="n"/>
      <c r="J187" s="42" t="n"/>
      <c r="K187" s="40" t="n"/>
      <c r="L187" s="41">
        <f>IF(G187="","",IF(G187="Tetap","Selesai",IF(J187="","Terbuka","Selesai")))</f>
        <v/>
      </c>
    </row>
    <row r="188" ht="15" customHeight="1" s="24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2" t="n"/>
      <c r="J188" s="42" t="n"/>
      <c r="K188" s="40" t="n"/>
      <c r="L188" s="41">
        <f>IF(G188="","",IF(G188="Tetap","Selesai",IF(J188="","Terbuka","Selesai")))</f>
        <v/>
      </c>
    </row>
    <row r="189" ht="15" customHeight="1" s="24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2" t="n"/>
      <c r="J189" s="42" t="n"/>
      <c r="K189" s="40" t="n"/>
      <c r="L189" s="41">
        <f>IF(G189="","",IF(G189="Tetap","Selesai",IF(J189="","Terbuka","Selesai")))</f>
        <v/>
      </c>
    </row>
    <row r="190" ht="15" customHeight="1" s="24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2" t="n"/>
      <c r="J190" s="42" t="n"/>
      <c r="K190" s="40" t="n"/>
      <c r="L190" s="41">
        <f>IF(G190="","",IF(G190="Tetap","Selesai",IF(J190="","Terbuka","Selesai")))</f>
        <v/>
      </c>
    </row>
    <row r="191" ht="15" customHeight="1" s="24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2" t="n"/>
      <c r="J191" s="42" t="n"/>
      <c r="K191" s="40" t="n"/>
      <c r="L191" s="41">
        <f>IF(G191="","",IF(G191="Tetap","Selesai",IF(J191="","Terbuka","Selesai")))</f>
        <v/>
      </c>
    </row>
    <row r="192" ht="15" customHeight="1" s="24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2" t="n"/>
      <c r="J192" s="42" t="n"/>
      <c r="K192" s="40" t="n"/>
      <c r="L192" s="41">
        <f>IF(G192="","",IF(G192="Tetap","Selesai",IF(J192="","Terbuka","Selesai")))</f>
        <v/>
      </c>
    </row>
    <row r="193" ht="15" customHeight="1" s="24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2" t="n"/>
      <c r="J193" s="42" t="n"/>
      <c r="K193" s="40" t="n"/>
      <c r="L193" s="41">
        <f>IF(G193="","",IF(G193="Tetap","Selesai",IF(J193="","Terbuka","Selesai")))</f>
        <v/>
      </c>
    </row>
    <row r="194" ht="15" customHeight="1" s="2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2" t="n"/>
      <c r="J194" s="42" t="n"/>
      <c r="K194" s="40" t="n"/>
      <c r="L194" s="41">
        <f>IF(G194="","",IF(G194="Tetap","Selesai",IF(J194="","Terbuka","Selesai")))</f>
        <v/>
      </c>
    </row>
    <row r="195" ht="15" customHeight="1" s="24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2" t="n"/>
      <c r="J195" s="42" t="n"/>
      <c r="K195" s="40" t="n"/>
      <c r="L195" s="41">
        <f>IF(G195="","",IF(G195="Tetap","Selesai",IF(J195="","Terbuka","Selesai")))</f>
        <v/>
      </c>
    </row>
    <row r="196" ht="15" customHeight="1" s="24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2" t="n"/>
      <c r="J196" s="42" t="n"/>
      <c r="K196" s="40" t="n"/>
      <c r="L196" s="41">
        <f>IF(G196="","",IF(G196="Tetap","Selesai",IF(J196="","Terbuka","Selesai")))</f>
        <v/>
      </c>
    </row>
    <row r="197" ht="15" customHeight="1" s="24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2" t="n"/>
      <c r="J197" s="42" t="n"/>
      <c r="K197" s="40" t="n"/>
      <c r="L197" s="41">
        <f>IF(G197="","",IF(G197="Tetap","Selesai",IF(J197="","Terbuka","Selesai")))</f>
        <v/>
      </c>
    </row>
    <row r="198" ht="15" customHeight="1" s="24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2" t="n"/>
      <c r="J198" s="42" t="n"/>
      <c r="K198" s="40" t="n"/>
      <c r="L198" s="41">
        <f>IF(G198="","",IF(G198="Tetap","Selesai",IF(J198="","Terbuka","Selesai")))</f>
        <v/>
      </c>
    </row>
    <row r="199" ht="15" customHeight="1" s="24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2" t="n"/>
      <c r="J199" s="42" t="n"/>
      <c r="K199" s="40" t="n"/>
      <c r="L199" s="41">
        <f>IF(G199="","",IF(G199="Tetap","Selesai",IF(J199="","Terbuka","Selesai")))</f>
        <v/>
      </c>
    </row>
    <row r="200" ht="15" customHeight="1" s="24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2" t="n"/>
      <c r="J200" s="42" t="n"/>
      <c r="K200" s="40" t="n"/>
      <c r="L200" s="41">
        <f>IF(G200="","",IF(G200="Tetap","Selesai",IF(J200="","Terbuka","Selesai")))</f>
        <v/>
      </c>
    </row>
    <row r="201" ht="15" customHeight="1" s="24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2" t="n"/>
      <c r="J201" s="42" t="n"/>
      <c r="K201" s="40" t="n"/>
      <c r="L201" s="41">
        <f>IF(G201="","",IF(G201="Tetap","Selesai",IF(J201="","Terbuka","Selesai")))</f>
        <v/>
      </c>
    </row>
    <row r="202" ht="15" customHeight="1" s="24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2" t="n"/>
      <c r="J202" s="42" t="n"/>
      <c r="K202" s="40" t="n"/>
      <c r="L202" s="41">
        <f>IF(G202="","",IF(G202="Tetap","Selesai",IF(J202="","Terbuka","Selesai")))</f>
        <v/>
      </c>
    </row>
    <row r="203" ht="15" customHeight="1" s="24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2" t="n"/>
      <c r="J203" s="42" t="n"/>
      <c r="K203" s="40" t="n"/>
      <c r="L203" s="41">
        <f>IF(G203="","",IF(G203="Tetap","Selesai",IF(J203="","Terbuka","Selesai")))</f>
        <v/>
      </c>
    </row>
    <row r="204" ht="15" customHeight="1" s="2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2" t="n"/>
      <c r="J204" s="42" t="n"/>
      <c r="K204" s="40" t="n"/>
      <c r="L204" s="41">
        <f>IF(G204="","",IF(G204="Tetap","Selesai",IF(J204="","Terbuka","Selesai")))</f>
        <v/>
      </c>
    </row>
    <row r="205" ht="15" customHeight="1" s="24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2" t="n"/>
      <c r="J205" s="42" t="n"/>
      <c r="K205" s="40" t="n"/>
      <c r="L205" s="41">
        <f>IF(G205="","",IF(G205="Tetap","Selesai",IF(J205="","Terbuka","Selesai")))</f>
        <v/>
      </c>
    </row>
  </sheetData>
  <autoFilter ref="A4:L205"/>
  <conditionalFormatting sqref="L5:L205">
    <cfRule type="cellIs" rank="0" priority="2" equalAverage="0" operator="equal" aboveAverage="0" dxfId="7" text="" percent="0" bottom="0">
      <formula>"Selesai"</formula>
    </cfRule>
    <cfRule type="cellIs" rank="0" priority="3" equalAverage="0" operator="equal" aboveAverage="0" dxfId="8" text="" percent="0" bottom="0">
      <formula>"Terbuka"</formula>
    </cfRule>
  </conditionalFormatting>
  <dataValidations count="1">
    <dataValidation sqref="G5:G205" showDropDown="0" showInputMessage="0" showErrorMessage="0" allowBlank="1" type="list" errorStyle="stop" operator="between">
      <formula1>Daftar!$E$2:$E$4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3" min="1" max="1"/>
    <col width="12" customWidth="1" style="23" min="2" max="2"/>
  </cols>
  <sheetData>
    <row r="1" ht="16.15" customHeight="1" s="24">
      <c r="A1" s="37" t="inlineStr">
        <is>
          <t>Ringkasan akses</t>
        </is>
      </c>
    </row>
    <row r="3" ht="15" customHeight="1" s="24">
      <c r="A3" s="33" t="inlineStr">
        <is>
          <t>Akun aktif</t>
        </is>
      </c>
      <c r="B3" s="34">
        <f>COUNTIF('Register Akses'!$O$5:$O$256,"Aktif")</f>
        <v/>
      </c>
    </row>
    <row r="4" ht="15" customHeight="1" s="24">
      <c r="A4" s="33" t="inlineStr">
        <is>
          <t>Akun privileged aktif</t>
        </is>
      </c>
      <c r="B4" s="34">
        <f>COUNTIFS('Register Akses'!$H$5:$H$256,"Ya",'Register Akses'!$O$5:$O$256,"Aktif")</f>
        <v/>
      </c>
    </row>
    <row r="5" ht="15" customHeight="1" s="24">
      <c r="A5" s="33" t="inlineStr">
        <is>
          <t>Akun aktif tanpa MFA</t>
        </is>
      </c>
      <c r="B5" s="34">
        <f>COUNTIFS('Register Akses'!$I$5:$I$256,"Tidak",'Register Akses'!$O$5:$O$256,"Aktif")</f>
        <v/>
      </c>
    </row>
    <row r="6" ht="15" customHeight="1" s="24">
      <c r="A6" s="33" t="inlineStr">
        <is>
          <t>Harus dicabut (personel keluar)</t>
        </is>
      </c>
      <c r="B6" s="34">
        <f>COUNTIF('Register Akses'!$R$5:$R$256,"CABUT")</f>
        <v/>
      </c>
    </row>
    <row r="7" ht="15" customHeight="1" s="24">
      <c r="A7" s="33" t="inlineStr">
        <is>
          <t>Kedaluwarsa masih aktif</t>
        </is>
      </c>
      <c r="B7" s="34">
        <f>COUNTIF('Register Akses'!$R$5:$R$256,"KEDALUWARSA")</f>
        <v/>
      </c>
    </row>
    <row r="8" ht="15" customHeight="1" s="24">
      <c r="A8" s="33" t="inlineStr">
        <is>
          <t>Review terlambat</t>
        </is>
      </c>
      <c r="B8" s="34">
        <f>COUNTIF('Register Akses'!$R$5:$R$256,"REVIEW")</f>
        <v/>
      </c>
    </row>
    <row r="9" ht="15" customHeight="1" s="24">
      <c r="A9" s="33" t="inlineStr">
        <is>
          <t>Temuan review terbuka</t>
        </is>
      </c>
      <c r="B9" s="34">
        <f>COUNTIF('Review Periodik'!$L$5:$L$205,"Terbuka")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2026-10-13T06:09:07Z</dcterms:created>
  <dcterms:modified xmlns:dcterms="http://purl.org/dc/terms/" xmlns:xsi="http://www.w3.org/2001/XMLSchema-instance" xsi:type="dcterms:W3CDTF">2026-10-14T22:02:11Z</dcterms:modified>
  <cp:revision>0</cp:revision>
</cp:coreProperties>
</file>