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Register Aset" sheetId="4" state="visible" r:id="rId4"/>
    <sheet xmlns:r="http://schemas.openxmlformats.org/officeDocument/2006/relationships" name="Pemusnahan" sheetId="5" state="visible" r:id="rId5"/>
  </sheets>
  <definedNames>
    <definedName name="_xlnm.Print_Titles" localSheetId="2">'Daftar'!$1:$1</definedName>
    <definedName name="_xlnm._FilterDatabase" localSheetId="3" hidden="1">'Register Aset'!$A$4:$V$216</definedName>
    <definedName name="_xlnm.Print_Titles" localSheetId="3">'Register Aset'!$4:$4</definedName>
    <definedName name="_xlnm._FilterDatabase" localSheetId="4" hidden="1">'Pemusnahan'!$A$4:$I$44</definedName>
    <definedName name="_xlnm.Print_Titles" localSheetId="4">'Pemusnahan'!$4:$4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70920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27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1"/>
    <col width="70" customWidth="1" style="23" min="2" max="2"/>
    <col width="30" customWidth="1" style="23" min="3" max="3"/>
    <col width="22" customWidth="1" style="23" min="4" max="4"/>
    <col width="14" customWidth="1" style="23" min="5" max="5"/>
  </cols>
  <sheetData>
    <row r="1" ht="18.55" customHeight="1" s="24">
      <c r="A1" s="25" t="inlineStr">
        <is>
          <t>Information Asset Register</t>
        </is>
      </c>
    </row>
    <row r="2" ht="15" customHeight="1" s="24">
      <c r="A2" s="26" t="inlineStr">
        <is>
          <t>PT Strategi Integrasi Nusantara (SINUX) · Divisi Operation</t>
        </is>
      </c>
    </row>
    <row r="3" s="24">
      <c r="A3" s="44" t="n"/>
      <c r="B3" s="44" t="n"/>
      <c r="C3" s="44" t="n"/>
      <c r="D3" s="44" t="n"/>
      <c r="E3" s="44" t="n"/>
    </row>
    <row r="4" ht="16.5" customHeight="1" s="24">
      <c r="A4" s="45" t="inlineStr">
        <is>
          <t>Nomor dokumen</t>
        </is>
      </c>
      <c r="B4" s="28" t="inlineStr">
        <is>
          <t>SNX-ISMS-REG-01</t>
        </is>
      </c>
      <c r="C4" s="44" t="n"/>
      <c r="D4" s="44" t="n"/>
      <c r="E4" s="44" t="n"/>
    </row>
    <row r="5" ht="16.5" customHeight="1" s="24">
      <c r="A5" s="45" t="inlineStr">
        <is>
          <t>Judul</t>
        </is>
      </c>
      <c r="B5" s="28" t="inlineStr">
        <is>
          <t>Information Asset Register</t>
        </is>
      </c>
      <c r="C5" s="44" t="n"/>
      <c r="D5" s="44" t="n"/>
      <c r="E5" s="44" t="n"/>
    </row>
    <row r="6" ht="16.5" customHeight="1" s="24">
      <c r="A6" s="45" t="inlineStr">
        <is>
          <t>Revisi</t>
        </is>
      </c>
      <c r="B6" s="28" t="inlineStr">
        <is>
          <t>00 (DRAFT)</t>
        </is>
      </c>
      <c r="C6" s="44" t="n"/>
      <c r="D6" s="44" t="n"/>
      <c r="E6" s="44" t="n"/>
    </row>
    <row r="7" ht="16.5" customHeight="1" s="24">
      <c r="A7" s="45" t="inlineStr">
        <is>
          <t>Tanggal draft</t>
        </is>
      </c>
      <c r="B7" s="28" t="inlineStr">
        <is>
          <t>13 Oktober 2026</t>
        </is>
      </c>
      <c r="C7" s="44" t="n"/>
      <c r="D7" s="44" t="n"/>
      <c r="E7" s="44" t="n"/>
    </row>
    <row r="8" ht="16.5" customHeight="1" s="24">
      <c r="A8" s="45" t="inlineStr">
        <is>
          <t>Tanggal efektif</t>
        </is>
      </c>
      <c r="B8" s="28" t="inlineStr">
        <is>
          <t>Ditetapkan saat pengesahan</t>
        </is>
      </c>
      <c r="C8" s="44" t="n"/>
      <c r="D8" s="44" t="n"/>
      <c r="E8" s="44" t="n"/>
    </row>
    <row r="9" ht="16.5" customHeight="1" s="24">
      <c r="A9" s="45" t="inlineStr">
        <is>
          <t>Klasifikasi</t>
        </is>
      </c>
      <c r="B9" s="28" t="inlineStr">
        <is>
          <t>RESTRICTED (Internal)</t>
        </is>
      </c>
      <c r="C9" s="44" t="n"/>
      <c r="D9" s="44" t="n"/>
      <c r="E9" s="44" t="n"/>
    </row>
    <row r="10" ht="16.5" customHeight="1" s="24">
      <c r="A10" s="45" t="inlineStr">
        <is>
          <t>Pemilik dokumen</t>
        </is>
      </c>
      <c r="B10" s="28" t="inlineStr">
        <is>
          <t>Head of Operation</t>
        </is>
      </c>
      <c r="C10" s="44" t="n"/>
      <c r="D10" s="44" t="n"/>
      <c r="E10" s="44" t="n"/>
    </row>
    <row r="11" ht="16.5" customHeight="1" s="24">
      <c r="A11" s="45" t="inlineStr">
        <is>
          <t>Disetujui oleh</t>
        </is>
      </c>
      <c r="B11" s="28" t="inlineStr">
        <is>
          <t>Samuel Kristanto Utomo / President Director</t>
        </is>
      </c>
      <c r="C11" s="44" t="n"/>
      <c r="D11" s="44" t="n"/>
      <c r="E11" s="44" t="n"/>
    </row>
    <row r="12" ht="30" customHeight="1" s="24">
      <c r="A12" s="45" t="inlineStr">
        <is>
          <t>Acuan ISO 9001:2015</t>
        </is>
      </c>
      <c r="B12" s="28" t="inlineStr">
        <is>
          <t>Klausul 7.1.3</t>
        </is>
      </c>
      <c r="C12" s="44" t="n"/>
      <c r="D12" s="44" t="n"/>
      <c r="E12" s="44" t="n"/>
    </row>
    <row r="13" ht="30" customHeight="1" s="24">
      <c r="A13" s="45" t="inlineStr">
        <is>
          <t>Acuan ISO/IEC 27001:2022</t>
        </is>
      </c>
      <c r="B13" s="28" t="inlineStr">
        <is>
          <t>Kontrol Annex A 5.9, 5.10, 5.11, 5.12</t>
        </is>
      </c>
      <c r="C13" s="44" t="n"/>
      <c r="D13" s="44" t="n"/>
      <c r="E13" s="44" t="n"/>
    </row>
    <row r="14" ht="30" customHeight="1" s="24">
      <c r="A14" s="45" t="inlineStr">
        <is>
          <t>Masa simpan record</t>
        </is>
      </c>
      <c r="B14" s="28" t="inlineStr">
        <is>
          <t>Register Aset: berlaku sampai digantikan. Berita acara di sheet Pemusnahan: 5 tahun (SNX-ISMS-SOP-04).</t>
        </is>
      </c>
      <c r="C14" s="44" t="n"/>
      <c r="D14" s="44" t="n"/>
      <c r="E14" s="44" t="n"/>
    </row>
    <row r="15" ht="43.5" customHeight="1" s="24">
      <c r="A15" s="45" t="inlineStr">
        <is>
          <t>Tujuan</t>
        </is>
      </c>
      <c r="B15" s="28" t="inlineStr">
        <is>
          <t>Mencatat aset informasi dan aset TI beserta pemilik, klasifikasi, nilai CIA, status konfigurasi, dan siklus hidupnya.</t>
        </is>
      </c>
      <c r="C15" s="44" t="n"/>
      <c r="D15" s="44" t="n"/>
      <c r="E15" s="44" t="n"/>
    </row>
    <row r="16" s="24">
      <c r="A16" s="44" t="n"/>
      <c r="B16" s="44" t="n"/>
      <c r="C16" s="44" t="n"/>
      <c r="D16" s="44" t="n"/>
      <c r="E16" s="44" t="n"/>
    </row>
    <row r="17" ht="16.5" customHeight="1" s="24">
      <c r="A17" s="46" t="inlineStr">
        <is>
          <t>Cara pakai</t>
        </is>
      </c>
      <c r="B17" s="44" t="n"/>
      <c r="C17" s="44" t="n"/>
      <c r="D17" s="44" t="n"/>
      <c r="E17" s="44" t="n"/>
    </row>
    <row r="18" ht="30" customHeight="1" s="24">
      <c r="A18" s="31" t="inlineStr">
        <is>
          <t>1.</t>
        </is>
      </c>
      <c r="B18" s="31" t="inlineStr">
        <is>
          <t>Daftarkan setiap aset baru paling lambat saat aset mulai dipakai. Aset pelanggan wajib terdaftar sebelum gate G3.</t>
        </is>
      </c>
      <c r="C18" s="44" t="n"/>
      <c r="D18" s="44" t="n"/>
      <c r="E18" s="44" t="n"/>
    </row>
    <row r="19" ht="30" customHeight="1" s="24">
      <c r="A19" s="31" t="inlineStr">
        <is>
          <t>2.</t>
        </is>
      </c>
      <c r="B19" s="31" t="inlineStr">
        <is>
          <t>Isi nilai C, I, dan A dengan skala 1 (rendah) sampai 3 (tinggi). Nilai aset dan kritikalitas terisi otomatis.</t>
        </is>
      </c>
      <c r="C19" s="44" t="n"/>
      <c r="D19" s="44" t="n"/>
      <c r="E19" s="44" t="n"/>
    </row>
    <row r="20" ht="30" customHeight="1" s="24">
      <c r="A20" s="31" t="inlineStr">
        <is>
          <t>3.</t>
        </is>
      </c>
      <c r="B20" s="31" t="inlineStr">
        <is>
          <t>Isi kolom CI dengan Ya untuk aset yang konfigurasinya dikendalikan, lalu isi Acuan baseline.</t>
        </is>
      </c>
      <c r="C20" s="44" t="n"/>
      <c r="D20" s="44" t="n"/>
      <c r="E20" s="44" t="n"/>
    </row>
    <row r="21" ht="30" customHeight="1" s="24">
      <c r="A21" s="31" t="inlineStr">
        <is>
          <t>4.</t>
        </is>
      </c>
      <c r="B21" s="31" t="inlineStr">
        <is>
          <t>Kolom Review berikutnya terisi otomatis, 6 bulan setelah Review terakhir. Baris merah menandakan review terlambat.</t>
        </is>
      </c>
      <c r="C21" s="44" t="n"/>
      <c r="D21" s="44" t="n"/>
      <c r="E21" s="44" t="n"/>
    </row>
    <row r="22" ht="43.5" customHeight="1" s="24">
      <c r="A22" s="31" t="inlineStr">
        <is>
          <t>5.</t>
        </is>
      </c>
      <c r="B22" s="31" t="inlineStr">
        <is>
          <t>IP address dan detail teknis sensitif boleh dicatat di register ini karena klasifikasinya RESTRICTED. Kredensial tidak boleh dicatat.</t>
        </is>
      </c>
      <c r="C22" s="44" t="n"/>
      <c r="D22" s="44" t="n"/>
      <c r="E22" s="44" t="n"/>
    </row>
    <row r="23" ht="23.85" customHeight="1" s="24">
      <c r="A23" s="31" t="n"/>
      <c r="B23" s="31" t="n"/>
      <c r="C23" s="44" t="n"/>
      <c r="D23" s="44" t="n"/>
      <c r="E23" s="44" t="n"/>
    </row>
    <row r="24" s="24">
      <c r="A24" s="44" t="n"/>
      <c r="B24" s="44" t="n"/>
      <c r="C24" s="44" t="n"/>
      <c r="D24" s="44" t="n"/>
      <c r="E24" s="44" t="n"/>
    </row>
    <row r="25" ht="16.5" customHeight="1" s="24">
      <c r="A25" s="46" t="inlineStr">
        <is>
          <t>Legenda warna</t>
        </is>
      </c>
      <c r="B25" s="44" t="n"/>
      <c r="C25" s="44" t="n"/>
      <c r="D25" s="44" t="n"/>
      <c r="E25" s="44" t="n"/>
    </row>
    <row r="26" ht="16.5" customHeight="1" s="24">
      <c r="A26" s="47" t="n"/>
      <c r="B26" s="31" t="inlineStr">
        <is>
          <t>Sel input: diisi pengguna</t>
        </is>
      </c>
      <c r="C26" s="44" t="n"/>
      <c r="D26" s="44" t="n"/>
      <c r="E26" s="44" t="n"/>
    </row>
    <row r="27" ht="15" customHeight="1" s="24">
      <c r="A27" s="48" t="n"/>
      <c r="B27" s="31" t="n"/>
      <c r="C27" s="44" t="n"/>
      <c r="D27" s="44" t="n"/>
      <c r="E27" s="44" t="n"/>
    </row>
    <row r="28" ht="16.5" customHeight="1" s="24">
      <c r="A28" s="49" t="n"/>
      <c r="B28" s="31" t="inlineStr">
        <is>
          <t>Sel rumus: jangan diubah</t>
        </is>
      </c>
      <c r="C28" s="44" t="n"/>
      <c r="D28" s="44" t="n"/>
      <c r="E28" s="44" t="n"/>
    </row>
    <row r="29" s="24">
      <c r="A29" s="44" t="n"/>
      <c r="B29" s="44" t="n"/>
      <c r="C29" s="44" t="n"/>
      <c r="D29" s="44" t="n"/>
      <c r="E29" s="44" t="n"/>
    </row>
    <row r="30" ht="16.5" customHeight="1" s="24">
      <c r="A30" s="46" t="inlineStr">
        <is>
          <t>Riwayat revisi</t>
        </is>
      </c>
      <c r="B30" s="44" t="n"/>
      <c r="C30" s="44" t="n"/>
      <c r="D30" s="44" t="n"/>
      <c r="E30" s="44" t="n"/>
    </row>
    <row r="31" ht="16.5" customHeight="1" s="24">
      <c r="A31" s="39" t="inlineStr">
        <is>
          <t>Revisi</t>
        </is>
      </c>
      <c r="B31" s="39" t="inlineStr">
        <is>
          <t>Tanggal</t>
        </is>
      </c>
      <c r="C31" s="39" t="inlineStr">
        <is>
          <t>Uraian perubahan</t>
        </is>
      </c>
      <c r="D31" s="39" t="inlineStr">
        <is>
          <t>Disusun</t>
        </is>
      </c>
      <c r="E31" s="39" t="inlineStr">
        <is>
          <t>Disetujui</t>
        </is>
      </c>
    </row>
    <row r="32" ht="30" customHeight="1" s="24">
      <c r="A32" s="28" t="inlineStr">
        <is>
          <t>00</t>
        </is>
      </c>
      <c r="B32" s="28" t="inlineStr">
        <is>
          <t>13 Oktober 2026</t>
        </is>
      </c>
      <c r="C32" s="28" t="inlineStr">
        <is>
          <t>Draft awal untuk review dan pengesahan</t>
        </is>
      </c>
      <c r="D32" s="28" t="inlineStr">
        <is>
          <t>Divisi Operation</t>
        </is>
      </c>
      <c r="E32" s="28" t="inlineStr">
        <is>
          <t>Menunggu</t>
        </is>
      </c>
    </row>
    <row r="33" ht="57.45" customHeight="1" s="24">
      <c r="A33" s="28" t="n"/>
      <c r="B33" s="28" t="n"/>
      <c r="C33" s="28" t="n"/>
      <c r="D33" s="28" t="n"/>
      <c r="E33" s="28" t="n"/>
    </row>
    <row r="34" s="24">
      <c r="A34" s="44" t="n"/>
      <c r="B34" s="44" t="n"/>
      <c r="C34" s="44" t="n"/>
      <c r="D34" s="44" t="n"/>
      <c r="E34" s="44" t="n"/>
    </row>
    <row r="35" ht="16.5" customHeight="1" s="24">
      <c r="A35" s="46" t="inlineStr">
        <is>
          <t>Pengesahan</t>
        </is>
      </c>
      <c r="B35" s="44" t="n"/>
      <c r="C35" s="44" t="n"/>
      <c r="D35" s="44" t="n"/>
      <c r="E35" s="44" t="n"/>
    </row>
    <row r="36" ht="16.5" customHeight="1" s="24">
      <c r="A36" s="39" t="inlineStr">
        <is>
          <t>Peran</t>
        </is>
      </c>
      <c r="B36" s="39" t="inlineStr">
        <is>
          <t>Nama dan jabatan</t>
        </is>
      </c>
      <c r="C36" s="39" t="inlineStr">
        <is>
          <t>Tanda tangan</t>
        </is>
      </c>
      <c r="D36" s="39" t="inlineStr">
        <is>
          <t>Tanggal</t>
        </is>
      </c>
      <c r="E36" s="44" t="n"/>
    </row>
    <row r="37" ht="27.75" customHeight="1" s="24">
      <c r="A37" s="28" t="inlineStr">
        <is>
          <t>Disusun oleh</t>
        </is>
      </c>
      <c r="B37" s="28" t="inlineStr">
        <is>
          <t>Erik Dwi Yanto / Technical/Operation Engineer L1</t>
        </is>
      </c>
      <c r="C37" s="28" t="n"/>
      <c r="D37" s="28" t="n"/>
      <c r="E37" s="44" t="n"/>
    </row>
    <row r="38" ht="27.75" customHeight="1" s="24">
      <c r="A38" s="28" t="inlineStr">
        <is>
          <t>Diperiksa oleh</t>
        </is>
      </c>
      <c r="B38" s="28" t="inlineStr">
        <is>
          <t>Fani Fatullah / VP Tech Operation and Services</t>
        </is>
      </c>
      <c r="C38" s="28" t="n"/>
      <c r="D38" s="28" t="n"/>
      <c r="E38" s="44" t="n"/>
    </row>
    <row r="39" ht="27.75" customHeight="1" s="24">
      <c r="A39" s="28" t="inlineStr">
        <is>
          <t>Disetujui oleh</t>
        </is>
      </c>
      <c r="B39" s="28" t="inlineStr">
        <is>
          <t>Samuel Kristanto Utomo / President Director</t>
        </is>
      </c>
      <c r="C39" s="28" t="n"/>
      <c r="D39" s="28" t="n"/>
      <c r="E39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4">
      <c r="A1" s="37" t="inlineStr">
        <is>
          <t>Diagram alur proses</t>
        </is>
      </c>
    </row>
    <row r="2" ht="15" customHeight="1" s="24">
      <c r="A2" s="26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23" min="1" max="1"/>
    <col width="17" customWidth="1" style="23" min="2" max="4"/>
    <col width="13" customWidth="1" style="24" min="3" max="3"/>
    <col width="13" customWidth="1" style="24" min="4" max="4"/>
    <col width="17" customWidth="1" style="23" min="5" max="5"/>
  </cols>
  <sheetData>
    <row r="1" ht="16.5" customHeight="1" s="24">
      <c r="A1" s="50" t="inlineStr">
        <is>
          <t>Jenis</t>
        </is>
      </c>
      <c r="B1" s="50" t="inlineStr">
        <is>
          <t>Klasifikasi</t>
        </is>
      </c>
      <c r="C1" s="50" t="inlineStr">
        <is>
          <t>CIA</t>
        </is>
      </c>
      <c r="D1" s="50" t="inlineStr">
        <is>
          <t>YaTidak</t>
        </is>
      </c>
      <c r="E1" s="50" t="inlineStr">
        <is>
          <t>Status</t>
        </is>
      </c>
    </row>
    <row r="2" ht="16.5" customHeight="1" s="24">
      <c r="A2" s="51" t="inlineStr">
        <is>
          <t>Hardware</t>
        </is>
      </c>
      <c r="B2" s="51" t="inlineStr">
        <is>
          <t>PUBLIC</t>
        </is>
      </c>
      <c r="C2" s="51" t="n">
        <v>1</v>
      </c>
      <c r="D2" s="51" t="inlineStr">
        <is>
          <t>Ya</t>
        </is>
      </c>
      <c r="E2" s="51" t="inlineStr">
        <is>
          <t>Aktif</t>
        </is>
      </c>
    </row>
    <row r="3" ht="30" customHeight="1" s="24">
      <c r="A3" s="51" t="inlineStr">
        <is>
          <t>VM atau server</t>
        </is>
      </c>
      <c r="B3" s="51" t="inlineStr">
        <is>
          <t>INTERNAL</t>
        </is>
      </c>
      <c r="C3" s="51" t="n">
        <v>2</v>
      </c>
      <c r="D3" s="51" t="inlineStr">
        <is>
          <t>Tidak</t>
        </is>
      </c>
      <c r="E3" s="51" t="inlineStr">
        <is>
          <t>Dalam pengadaan</t>
        </is>
      </c>
    </row>
    <row r="4" ht="30" customHeight="1" s="24">
      <c r="A4" s="51" t="inlineStr">
        <is>
          <t>Layanan cloud atau SaaS</t>
        </is>
      </c>
      <c r="B4" s="51" t="inlineStr">
        <is>
          <t>RESTRICTED</t>
        </is>
      </c>
      <c r="C4" s="51" t="n">
        <v>3</v>
      </c>
      <c r="D4" s="52" t="n"/>
      <c r="E4" s="51" t="inlineStr">
        <is>
          <t>Dinonaktifkan</t>
        </is>
      </c>
    </row>
    <row r="5" ht="16.5" customHeight="1" s="24">
      <c r="A5" s="51" t="inlineStr">
        <is>
          <t>Software atau lisensi</t>
        </is>
      </c>
      <c r="B5" s="51" t="inlineStr">
        <is>
          <t>SECRET</t>
        </is>
      </c>
      <c r="C5" s="52" t="n"/>
      <c r="D5" s="52" t="n"/>
      <c r="E5" s="51" t="inlineStr">
        <is>
          <t>Dimusnahkan</t>
        </is>
      </c>
    </row>
    <row r="6" ht="16.5" customHeight="1" s="24">
      <c r="A6" s="51" t="inlineStr">
        <is>
          <t>Informasi atau data</t>
        </is>
      </c>
      <c r="B6" s="52" t="n"/>
      <c r="C6" s="52" t="n"/>
      <c r="D6" s="52" t="n"/>
      <c r="E6" s="52" t="n"/>
    </row>
    <row r="7" ht="16.5" customHeight="1" s="24">
      <c r="A7" s="51" t="inlineStr">
        <is>
          <t>Network device</t>
        </is>
      </c>
      <c r="B7" s="52" t="n"/>
      <c r="C7" s="52" t="n"/>
      <c r="D7" s="52" t="n"/>
      <c r="E7" s="52" t="n"/>
    </row>
    <row r="8" ht="16.5" customHeight="1" s="24">
      <c r="A8" s="51" t="inlineStr">
        <is>
          <t>Endpoint</t>
        </is>
      </c>
      <c r="B8" s="52" t="n"/>
      <c r="C8" s="52" t="n"/>
      <c r="D8" s="52" t="n"/>
      <c r="E8" s="52" t="n"/>
    </row>
    <row r="9" ht="30" customHeight="1" s="24">
      <c r="A9" s="51" t="inlineStr">
        <is>
          <t>Domain atau sertifikat</t>
        </is>
      </c>
      <c r="B9" s="52" t="n"/>
      <c r="C9" s="52" t="n"/>
      <c r="D9" s="52" t="n"/>
      <c r="E9" s="52" t="n"/>
    </row>
    <row r="10" ht="16.5" customHeight="1" s="24">
      <c r="A10" s="51" t="inlineStr">
        <is>
          <t>Layanan pihak ketiga</t>
        </is>
      </c>
      <c r="B10" s="52" t="n"/>
      <c r="C10" s="52" t="n"/>
      <c r="D10" s="52" t="n"/>
      <c r="E10" s="5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V2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3" min="1" max="1"/>
    <col width="32" customWidth="1" style="23" min="2" max="2"/>
    <col width="16" customWidth="1" style="23" min="3" max="3"/>
    <col width="28" customWidth="1" style="23" min="4" max="4"/>
    <col width="16" customWidth="1" style="23" min="5" max="5"/>
    <col width="18" customWidth="1" style="23" min="6" max="6"/>
    <col width="14" customWidth="1" style="23" min="7" max="7"/>
    <col width="17" customWidth="1" style="23" min="8" max="8"/>
    <col width="4" customWidth="1" style="23" min="9" max="11"/>
    <col width="13" customWidth="1" style="24" min="10" max="10"/>
    <col width="13" customWidth="1" style="24" min="11" max="11"/>
    <col width="8" customWidth="1" style="23" min="12" max="12"/>
    <col width="18" customWidth="1" style="23" min="13" max="13"/>
    <col width="5" customWidth="1" style="23" min="14" max="14"/>
    <col width="18" customWidth="1" style="23" min="15" max="15"/>
    <col width="10" customWidth="1" style="23" min="16" max="16"/>
    <col width="15" customWidth="1" style="23" min="17" max="17"/>
    <col width="11" customWidth="1" style="23" min="18" max="21"/>
    <col width="13" customWidth="1" style="24" min="19" max="19"/>
    <col width="13" customWidth="1" style="24" min="20" max="20"/>
    <col width="15" customWidth="1" style="24" min="21" max="21"/>
    <col width="16" customWidth="1" style="23" min="22" max="22"/>
  </cols>
  <sheetData>
    <row r="1" ht="16.15" customHeight="1" s="24">
      <c r="A1" s="37" t="inlineStr">
        <is>
          <t>Information asset register</t>
        </is>
      </c>
    </row>
    <row r="2" ht="15" customHeight="1" s="24">
      <c r="A2" s="26" t="inlineStr">
        <is>
          <t>Nilai aset = nilai tertinggi dari C, I, A. Kritikalitas: 3 Tinggi, 2 Sedang, 1 Rendah.</t>
        </is>
      </c>
    </row>
    <row r="4" ht="43.5" customHeight="1" s="24">
      <c r="A4" s="39" t="inlineStr">
        <is>
          <t>ID aset</t>
        </is>
      </c>
      <c r="B4" s="39" t="inlineStr">
        <is>
          <t>Nama aset</t>
        </is>
      </c>
      <c r="C4" s="39" t="inlineStr">
        <is>
          <t>Jenis</t>
        </is>
      </c>
      <c r="D4" s="39" t="inlineStr">
        <is>
          <t>Fungsi atau deskripsi</t>
        </is>
      </c>
      <c r="E4" s="39" t="inlineStr">
        <is>
          <t>Pemilik</t>
        </is>
      </c>
      <c r="F4" s="39" t="inlineStr">
        <is>
          <t>Pengguna atau pelanggan</t>
        </is>
      </c>
      <c r="G4" s="39" t="inlineStr">
        <is>
          <t>Lokasi atau platform</t>
        </is>
      </c>
      <c r="H4" s="39" t="inlineStr">
        <is>
          <t>Klasifikasi</t>
        </is>
      </c>
      <c r="I4" s="39" t="inlineStr">
        <is>
          <t>C</t>
        </is>
      </c>
      <c r="J4" s="39" t="inlineStr">
        <is>
          <t>I</t>
        </is>
      </c>
      <c r="K4" s="39" t="inlineStr">
        <is>
          <t>A</t>
        </is>
      </c>
      <c r="L4" s="39" t="inlineStr">
        <is>
          <t>Nilai aset</t>
        </is>
      </c>
      <c r="M4" s="39" t="inlineStr">
        <is>
          <t>Kritikalitas</t>
        </is>
      </c>
      <c r="N4" s="39" t="inlineStr">
        <is>
          <t>CI</t>
        </is>
      </c>
      <c r="O4" s="39" t="inlineStr">
        <is>
          <t>Acuan baseline</t>
        </is>
      </c>
      <c r="P4" s="39" t="inlineStr">
        <is>
          <t>Backup</t>
        </is>
      </c>
      <c r="Q4" s="39" t="inlineStr">
        <is>
          <t>Monitoring</t>
        </is>
      </c>
      <c r="R4" s="39" t="inlineStr">
        <is>
          <t>Status</t>
        </is>
      </c>
      <c r="S4" s="39" t="inlineStr">
        <is>
          <t>Tanggal masuk</t>
        </is>
      </c>
      <c r="T4" s="39" t="inlineStr">
        <is>
          <t>Review terakhir</t>
        </is>
      </c>
      <c r="U4" s="39" t="inlineStr">
        <is>
          <t>Review berikutnya</t>
        </is>
      </c>
      <c r="V4" s="39" t="inlineStr">
        <is>
          <t>Catatan</t>
        </is>
      </c>
    </row>
    <row r="5" ht="23.85" customHeight="1" s="24">
      <c r="A5" s="40" t="n"/>
      <c r="B5" s="40" t="n"/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1">
        <f>IF(COUNT(I5:K5)=0,"",MAX(I5:K5))</f>
        <v/>
      </c>
      <c r="M5" s="41">
        <f>IF(L5="","",CHOOSE(L5,"Rendah","Sedang","Tinggi"))</f>
        <v/>
      </c>
      <c r="N5" s="40" t="n"/>
      <c r="O5" s="40" t="n"/>
      <c r="P5" s="40" t="n"/>
      <c r="Q5" s="40" t="n"/>
      <c r="R5" s="40" t="n"/>
      <c r="S5" s="42" t="n"/>
      <c r="T5" s="42" t="n"/>
      <c r="U5" s="43">
        <f>IF(T5="","",EDATE(T5,6))</f>
        <v/>
      </c>
      <c r="V5" s="40" t="n"/>
    </row>
    <row r="6" ht="23.85" customHeight="1" s="24">
      <c r="A6" s="40" t="n"/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1">
        <f>IF(COUNT(I6:K6)=0,"",MAX(I6:K6))</f>
        <v/>
      </c>
      <c r="M6" s="41">
        <f>IF(L6="","",CHOOSE(L6,"Rendah","Sedang","Tinggi"))</f>
        <v/>
      </c>
      <c r="N6" s="40" t="n"/>
      <c r="O6" s="40" t="n"/>
      <c r="P6" s="40" t="n"/>
      <c r="Q6" s="40" t="n"/>
      <c r="R6" s="40" t="n"/>
      <c r="S6" s="42" t="n"/>
      <c r="T6" s="42" t="n"/>
      <c r="U6" s="43">
        <f>IF(T6="","",EDATE(T6,6))</f>
        <v/>
      </c>
      <c r="V6" s="40" t="n"/>
    </row>
    <row r="7" ht="23.85" customHeight="1" s="24">
      <c r="A7" s="40" t="n"/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1">
        <f>IF(COUNT(I7:K7)=0,"",MAX(I7:K7))</f>
        <v/>
      </c>
      <c r="M7" s="41">
        <f>IF(L7="","",CHOOSE(L7,"Rendah","Sedang","Tinggi"))</f>
        <v/>
      </c>
      <c r="N7" s="40" t="n"/>
      <c r="O7" s="40" t="n"/>
      <c r="P7" s="40" t="n"/>
      <c r="Q7" s="40" t="n"/>
      <c r="R7" s="40" t="n"/>
      <c r="S7" s="42" t="n"/>
      <c r="T7" s="42" t="n"/>
      <c r="U7" s="43">
        <f>IF(T7="","",EDATE(T7,6))</f>
        <v/>
      </c>
      <c r="V7" s="40" t="n"/>
    </row>
    <row r="8" ht="15" customHeight="1" s="24">
      <c r="A8" s="40" t="n"/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1">
        <f>IF(COUNT(I8:K8)=0,"",MAX(I8:K8))</f>
        <v/>
      </c>
      <c r="M8" s="41">
        <f>IF(L8="","",CHOOSE(L8,"Rendah","Sedang","Tinggi"))</f>
        <v/>
      </c>
      <c r="N8" s="40" t="n"/>
      <c r="O8" s="40" t="n"/>
      <c r="P8" s="40" t="n"/>
      <c r="Q8" s="40" t="n"/>
      <c r="R8" s="40" t="n"/>
      <c r="S8" s="42" t="n"/>
      <c r="T8" s="42" t="n"/>
      <c r="U8" s="43">
        <f>IF(T8="","",EDATE(T8,6))</f>
        <v/>
      </c>
      <c r="V8" s="40" t="n"/>
    </row>
    <row r="9" ht="23.85" customHeight="1" s="24">
      <c r="A9" s="40" t="n"/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1">
        <f>IF(COUNT(I9:K9)=0,"",MAX(I9:K9))</f>
        <v/>
      </c>
      <c r="M9" s="41">
        <f>IF(L9="","",CHOOSE(L9,"Rendah","Sedang","Tinggi"))</f>
        <v/>
      </c>
      <c r="N9" s="40" t="n"/>
      <c r="O9" s="40" t="n"/>
      <c r="P9" s="40" t="n"/>
      <c r="Q9" s="40" t="n"/>
      <c r="R9" s="40" t="n"/>
      <c r="S9" s="42" t="n"/>
      <c r="T9" s="42" t="n"/>
      <c r="U9" s="43">
        <f>IF(T9="","",EDATE(T9,6))</f>
        <v/>
      </c>
      <c r="V9" s="40" t="n"/>
    </row>
    <row r="10" ht="23.85" customHeight="1" s="24">
      <c r="A10" s="40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1">
        <f>IF(COUNT(I10:K10)=0,"",MAX(I10:K10))</f>
        <v/>
      </c>
      <c r="M10" s="41">
        <f>IF(L10="","",CHOOSE(L10,"Rendah","Sedang","Tinggi"))</f>
        <v/>
      </c>
      <c r="N10" s="40" t="n"/>
      <c r="O10" s="40" t="n"/>
      <c r="P10" s="40" t="n"/>
      <c r="Q10" s="40" t="n"/>
      <c r="R10" s="40" t="n"/>
      <c r="S10" s="42" t="n"/>
      <c r="T10" s="42" t="n"/>
      <c r="U10" s="43">
        <f>IF(T10="","",EDATE(T10,6))</f>
        <v/>
      </c>
      <c r="V10" s="40" t="n"/>
    </row>
    <row r="11" ht="23.85" customHeight="1" s="24">
      <c r="A11" s="40" t="n"/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1">
        <f>IF(COUNT(I11:K11)=0,"",MAX(I11:K11))</f>
        <v/>
      </c>
      <c r="M11" s="41">
        <f>IF(L11="","",CHOOSE(L11,"Rendah","Sedang","Tinggi"))</f>
        <v/>
      </c>
      <c r="N11" s="40" t="n"/>
      <c r="O11" s="40" t="n"/>
      <c r="P11" s="40" t="n"/>
      <c r="Q11" s="40" t="n"/>
      <c r="R11" s="40" t="n"/>
      <c r="S11" s="42" t="n"/>
      <c r="T11" s="42" t="n"/>
      <c r="U11" s="43">
        <f>IF(T11="","",EDATE(T11,6))</f>
        <v/>
      </c>
      <c r="V11" s="40" t="n"/>
    </row>
    <row r="12" ht="23.85" customHeight="1" s="24">
      <c r="A12" s="40" t="n"/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1">
        <f>IF(COUNT(I12:K12)=0,"",MAX(I12:K12))</f>
        <v/>
      </c>
      <c r="M12" s="41">
        <f>IF(L12="","",CHOOSE(L12,"Rendah","Sedang","Tinggi"))</f>
        <v/>
      </c>
      <c r="N12" s="40" t="n"/>
      <c r="O12" s="40" t="n"/>
      <c r="P12" s="40" t="n"/>
      <c r="Q12" s="40" t="n"/>
      <c r="R12" s="40" t="n"/>
      <c r="S12" s="42" t="n"/>
      <c r="T12" s="42" t="n"/>
      <c r="U12" s="43">
        <f>IF(T12="","",EDATE(T12,6))</f>
        <v/>
      </c>
      <c r="V12" s="40" t="n"/>
    </row>
    <row r="13" ht="23.85" customHeight="1" s="24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1">
        <f>IF(COUNT(I13:K13)=0,"",MAX(I13:K13))</f>
        <v/>
      </c>
      <c r="M13" s="41">
        <f>IF(L13="","",CHOOSE(L13,"Rendah","Sedang","Tinggi"))</f>
        <v/>
      </c>
      <c r="N13" s="40" t="n"/>
      <c r="O13" s="40" t="n"/>
      <c r="P13" s="40" t="n"/>
      <c r="Q13" s="40" t="n"/>
      <c r="R13" s="40" t="n"/>
      <c r="S13" s="42" t="n"/>
      <c r="T13" s="42" t="n"/>
      <c r="U13" s="43">
        <f>IF(T13="","",EDATE(T13,6))</f>
        <v/>
      </c>
      <c r="V13" s="40" t="n"/>
    </row>
    <row r="14" ht="23.85" customHeight="1" s="24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1">
        <f>IF(COUNT(I14:K14)=0,"",MAX(I14:K14))</f>
        <v/>
      </c>
      <c r="M14" s="41">
        <f>IF(L14="","",CHOOSE(L14,"Rendah","Sedang","Tinggi"))</f>
        <v/>
      </c>
      <c r="N14" s="40" t="n"/>
      <c r="O14" s="40" t="n"/>
      <c r="P14" s="40" t="n"/>
      <c r="Q14" s="40" t="n"/>
      <c r="R14" s="40" t="n"/>
      <c r="S14" s="42" t="n"/>
      <c r="T14" s="42" t="n"/>
      <c r="U14" s="43">
        <f>IF(T14="","",EDATE(T14,6))</f>
        <v/>
      </c>
      <c r="V14" s="40" t="n"/>
    </row>
    <row r="15" ht="23.85" customHeight="1" s="24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1">
        <f>IF(COUNT(I15:K15)=0,"",MAX(I15:K15))</f>
        <v/>
      </c>
      <c r="M15" s="41">
        <f>IF(L15="","",CHOOSE(L15,"Rendah","Sedang","Tinggi"))</f>
        <v/>
      </c>
      <c r="N15" s="40" t="n"/>
      <c r="O15" s="40" t="n"/>
      <c r="P15" s="40" t="n"/>
      <c r="Q15" s="40" t="n"/>
      <c r="R15" s="40" t="n"/>
      <c r="S15" s="42" t="n"/>
      <c r="T15" s="42" t="n"/>
      <c r="U15" s="43">
        <f>IF(T15="","",EDATE(T15,6))</f>
        <v/>
      </c>
      <c r="V15" s="40" t="n"/>
    </row>
    <row r="16" ht="23.85" customHeight="1" s="24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1">
        <f>IF(COUNT(I16:K16)=0,"",MAX(I16:K16))</f>
        <v/>
      </c>
      <c r="M16" s="41">
        <f>IF(L16="","",CHOOSE(L16,"Rendah","Sedang","Tinggi"))</f>
        <v/>
      </c>
      <c r="N16" s="40" t="n"/>
      <c r="O16" s="40" t="n"/>
      <c r="P16" s="40" t="n"/>
      <c r="Q16" s="40" t="n"/>
      <c r="R16" s="40" t="n"/>
      <c r="S16" s="42" t="n"/>
      <c r="T16" s="42" t="n"/>
      <c r="U16" s="43">
        <f>IF(T16="","",EDATE(T16,6))</f>
        <v/>
      </c>
      <c r="V16" s="40" t="n"/>
    </row>
    <row r="17" ht="15" customHeight="1" s="24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1">
        <f>IF(COUNT(I17:K17)=0,"",MAX(I17:K17))</f>
        <v/>
      </c>
      <c r="M17" s="41">
        <f>IF(L17="","",CHOOSE(L17,"Rendah","Sedang","Tinggi"))</f>
        <v/>
      </c>
      <c r="N17" s="40" t="n"/>
      <c r="O17" s="40" t="n"/>
      <c r="P17" s="40" t="n"/>
      <c r="Q17" s="40" t="n"/>
      <c r="R17" s="40" t="n"/>
      <c r="S17" s="42" t="n"/>
      <c r="T17" s="42" t="n"/>
      <c r="U17" s="43">
        <f>IF(T17="","",EDATE(T17,6))</f>
        <v/>
      </c>
      <c r="V17" s="40" t="n"/>
    </row>
    <row r="18" ht="15" customHeight="1" s="24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1">
        <f>IF(COUNT(I18:K18)=0,"",MAX(I18:K18))</f>
        <v/>
      </c>
      <c r="M18" s="41">
        <f>IF(L18="","",CHOOSE(L18,"Rendah","Sedang","Tinggi"))</f>
        <v/>
      </c>
      <c r="N18" s="40" t="n"/>
      <c r="O18" s="40" t="n"/>
      <c r="P18" s="40" t="n"/>
      <c r="Q18" s="40" t="n"/>
      <c r="R18" s="40" t="n"/>
      <c r="S18" s="42" t="n"/>
      <c r="T18" s="42" t="n"/>
      <c r="U18" s="43">
        <f>IF(T18="","",EDATE(T18,6))</f>
        <v/>
      </c>
      <c r="V18" s="40" t="n"/>
    </row>
    <row r="19" ht="15" customHeight="1" s="24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1">
        <f>IF(COUNT(I19:K19)=0,"",MAX(I19:K19))</f>
        <v/>
      </c>
      <c r="M19" s="41">
        <f>IF(L19="","",CHOOSE(L19,"Rendah","Sedang","Tinggi"))</f>
        <v/>
      </c>
      <c r="N19" s="40" t="n"/>
      <c r="O19" s="40" t="n"/>
      <c r="P19" s="40" t="n"/>
      <c r="Q19" s="40" t="n"/>
      <c r="R19" s="40" t="n"/>
      <c r="S19" s="42" t="n"/>
      <c r="T19" s="42" t="n"/>
      <c r="U19" s="43">
        <f>IF(T19="","",EDATE(T19,6))</f>
        <v/>
      </c>
      <c r="V19" s="40" t="n"/>
    </row>
    <row r="20" ht="15" customHeight="1" s="24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1">
        <f>IF(COUNT(I20:K20)=0,"",MAX(I20:K20))</f>
        <v/>
      </c>
      <c r="M20" s="41">
        <f>IF(L20="","",CHOOSE(L20,"Rendah","Sedang","Tinggi"))</f>
        <v/>
      </c>
      <c r="N20" s="40" t="n"/>
      <c r="O20" s="40" t="n"/>
      <c r="P20" s="40" t="n"/>
      <c r="Q20" s="40" t="n"/>
      <c r="R20" s="40" t="n"/>
      <c r="S20" s="42" t="n"/>
      <c r="T20" s="42" t="n"/>
      <c r="U20" s="43">
        <f>IF(T20="","",EDATE(T20,6))</f>
        <v/>
      </c>
      <c r="V20" s="40" t="n"/>
    </row>
    <row r="21" ht="15" customHeight="1" s="24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1">
        <f>IF(COUNT(I21:K21)=0,"",MAX(I21:K21))</f>
        <v/>
      </c>
      <c r="M21" s="41">
        <f>IF(L21="","",CHOOSE(L21,"Rendah","Sedang","Tinggi"))</f>
        <v/>
      </c>
      <c r="N21" s="40" t="n"/>
      <c r="O21" s="40" t="n"/>
      <c r="P21" s="40" t="n"/>
      <c r="Q21" s="40" t="n"/>
      <c r="R21" s="40" t="n"/>
      <c r="S21" s="42" t="n"/>
      <c r="T21" s="42" t="n"/>
      <c r="U21" s="43">
        <f>IF(T21="","",EDATE(T21,6))</f>
        <v/>
      </c>
      <c r="V21" s="40" t="n"/>
    </row>
    <row r="22" ht="15" customHeight="1" s="24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1">
        <f>IF(COUNT(I22:K22)=0,"",MAX(I22:K22))</f>
        <v/>
      </c>
      <c r="M22" s="41">
        <f>IF(L22="","",CHOOSE(L22,"Rendah","Sedang","Tinggi"))</f>
        <v/>
      </c>
      <c r="N22" s="40" t="n"/>
      <c r="O22" s="40" t="n"/>
      <c r="P22" s="40" t="n"/>
      <c r="Q22" s="40" t="n"/>
      <c r="R22" s="40" t="n"/>
      <c r="S22" s="42" t="n"/>
      <c r="T22" s="42" t="n"/>
      <c r="U22" s="43">
        <f>IF(T22="","",EDATE(T22,6))</f>
        <v/>
      </c>
      <c r="V22" s="40" t="n"/>
    </row>
    <row r="23" ht="15" customHeight="1" s="24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1">
        <f>IF(COUNT(I23:K23)=0,"",MAX(I23:K23))</f>
        <v/>
      </c>
      <c r="M23" s="41">
        <f>IF(L23="","",CHOOSE(L23,"Rendah","Sedang","Tinggi"))</f>
        <v/>
      </c>
      <c r="N23" s="40" t="n"/>
      <c r="O23" s="40" t="n"/>
      <c r="P23" s="40" t="n"/>
      <c r="Q23" s="40" t="n"/>
      <c r="R23" s="40" t="n"/>
      <c r="S23" s="42" t="n"/>
      <c r="T23" s="42" t="n"/>
      <c r="U23" s="43">
        <f>IF(T23="","",EDATE(T23,6))</f>
        <v/>
      </c>
      <c r="V23" s="40" t="n"/>
    </row>
    <row r="24" ht="15" customHeight="1" s="24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1">
        <f>IF(COUNT(I24:K24)=0,"",MAX(I24:K24))</f>
        <v/>
      </c>
      <c r="M24" s="41">
        <f>IF(L24="","",CHOOSE(L24,"Rendah","Sedang","Tinggi"))</f>
        <v/>
      </c>
      <c r="N24" s="40" t="n"/>
      <c r="O24" s="40" t="n"/>
      <c r="P24" s="40" t="n"/>
      <c r="Q24" s="40" t="n"/>
      <c r="R24" s="40" t="n"/>
      <c r="S24" s="42" t="n"/>
      <c r="T24" s="42" t="n"/>
      <c r="U24" s="43">
        <f>IF(T24="","",EDATE(T24,6))</f>
        <v/>
      </c>
      <c r="V24" s="40" t="n"/>
    </row>
    <row r="25" ht="15" customHeight="1" s="24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1">
        <f>IF(COUNT(I25:K25)=0,"",MAX(I25:K25))</f>
        <v/>
      </c>
      <c r="M25" s="41">
        <f>IF(L25="","",CHOOSE(L25,"Rendah","Sedang","Tinggi"))</f>
        <v/>
      </c>
      <c r="N25" s="40" t="n"/>
      <c r="O25" s="40" t="n"/>
      <c r="P25" s="40" t="n"/>
      <c r="Q25" s="40" t="n"/>
      <c r="R25" s="40" t="n"/>
      <c r="S25" s="42" t="n"/>
      <c r="T25" s="42" t="n"/>
      <c r="U25" s="43">
        <f>IF(T25="","",EDATE(T25,6))</f>
        <v/>
      </c>
      <c r="V25" s="40" t="n"/>
    </row>
    <row r="26" ht="15" customHeight="1" s="24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1">
        <f>IF(COUNT(I26:K26)=0,"",MAX(I26:K26))</f>
        <v/>
      </c>
      <c r="M26" s="41">
        <f>IF(L26="","",CHOOSE(L26,"Rendah","Sedang","Tinggi"))</f>
        <v/>
      </c>
      <c r="N26" s="40" t="n"/>
      <c r="O26" s="40" t="n"/>
      <c r="P26" s="40" t="n"/>
      <c r="Q26" s="40" t="n"/>
      <c r="R26" s="40" t="n"/>
      <c r="S26" s="42" t="n"/>
      <c r="T26" s="42" t="n"/>
      <c r="U26" s="43">
        <f>IF(T26="","",EDATE(T26,6))</f>
        <v/>
      </c>
      <c r="V26" s="40" t="n"/>
    </row>
    <row r="27" ht="15" customHeight="1" s="24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1">
        <f>IF(COUNT(I27:K27)=0,"",MAX(I27:K27))</f>
        <v/>
      </c>
      <c r="M27" s="41">
        <f>IF(L27="","",CHOOSE(L27,"Rendah","Sedang","Tinggi"))</f>
        <v/>
      </c>
      <c r="N27" s="40" t="n"/>
      <c r="O27" s="40" t="n"/>
      <c r="P27" s="40" t="n"/>
      <c r="Q27" s="40" t="n"/>
      <c r="R27" s="40" t="n"/>
      <c r="S27" s="42" t="n"/>
      <c r="T27" s="42" t="n"/>
      <c r="U27" s="43">
        <f>IF(T27="","",EDATE(T27,6))</f>
        <v/>
      </c>
      <c r="V27" s="40" t="n"/>
    </row>
    <row r="28" ht="15" customHeight="1" s="24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1">
        <f>IF(COUNT(I28:K28)=0,"",MAX(I28:K28))</f>
        <v/>
      </c>
      <c r="M28" s="41">
        <f>IF(L28="","",CHOOSE(L28,"Rendah","Sedang","Tinggi"))</f>
        <v/>
      </c>
      <c r="N28" s="40" t="n"/>
      <c r="O28" s="40" t="n"/>
      <c r="P28" s="40" t="n"/>
      <c r="Q28" s="40" t="n"/>
      <c r="R28" s="40" t="n"/>
      <c r="S28" s="42" t="n"/>
      <c r="T28" s="42" t="n"/>
      <c r="U28" s="43">
        <f>IF(T28="","",EDATE(T28,6))</f>
        <v/>
      </c>
      <c r="V28" s="40" t="n"/>
    </row>
    <row r="29" ht="15" customHeight="1" s="24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1">
        <f>IF(COUNT(I29:K29)=0,"",MAX(I29:K29))</f>
        <v/>
      </c>
      <c r="M29" s="41">
        <f>IF(L29="","",CHOOSE(L29,"Rendah","Sedang","Tinggi"))</f>
        <v/>
      </c>
      <c r="N29" s="40" t="n"/>
      <c r="O29" s="40" t="n"/>
      <c r="P29" s="40" t="n"/>
      <c r="Q29" s="40" t="n"/>
      <c r="R29" s="40" t="n"/>
      <c r="S29" s="42" t="n"/>
      <c r="T29" s="42" t="n"/>
      <c r="U29" s="43">
        <f>IF(T29="","",EDATE(T29,6))</f>
        <v/>
      </c>
      <c r="V29" s="40" t="n"/>
    </row>
    <row r="30" ht="15" customHeight="1" s="24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1">
        <f>IF(COUNT(I30:K30)=0,"",MAX(I30:K30))</f>
        <v/>
      </c>
      <c r="M30" s="41">
        <f>IF(L30="","",CHOOSE(L30,"Rendah","Sedang","Tinggi"))</f>
        <v/>
      </c>
      <c r="N30" s="40" t="n"/>
      <c r="O30" s="40" t="n"/>
      <c r="P30" s="40" t="n"/>
      <c r="Q30" s="40" t="n"/>
      <c r="R30" s="40" t="n"/>
      <c r="S30" s="42" t="n"/>
      <c r="T30" s="42" t="n"/>
      <c r="U30" s="43">
        <f>IF(T30="","",EDATE(T30,6))</f>
        <v/>
      </c>
      <c r="V30" s="40" t="n"/>
    </row>
    <row r="31" ht="15" customHeight="1" s="24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1">
        <f>IF(COUNT(I31:K31)=0,"",MAX(I31:K31))</f>
        <v/>
      </c>
      <c r="M31" s="41">
        <f>IF(L31="","",CHOOSE(L31,"Rendah","Sedang","Tinggi"))</f>
        <v/>
      </c>
      <c r="N31" s="40" t="n"/>
      <c r="O31" s="40" t="n"/>
      <c r="P31" s="40" t="n"/>
      <c r="Q31" s="40" t="n"/>
      <c r="R31" s="40" t="n"/>
      <c r="S31" s="42" t="n"/>
      <c r="T31" s="42" t="n"/>
      <c r="U31" s="43">
        <f>IF(T31="","",EDATE(T31,6))</f>
        <v/>
      </c>
      <c r="V31" s="40" t="n"/>
    </row>
    <row r="32" ht="15" customHeight="1" s="24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1">
        <f>IF(COUNT(I32:K32)=0,"",MAX(I32:K32))</f>
        <v/>
      </c>
      <c r="M32" s="41">
        <f>IF(L32="","",CHOOSE(L32,"Rendah","Sedang","Tinggi"))</f>
        <v/>
      </c>
      <c r="N32" s="40" t="n"/>
      <c r="O32" s="40" t="n"/>
      <c r="P32" s="40" t="n"/>
      <c r="Q32" s="40" t="n"/>
      <c r="R32" s="40" t="n"/>
      <c r="S32" s="42" t="n"/>
      <c r="T32" s="42" t="n"/>
      <c r="U32" s="43">
        <f>IF(T32="","",EDATE(T32,6))</f>
        <v/>
      </c>
      <c r="V32" s="40" t="n"/>
    </row>
    <row r="33" ht="15" customHeight="1" s="24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1">
        <f>IF(COUNT(I33:K33)=0,"",MAX(I33:K33))</f>
        <v/>
      </c>
      <c r="M33" s="41">
        <f>IF(L33="","",CHOOSE(L33,"Rendah","Sedang","Tinggi"))</f>
        <v/>
      </c>
      <c r="N33" s="40" t="n"/>
      <c r="O33" s="40" t="n"/>
      <c r="P33" s="40" t="n"/>
      <c r="Q33" s="40" t="n"/>
      <c r="R33" s="40" t="n"/>
      <c r="S33" s="42" t="n"/>
      <c r="T33" s="42" t="n"/>
      <c r="U33" s="43">
        <f>IF(T33="","",EDATE(T33,6))</f>
        <v/>
      </c>
      <c r="V33" s="40" t="n"/>
    </row>
    <row r="34" ht="15" customHeight="1" s="24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1">
        <f>IF(COUNT(I34:K34)=0,"",MAX(I34:K34))</f>
        <v/>
      </c>
      <c r="M34" s="41">
        <f>IF(L34="","",CHOOSE(L34,"Rendah","Sedang","Tinggi"))</f>
        <v/>
      </c>
      <c r="N34" s="40" t="n"/>
      <c r="O34" s="40" t="n"/>
      <c r="P34" s="40" t="n"/>
      <c r="Q34" s="40" t="n"/>
      <c r="R34" s="40" t="n"/>
      <c r="S34" s="42" t="n"/>
      <c r="T34" s="42" t="n"/>
      <c r="U34" s="43">
        <f>IF(T34="","",EDATE(T34,6))</f>
        <v/>
      </c>
      <c r="V34" s="40" t="n"/>
    </row>
    <row r="35" ht="15" customHeight="1" s="24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1">
        <f>IF(COUNT(I35:K35)=0,"",MAX(I35:K35))</f>
        <v/>
      </c>
      <c r="M35" s="41">
        <f>IF(L35="","",CHOOSE(L35,"Rendah","Sedang","Tinggi"))</f>
        <v/>
      </c>
      <c r="N35" s="40" t="n"/>
      <c r="O35" s="40" t="n"/>
      <c r="P35" s="40" t="n"/>
      <c r="Q35" s="40" t="n"/>
      <c r="R35" s="40" t="n"/>
      <c r="S35" s="42" t="n"/>
      <c r="T35" s="42" t="n"/>
      <c r="U35" s="43">
        <f>IF(T35="","",EDATE(T35,6))</f>
        <v/>
      </c>
      <c r="V35" s="40" t="n"/>
    </row>
    <row r="36" ht="15" customHeight="1" s="24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1">
        <f>IF(COUNT(I36:K36)=0,"",MAX(I36:K36))</f>
        <v/>
      </c>
      <c r="M36" s="41">
        <f>IF(L36="","",CHOOSE(L36,"Rendah","Sedang","Tinggi"))</f>
        <v/>
      </c>
      <c r="N36" s="40" t="n"/>
      <c r="O36" s="40" t="n"/>
      <c r="P36" s="40" t="n"/>
      <c r="Q36" s="40" t="n"/>
      <c r="R36" s="40" t="n"/>
      <c r="S36" s="42" t="n"/>
      <c r="T36" s="42" t="n"/>
      <c r="U36" s="43">
        <f>IF(T36="","",EDATE(T36,6))</f>
        <v/>
      </c>
      <c r="V36" s="40" t="n"/>
    </row>
    <row r="37" ht="15" customHeight="1" s="24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1">
        <f>IF(COUNT(I37:K37)=0,"",MAX(I37:K37))</f>
        <v/>
      </c>
      <c r="M37" s="41">
        <f>IF(L37="","",CHOOSE(L37,"Rendah","Sedang","Tinggi"))</f>
        <v/>
      </c>
      <c r="N37" s="40" t="n"/>
      <c r="O37" s="40" t="n"/>
      <c r="P37" s="40" t="n"/>
      <c r="Q37" s="40" t="n"/>
      <c r="R37" s="40" t="n"/>
      <c r="S37" s="42" t="n"/>
      <c r="T37" s="42" t="n"/>
      <c r="U37" s="43">
        <f>IF(T37="","",EDATE(T37,6))</f>
        <v/>
      </c>
      <c r="V37" s="40" t="n"/>
    </row>
    <row r="38" ht="15" customHeight="1" s="24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1">
        <f>IF(COUNT(I38:K38)=0,"",MAX(I38:K38))</f>
        <v/>
      </c>
      <c r="M38" s="41">
        <f>IF(L38="","",CHOOSE(L38,"Rendah","Sedang","Tinggi"))</f>
        <v/>
      </c>
      <c r="N38" s="40" t="n"/>
      <c r="O38" s="40" t="n"/>
      <c r="P38" s="40" t="n"/>
      <c r="Q38" s="40" t="n"/>
      <c r="R38" s="40" t="n"/>
      <c r="S38" s="42" t="n"/>
      <c r="T38" s="42" t="n"/>
      <c r="U38" s="43">
        <f>IF(T38="","",EDATE(T38,6))</f>
        <v/>
      </c>
      <c r="V38" s="40" t="n"/>
    </row>
    <row r="39" ht="15" customHeight="1" s="24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1">
        <f>IF(COUNT(I39:K39)=0,"",MAX(I39:K39))</f>
        <v/>
      </c>
      <c r="M39" s="41">
        <f>IF(L39="","",CHOOSE(L39,"Rendah","Sedang","Tinggi"))</f>
        <v/>
      </c>
      <c r="N39" s="40" t="n"/>
      <c r="O39" s="40" t="n"/>
      <c r="P39" s="40" t="n"/>
      <c r="Q39" s="40" t="n"/>
      <c r="R39" s="40" t="n"/>
      <c r="S39" s="42" t="n"/>
      <c r="T39" s="42" t="n"/>
      <c r="U39" s="43">
        <f>IF(T39="","",EDATE(T39,6))</f>
        <v/>
      </c>
      <c r="V39" s="40" t="n"/>
    </row>
    <row r="40" ht="15" customHeight="1" s="24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1">
        <f>IF(COUNT(I40:K40)=0,"",MAX(I40:K40))</f>
        <v/>
      </c>
      <c r="M40" s="41">
        <f>IF(L40="","",CHOOSE(L40,"Rendah","Sedang","Tinggi"))</f>
        <v/>
      </c>
      <c r="N40" s="40" t="n"/>
      <c r="O40" s="40" t="n"/>
      <c r="P40" s="40" t="n"/>
      <c r="Q40" s="40" t="n"/>
      <c r="R40" s="40" t="n"/>
      <c r="S40" s="42" t="n"/>
      <c r="T40" s="42" t="n"/>
      <c r="U40" s="43">
        <f>IF(T40="","",EDATE(T40,6))</f>
        <v/>
      </c>
      <c r="V40" s="40" t="n"/>
    </row>
    <row r="41" ht="15" customHeight="1" s="24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1">
        <f>IF(COUNT(I41:K41)=0,"",MAX(I41:K41))</f>
        <v/>
      </c>
      <c r="M41" s="41">
        <f>IF(L41="","",CHOOSE(L41,"Rendah","Sedang","Tinggi"))</f>
        <v/>
      </c>
      <c r="N41" s="40" t="n"/>
      <c r="O41" s="40" t="n"/>
      <c r="P41" s="40" t="n"/>
      <c r="Q41" s="40" t="n"/>
      <c r="R41" s="40" t="n"/>
      <c r="S41" s="42" t="n"/>
      <c r="T41" s="42" t="n"/>
      <c r="U41" s="43">
        <f>IF(T41="","",EDATE(T41,6))</f>
        <v/>
      </c>
      <c r="V41" s="40" t="n"/>
    </row>
    <row r="42" ht="15" customHeight="1" s="24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1">
        <f>IF(COUNT(I42:K42)=0,"",MAX(I42:K42))</f>
        <v/>
      </c>
      <c r="M42" s="41">
        <f>IF(L42="","",CHOOSE(L42,"Rendah","Sedang","Tinggi"))</f>
        <v/>
      </c>
      <c r="N42" s="40" t="n"/>
      <c r="O42" s="40" t="n"/>
      <c r="P42" s="40" t="n"/>
      <c r="Q42" s="40" t="n"/>
      <c r="R42" s="40" t="n"/>
      <c r="S42" s="42" t="n"/>
      <c r="T42" s="42" t="n"/>
      <c r="U42" s="43">
        <f>IF(T42="","",EDATE(T42,6))</f>
        <v/>
      </c>
      <c r="V42" s="40" t="n"/>
    </row>
    <row r="43" ht="15" customHeight="1" s="24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1">
        <f>IF(COUNT(I43:K43)=0,"",MAX(I43:K43))</f>
        <v/>
      </c>
      <c r="M43" s="41">
        <f>IF(L43="","",CHOOSE(L43,"Rendah","Sedang","Tinggi"))</f>
        <v/>
      </c>
      <c r="N43" s="40" t="n"/>
      <c r="O43" s="40" t="n"/>
      <c r="P43" s="40" t="n"/>
      <c r="Q43" s="40" t="n"/>
      <c r="R43" s="40" t="n"/>
      <c r="S43" s="42" t="n"/>
      <c r="T43" s="42" t="n"/>
      <c r="U43" s="43">
        <f>IF(T43="","",EDATE(T43,6))</f>
        <v/>
      </c>
      <c r="V43" s="40" t="n"/>
    </row>
    <row r="44" ht="15" customHeight="1" s="24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1">
        <f>IF(COUNT(I44:K44)=0,"",MAX(I44:K44))</f>
        <v/>
      </c>
      <c r="M44" s="41">
        <f>IF(L44="","",CHOOSE(L44,"Rendah","Sedang","Tinggi"))</f>
        <v/>
      </c>
      <c r="N44" s="40" t="n"/>
      <c r="O44" s="40" t="n"/>
      <c r="P44" s="40" t="n"/>
      <c r="Q44" s="40" t="n"/>
      <c r="R44" s="40" t="n"/>
      <c r="S44" s="42" t="n"/>
      <c r="T44" s="42" t="n"/>
      <c r="U44" s="43">
        <f>IF(T44="","",EDATE(T44,6))</f>
        <v/>
      </c>
      <c r="V44" s="40" t="n"/>
    </row>
    <row r="45" ht="15" customHeight="1" s="24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1">
        <f>IF(COUNT(I45:K45)=0,"",MAX(I45:K45))</f>
        <v/>
      </c>
      <c r="M45" s="41">
        <f>IF(L45="","",CHOOSE(L45,"Rendah","Sedang","Tinggi"))</f>
        <v/>
      </c>
      <c r="N45" s="40" t="n"/>
      <c r="O45" s="40" t="n"/>
      <c r="P45" s="40" t="n"/>
      <c r="Q45" s="40" t="n"/>
      <c r="R45" s="40" t="n"/>
      <c r="S45" s="42" t="n"/>
      <c r="T45" s="42" t="n"/>
      <c r="U45" s="43">
        <f>IF(T45="","",EDATE(T45,6))</f>
        <v/>
      </c>
      <c r="V45" s="40" t="n"/>
    </row>
    <row r="46" ht="15" customHeight="1" s="24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1">
        <f>IF(COUNT(I46:K46)=0,"",MAX(I46:K46))</f>
        <v/>
      </c>
      <c r="M46" s="41">
        <f>IF(L46="","",CHOOSE(L46,"Rendah","Sedang","Tinggi"))</f>
        <v/>
      </c>
      <c r="N46" s="40" t="n"/>
      <c r="O46" s="40" t="n"/>
      <c r="P46" s="40" t="n"/>
      <c r="Q46" s="40" t="n"/>
      <c r="R46" s="40" t="n"/>
      <c r="S46" s="42" t="n"/>
      <c r="T46" s="42" t="n"/>
      <c r="U46" s="43">
        <f>IF(T46="","",EDATE(T46,6))</f>
        <v/>
      </c>
      <c r="V46" s="40" t="n"/>
    </row>
    <row r="47" ht="15" customHeight="1" s="24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1">
        <f>IF(COUNT(I47:K47)=0,"",MAX(I47:K47))</f>
        <v/>
      </c>
      <c r="M47" s="41">
        <f>IF(L47="","",CHOOSE(L47,"Rendah","Sedang","Tinggi"))</f>
        <v/>
      </c>
      <c r="N47" s="40" t="n"/>
      <c r="O47" s="40" t="n"/>
      <c r="P47" s="40" t="n"/>
      <c r="Q47" s="40" t="n"/>
      <c r="R47" s="40" t="n"/>
      <c r="S47" s="42" t="n"/>
      <c r="T47" s="42" t="n"/>
      <c r="U47" s="43">
        <f>IF(T47="","",EDATE(T47,6))</f>
        <v/>
      </c>
      <c r="V47" s="40" t="n"/>
    </row>
    <row r="48" ht="15" customHeight="1" s="24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1">
        <f>IF(COUNT(I48:K48)=0,"",MAX(I48:K48))</f>
        <v/>
      </c>
      <c r="M48" s="41">
        <f>IF(L48="","",CHOOSE(L48,"Rendah","Sedang","Tinggi"))</f>
        <v/>
      </c>
      <c r="N48" s="40" t="n"/>
      <c r="O48" s="40" t="n"/>
      <c r="P48" s="40" t="n"/>
      <c r="Q48" s="40" t="n"/>
      <c r="R48" s="40" t="n"/>
      <c r="S48" s="42" t="n"/>
      <c r="T48" s="42" t="n"/>
      <c r="U48" s="43">
        <f>IF(T48="","",EDATE(T48,6))</f>
        <v/>
      </c>
      <c r="V48" s="40" t="n"/>
    </row>
    <row r="49" ht="15" customHeight="1" s="24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1">
        <f>IF(COUNT(I49:K49)=0,"",MAX(I49:K49))</f>
        <v/>
      </c>
      <c r="M49" s="41">
        <f>IF(L49="","",CHOOSE(L49,"Rendah","Sedang","Tinggi"))</f>
        <v/>
      </c>
      <c r="N49" s="40" t="n"/>
      <c r="O49" s="40" t="n"/>
      <c r="P49" s="40" t="n"/>
      <c r="Q49" s="40" t="n"/>
      <c r="R49" s="40" t="n"/>
      <c r="S49" s="42" t="n"/>
      <c r="T49" s="42" t="n"/>
      <c r="U49" s="43">
        <f>IF(T49="","",EDATE(T49,6))</f>
        <v/>
      </c>
      <c r="V49" s="40" t="n"/>
    </row>
    <row r="50" ht="15" customHeight="1" s="24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1">
        <f>IF(COUNT(I50:K50)=0,"",MAX(I50:K50))</f>
        <v/>
      </c>
      <c r="M50" s="41">
        <f>IF(L50="","",CHOOSE(L50,"Rendah","Sedang","Tinggi"))</f>
        <v/>
      </c>
      <c r="N50" s="40" t="n"/>
      <c r="O50" s="40" t="n"/>
      <c r="P50" s="40" t="n"/>
      <c r="Q50" s="40" t="n"/>
      <c r="R50" s="40" t="n"/>
      <c r="S50" s="42" t="n"/>
      <c r="T50" s="42" t="n"/>
      <c r="U50" s="43">
        <f>IF(T50="","",EDATE(T50,6))</f>
        <v/>
      </c>
      <c r="V50" s="40" t="n"/>
    </row>
    <row r="51" ht="15" customHeight="1" s="24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1">
        <f>IF(COUNT(I51:K51)=0,"",MAX(I51:K51))</f>
        <v/>
      </c>
      <c r="M51" s="41">
        <f>IF(L51="","",CHOOSE(L51,"Rendah","Sedang","Tinggi"))</f>
        <v/>
      </c>
      <c r="N51" s="40" t="n"/>
      <c r="O51" s="40" t="n"/>
      <c r="P51" s="40" t="n"/>
      <c r="Q51" s="40" t="n"/>
      <c r="R51" s="40" t="n"/>
      <c r="S51" s="42" t="n"/>
      <c r="T51" s="42" t="n"/>
      <c r="U51" s="43">
        <f>IF(T51="","",EDATE(T51,6))</f>
        <v/>
      </c>
      <c r="V51" s="40" t="n"/>
    </row>
    <row r="52" ht="15" customHeight="1" s="24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1">
        <f>IF(COUNT(I52:K52)=0,"",MAX(I52:K52))</f>
        <v/>
      </c>
      <c r="M52" s="41">
        <f>IF(L52="","",CHOOSE(L52,"Rendah","Sedang","Tinggi"))</f>
        <v/>
      </c>
      <c r="N52" s="40" t="n"/>
      <c r="O52" s="40" t="n"/>
      <c r="P52" s="40" t="n"/>
      <c r="Q52" s="40" t="n"/>
      <c r="R52" s="40" t="n"/>
      <c r="S52" s="42" t="n"/>
      <c r="T52" s="42" t="n"/>
      <c r="U52" s="43">
        <f>IF(T52="","",EDATE(T52,6))</f>
        <v/>
      </c>
      <c r="V52" s="40" t="n"/>
    </row>
    <row r="53" ht="15" customHeight="1" s="24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1">
        <f>IF(COUNT(I53:K53)=0,"",MAX(I53:K53))</f>
        <v/>
      </c>
      <c r="M53" s="41">
        <f>IF(L53="","",CHOOSE(L53,"Rendah","Sedang","Tinggi"))</f>
        <v/>
      </c>
      <c r="N53" s="40" t="n"/>
      <c r="O53" s="40" t="n"/>
      <c r="P53" s="40" t="n"/>
      <c r="Q53" s="40" t="n"/>
      <c r="R53" s="40" t="n"/>
      <c r="S53" s="42" t="n"/>
      <c r="T53" s="42" t="n"/>
      <c r="U53" s="43">
        <f>IF(T53="","",EDATE(T53,6))</f>
        <v/>
      </c>
      <c r="V53" s="40" t="n"/>
    </row>
    <row r="54" ht="15" customHeight="1" s="2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1">
        <f>IF(COUNT(I54:K54)=0,"",MAX(I54:K54))</f>
        <v/>
      </c>
      <c r="M54" s="41">
        <f>IF(L54="","",CHOOSE(L54,"Rendah","Sedang","Tinggi"))</f>
        <v/>
      </c>
      <c r="N54" s="40" t="n"/>
      <c r="O54" s="40" t="n"/>
      <c r="P54" s="40" t="n"/>
      <c r="Q54" s="40" t="n"/>
      <c r="R54" s="40" t="n"/>
      <c r="S54" s="42" t="n"/>
      <c r="T54" s="42" t="n"/>
      <c r="U54" s="43">
        <f>IF(T54="","",EDATE(T54,6))</f>
        <v/>
      </c>
      <c r="V54" s="40" t="n"/>
    </row>
    <row r="55" ht="15" customHeight="1" s="24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1">
        <f>IF(COUNT(I55:K55)=0,"",MAX(I55:K55))</f>
        <v/>
      </c>
      <c r="M55" s="41">
        <f>IF(L55="","",CHOOSE(L55,"Rendah","Sedang","Tinggi"))</f>
        <v/>
      </c>
      <c r="N55" s="40" t="n"/>
      <c r="O55" s="40" t="n"/>
      <c r="P55" s="40" t="n"/>
      <c r="Q55" s="40" t="n"/>
      <c r="R55" s="40" t="n"/>
      <c r="S55" s="42" t="n"/>
      <c r="T55" s="42" t="n"/>
      <c r="U55" s="43">
        <f>IF(T55="","",EDATE(T55,6))</f>
        <v/>
      </c>
      <c r="V55" s="40" t="n"/>
    </row>
    <row r="56" ht="15" customHeight="1" s="24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1">
        <f>IF(COUNT(I56:K56)=0,"",MAX(I56:K56))</f>
        <v/>
      </c>
      <c r="M56" s="41">
        <f>IF(L56="","",CHOOSE(L56,"Rendah","Sedang","Tinggi"))</f>
        <v/>
      </c>
      <c r="N56" s="40" t="n"/>
      <c r="O56" s="40" t="n"/>
      <c r="P56" s="40" t="n"/>
      <c r="Q56" s="40" t="n"/>
      <c r="R56" s="40" t="n"/>
      <c r="S56" s="42" t="n"/>
      <c r="T56" s="42" t="n"/>
      <c r="U56" s="43">
        <f>IF(T56="","",EDATE(T56,6))</f>
        <v/>
      </c>
      <c r="V56" s="40" t="n"/>
    </row>
    <row r="57" ht="15" customHeight="1" s="24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1">
        <f>IF(COUNT(I57:K57)=0,"",MAX(I57:K57))</f>
        <v/>
      </c>
      <c r="M57" s="41">
        <f>IF(L57="","",CHOOSE(L57,"Rendah","Sedang","Tinggi"))</f>
        <v/>
      </c>
      <c r="N57" s="40" t="n"/>
      <c r="O57" s="40" t="n"/>
      <c r="P57" s="40" t="n"/>
      <c r="Q57" s="40" t="n"/>
      <c r="R57" s="40" t="n"/>
      <c r="S57" s="42" t="n"/>
      <c r="T57" s="42" t="n"/>
      <c r="U57" s="43">
        <f>IF(T57="","",EDATE(T57,6))</f>
        <v/>
      </c>
      <c r="V57" s="40" t="n"/>
    </row>
    <row r="58" ht="15" customHeight="1" s="24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1">
        <f>IF(COUNT(I58:K58)=0,"",MAX(I58:K58))</f>
        <v/>
      </c>
      <c r="M58" s="41">
        <f>IF(L58="","",CHOOSE(L58,"Rendah","Sedang","Tinggi"))</f>
        <v/>
      </c>
      <c r="N58" s="40" t="n"/>
      <c r="O58" s="40" t="n"/>
      <c r="P58" s="40" t="n"/>
      <c r="Q58" s="40" t="n"/>
      <c r="R58" s="40" t="n"/>
      <c r="S58" s="42" t="n"/>
      <c r="T58" s="42" t="n"/>
      <c r="U58" s="43">
        <f>IF(T58="","",EDATE(T58,6))</f>
        <v/>
      </c>
      <c r="V58" s="40" t="n"/>
    </row>
    <row r="59" ht="15" customHeight="1" s="24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1">
        <f>IF(COUNT(I59:K59)=0,"",MAX(I59:K59))</f>
        <v/>
      </c>
      <c r="M59" s="41">
        <f>IF(L59="","",CHOOSE(L59,"Rendah","Sedang","Tinggi"))</f>
        <v/>
      </c>
      <c r="N59" s="40" t="n"/>
      <c r="O59" s="40" t="n"/>
      <c r="P59" s="40" t="n"/>
      <c r="Q59" s="40" t="n"/>
      <c r="R59" s="40" t="n"/>
      <c r="S59" s="42" t="n"/>
      <c r="T59" s="42" t="n"/>
      <c r="U59" s="43">
        <f>IF(T59="","",EDATE(T59,6))</f>
        <v/>
      </c>
      <c r="V59" s="40" t="n"/>
    </row>
    <row r="60" ht="15" customHeight="1" s="24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1">
        <f>IF(COUNT(I60:K60)=0,"",MAX(I60:K60))</f>
        <v/>
      </c>
      <c r="M60" s="41">
        <f>IF(L60="","",CHOOSE(L60,"Rendah","Sedang","Tinggi"))</f>
        <v/>
      </c>
      <c r="N60" s="40" t="n"/>
      <c r="O60" s="40" t="n"/>
      <c r="P60" s="40" t="n"/>
      <c r="Q60" s="40" t="n"/>
      <c r="R60" s="40" t="n"/>
      <c r="S60" s="42" t="n"/>
      <c r="T60" s="42" t="n"/>
      <c r="U60" s="43">
        <f>IF(T60="","",EDATE(T60,6))</f>
        <v/>
      </c>
      <c r="V60" s="40" t="n"/>
    </row>
    <row r="61" ht="15" customHeight="1" s="24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1">
        <f>IF(COUNT(I61:K61)=0,"",MAX(I61:K61))</f>
        <v/>
      </c>
      <c r="M61" s="41">
        <f>IF(L61="","",CHOOSE(L61,"Rendah","Sedang","Tinggi"))</f>
        <v/>
      </c>
      <c r="N61" s="40" t="n"/>
      <c r="O61" s="40" t="n"/>
      <c r="P61" s="40" t="n"/>
      <c r="Q61" s="40" t="n"/>
      <c r="R61" s="40" t="n"/>
      <c r="S61" s="42" t="n"/>
      <c r="T61" s="42" t="n"/>
      <c r="U61" s="43">
        <f>IF(T61="","",EDATE(T61,6))</f>
        <v/>
      </c>
      <c r="V61" s="40" t="n"/>
    </row>
    <row r="62" ht="15" customHeight="1" s="24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1">
        <f>IF(COUNT(I62:K62)=0,"",MAX(I62:K62))</f>
        <v/>
      </c>
      <c r="M62" s="41">
        <f>IF(L62="","",CHOOSE(L62,"Rendah","Sedang","Tinggi"))</f>
        <v/>
      </c>
      <c r="N62" s="40" t="n"/>
      <c r="O62" s="40" t="n"/>
      <c r="P62" s="40" t="n"/>
      <c r="Q62" s="40" t="n"/>
      <c r="R62" s="40" t="n"/>
      <c r="S62" s="42" t="n"/>
      <c r="T62" s="42" t="n"/>
      <c r="U62" s="43">
        <f>IF(T62="","",EDATE(T62,6))</f>
        <v/>
      </c>
      <c r="V62" s="40" t="n"/>
    </row>
    <row r="63" ht="15" customHeight="1" s="24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1">
        <f>IF(COUNT(I63:K63)=0,"",MAX(I63:K63))</f>
        <v/>
      </c>
      <c r="M63" s="41">
        <f>IF(L63="","",CHOOSE(L63,"Rendah","Sedang","Tinggi"))</f>
        <v/>
      </c>
      <c r="N63" s="40" t="n"/>
      <c r="O63" s="40" t="n"/>
      <c r="P63" s="40" t="n"/>
      <c r="Q63" s="40" t="n"/>
      <c r="R63" s="40" t="n"/>
      <c r="S63" s="42" t="n"/>
      <c r="T63" s="42" t="n"/>
      <c r="U63" s="43">
        <f>IF(T63="","",EDATE(T63,6))</f>
        <v/>
      </c>
      <c r="V63" s="40" t="n"/>
    </row>
    <row r="64" ht="15" customHeight="1" s="2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1">
        <f>IF(COUNT(I64:K64)=0,"",MAX(I64:K64))</f>
        <v/>
      </c>
      <c r="M64" s="41">
        <f>IF(L64="","",CHOOSE(L64,"Rendah","Sedang","Tinggi"))</f>
        <v/>
      </c>
      <c r="N64" s="40" t="n"/>
      <c r="O64" s="40" t="n"/>
      <c r="P64" s="40" t="n"/>
      <c r="Q64" s="40" t="n"/>
      <c r="R64" s="40" t="n"/>
      <c r="S64" s="42" t="n"/>
      <c r="T64" s="42" t="n"/>
      <c r="U64" s="43">
        <f>IF(T64="","",EDATE(T64,6))</f>
        <v/>
      </c>
      <c r="V64" s="40" t="n"/>
    </row>
    <row r="65" ht="15" customHeight="1" s="24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1">
        <f>IF(COUNT(I65:K65)=0,"",MAX(I65:K65))</f>
        <v/>
      </c>
      <c r="M65" s="41">
        <f>IF(L65="","",CHOOSE(L65,"Rendah","Sedang","Tinggi"))</f>
        <v/>
      </c>
      <c r="N65" s="40" t="n"/>
      <c r="O65" s="40" t="n"/>
      <c r="P65" s="40" t="n"/>
      <c r="Q65" s="40" t="n"/>
      <c r="R65" s="40" t="n"/>
      <c r="S65" s="42" t="n"/>
      <c r="T65" s="42" t="n"/>
      <c r="U65" s="43">
        <f>IF(T65="","",EDATE(T65,6))</f>
        <v/>
      </c>
      <c r="V65" s="40" t="n"/>
    </row>
    <row r="66" ht="15" customHeight="1" s="24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1">
        <f>IF(COUNT(I66:K66)=0,"",MAX(I66:K66))</f>
        <v/>
      </c>
      <c r="M66" s="41">
        <f>IF(L66="","",CHOOSE(L66,"Rendah","Sedang","Tinggi"))</f>
        <v/>
      </c>
      <c r="N66" s="40" t="n"/>
      <c r="O66" s="40" t="n"/>
      <c r="P66" s="40" t="n"/>
      <c r="Q66" s="40" t="n"/>
      <c r="R66" s="40" t="n"/>
      <c r="S66" s="42" t="n"/>
      <c r="T66" s="42" t="n"/>
      <c r="U66" s="43">
        <f>IF(T66="","",EDATE(T66,6))</f>
        <v/>
      </c>
      <c r="V66" s="40" t="n"/>
    </row>
    <row r="67" ht="15" customHeight="1" s="24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1">
        <f>IF(COUNT(I67:K67)=0,"",MAX(I67:K67))</f>
        <v/>
      </c>
      <c r="M67" s="41">
        <f>IF(L67="","",CHOOSE(L67,"Rendah","Sedang","Tinggi"))</f>
        <v/>
      </c>
      <c r="N67" s="40" t="n"/>
      <c r="O67" s="40" t="n"/>
      <c r="P67" s="40" t="n"/>
      <c r="Q67" s="40" t="n"/>
      <c r="R67" s="40" t="n"/>
      <c r="S67" s="42" t="n"/>
      <c r="T67" s="42" t="n"/>
      <c r="U67" s="43">
        <f>IF(T67="","",EDATE(T67,6))</f>
        <v/>
      </c>
      <c r="V67" s="40" t="n"/>
    </row>
    <row r="68" ht="15" customHeight="1" s="24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1">
        <f>IF(COUNT(I68:K68)=0,"",MAX(I68:K68))</f>
        <v/>
      </c>
      <c r="M68" s="41">
        <f>IF(L68="","",CHOOSE(L68,"Rendah","Sedang","Tinggi"))</f>
        <v/>
      </c>
      <c r="N68" s="40" t="n"/>
      <c r="O68" s="40" t="n"/>
      <c r="P68" s="40" t="n"/>
      <c r="Q68" s="40" t="n"/>
      <c r="R68" s="40" t="n"/>
      <c r="S68" s="42" t="n"/>
      <c r="T68" s="42" t="n"/>
      <c r="U68" s="43">
        <f>IF(T68="","",EDATE(T68,6))</f>
        <v/>
      </c>
      <c r="V68" s="40" t="n"/>
    </row>
    <row r="69" ht="15" customHeight="1" s="24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1">
        <f>IF(COUNT(I69:K69)=0,"",MAX(I69:K69))</f>
        <v/>
      </c>
      <c r="M69" s="41">
        <f>IF(L69="","",CHOOSE(L69,"Rendah","Sedang","Tinggi"))</f>
        <v/>
      </c>
      <c r="N69" s="40" t="n"/>
      <c r="O69" s="40" t="n"/>
      <c r="P69" s="40" t="n"/>
      <c r="Q69" s="40" t="n"/>
      <c r="R69" s="40" t="n"/>
      <c r="S69" s="42" t="n"/>
      <c r="T69" s="42" t="n"/>
      <c r="U69" s="43">
        <f>IF(T69="","",EDATE(T69,6))</f>
        <v/>
      </c>
      <c r="V69" s="40" t="n"/>
    </row>
    <row r="70" ht="15" customHeight="1" s="24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1">
        <f>IF(COUNT(I70:K70)=0,"",MAX(I70:K70))</f>
        <v/>
      </c>
      <c r="M70" s="41">
        <f>IF(L70="","",CHOOSE(L70,"Rendah","Sedang","Tinggi"))</f>
        <v/>
      </c>
      <c r="N70" s="40" t="n"/>
      <c r="O70" s="40" t="n"/>
      <c r="P70" s="40" t="n"/>
      <c r="Q70" s="40" t="n"/>
      <c r="R70" s="40" t="n"/>
      <c r="S70" s="42" t="n"/>
      <c r="T70" s="42" t="n"/>
      <c r="U70" s="43">
        <f>IF(T70="","",EDATE(T70,6))</f>
        <v/>
      </c>
      <c r="V70" s="40" t="n"/>
    </row>
    <row r="71" ht="15" customHeight="1" s="24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1">
        <f>IF(COUNT(I71:K71)=0,"",MAX(I71:K71))</f>
        <v/>
      </c>
      <c r="M71" s="41">
        <f>IF(L71="","",CHOOSE(L71,"Rendah","Sedang","Tinggi"))</f>
        <v/>
      </c>
      <c r="N71" s="40" t="n"/>
      <c r="O71" s="40" t="n"/>
      <c r="P71" s="40" t="n"/>
      <c r="Q71" s="40" t="n"/>
      <c r="R71" s="40" t="n"/>
      <c r="S71" s="42" t="n"/>
      <c r="T71" s="42" t="n"/>
      <c r="U71" s="43">
        <f>IF(T71="","",EDATE(T71,6))</f>
        <v/>
      </c>
      <c r="V71" s="40" t="n"/>
    </row>
    <row r="72" ht="15" customHeight="1" s="24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1">
        <f>IF(COUNT(I72:K72)=0,"",MAX(I72:K72))</f>
        <v/>
      </c>
      <c r="M72" s="41">
        <f>IF(L72="","",CHOOSE(L72,"Rendah","Sedang","Tinggi"))</f>
        <v/>
      </c>
      <c r="N72" s="40" t="n"/>
      <c r="O72" s="40" t="n"/>
      <c r="P72" s="40" t="n"/>
      <c r="Q72" s="40" t="n"/>
      <c r="R72" s="40" t="n"/>
      <c r="S72" s="42" t="n"/>
      <c r="T72" s="42" t="n"/>
      <c r="U72" s="43">
        <f>IF(T72="","",EDATE(T72,6))</f>
        <v/>
      </c>
      <c r="V72" s="40" t="n"/>
    </row>
    <row r="73" ht="15" customHeight="1" s="24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1">
        <f>IF(COUNT(I73:K73)=0,"",MAX(I73:K73))</f>
        <v/>
      </c>
      <c r="M73" s="41">
        <f>IF(L73="","",CHOOSE(L73,"Rendah","Sedang","Tinggi"))</f>
        <v/>
      </c>
      <c r="N73" s="40" t="n"/>
      <c r="O73" s="40" t="n"/>
      <c r="P73" s="40" t="n"/>
      <c r="Q73" s="40" t="n"/>
      <c r="R73" s="40" t="n"/>
      <c r="S73" s="42" t="n"/>
      <c r="T73" s="42" t="n"/>
      <c r="U73" s="43">
        <f>IF(T73="","",EDATE(T73,6))</f>
        <v/>
      </c>
      <c r="V73" s="40" t="n"/>
    </row>
    <row r="74" ht="15" customHeight="1" s="2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1">
        <f>IF(COUNT(I74:K74)=0,"",MAX(I74:K74))</f>
        <v/>
      </c>
      <c r="M74" s="41">
        <f>IF(L74="","",CHOOSE(L74,"Rendah","Sedang","Tinggi"))</f>
        <v/>
      </c>
      <c r="N74" s="40" t="n"/>
      <c r="O74" s="40" t="n"/>
      <c r="P74" s="40" t="n"/>
      <c r="Q74" s="40" t="n"/>
      <c r="R74" s="40" t="n"/>
      <c r="S74" s="42" t="n"/>
      <c r="T74" s="42" t="n"/>
      <c r="U74" s="43">
        <f>IF(T74="","",EDATE(T74,6))</f>
        <v/>
      </c>
      <c r="V74" s="40" t="n"/>
    </row>
    <row r="75" ht="15" customHeight="1" s="24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1">
        <f>IF(COUNT(I75:K75)=0,"",MAX(I75:K75))</f>
        <v/>
      </c>
      <c r="M75" s="41">
        <f>IF(L75="","",CHOOSE(L75,"Rendah","Sedang","Tinggi"))</f>
        <v/>
      </c>
      <c r="N75" s="40" t="n"/>
      <c r="O75" s="40" t="n"/>
      <c r="P75" s="40" t="n"/>
      <c r="Q75" s="40" t="n"/>
      <c r="R75" s="40" t="n"/>
      <c r="S75" s="42" t="n"/>
      <c r="T75" s="42" t="n"/>
      <c r="U75" s="43">
        <f>IF(T75="","",EDATE(T75,6))</f>
        <v/>
      </c>
      <c r="V75" s="40" t="n"/>
    </row>
    <row r="76" ht="15" customHeight="1" s="24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1">
        <f>IF(COUNT(I76:K76)=0,"",MAX(I76:K76))</f>
        <v/>
      </c>
      <c r="M76" s="41">
        <f>IF(L76="","",CHOOSE(L76,"Rendah","Sedang","Tinggi"))</f>
        <v/>
      </c>
      <c r="N76" s="40" t="n"/>
      <c r="O76" s="40" t="n"/>
      <c r="P76" s="40" t="n"/>
      <c r="Q76" s="40" t="n"/>
      <c r="R76" s="40" t="n"/>
      <c r="S76" s="42" t="n"/>
      <c r="T76" s="42" t="n"/>
      <c r="U76" s="43">
        <f>IF(T76="","",EDATE(T76,6))</f>
        <v/>
      </c>
      <c r="V76" s="40" t="n"/>
    </row>
    <row r="77" ht="15" customHeight="1" s="24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1">
        <f>IF(COUNT(I77:K77)=0,"",MAX(I77:K77))</f>
        <v/>
      </c>
      <c r="M77" s="41">
        <f>IF(L77="","",CHOOSE(L77,"Rendah","Sedang","Tinggi"))</f>
        <v/>
      </c>
      <c r="N77" s="40" t="n"/>
      <c r="O77" s="40" t="n"/>
      <c r="P77" s="40" t="n"/>
      <c r="Q77" s="40" t="n"/>
      <c r="R77" s="40" t="n"/>
      <c r="S77" s="42" t="n"/>
      <c r="T77" s="42" t="n"/>
      <c r="U77" s="43">
        <f>IF(T77="","",EDATE(T77,6))</f>
        <v/>
      </c>
      <c r="V77" s="40" t="n"/>
    </row>
    <row r="78" ht="15" customHeight="1" s="24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1">
        <f>IF(COUNT(I78:K78)=0,"",MAX(I78:K78))</f>
        <v/>
      </c>
      <c r="M78" s="41">
        <f>IF(L78="","",CHOOSE(L78,"Rendah","Sedang","Tinggi"))</f>
        <v/>
      </c>
      <c r="N78" s="40" t="n"/>
      <c r="O78" s="40" t="n"/>
      <c r="P78" s="40" t="n"/>
      <c r="Q78" s="40" t="n"/>
      <c r="R78" s="40" t="n"/>
      <c r="S78" s="42" t="n"/>
      <c r="T78" s="42" t="n"/>
      <c r="U78" s="43">
        <f>IF(T78="","",EDATE(T78,6))</f>
        <v/>
      </c>
      <c r="V78" s="40" t="n"/>
    </row>
    <row r="79" ht="15" customHeight="1" s="24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1">
        <f>IF(COUNT(I79:K79)=0,"",MAX(I79:K79))</f>
        <v/>
      </c>
      <c r="M79" s="41">
        <f>IF(L79="","",CHOOSE(L79,"Rendah","Sedang","Tinggi"))</f>
        <v/>
      </c>
      <c r="N79" s="40" t="n"/>
      <c r="O79" s="40" t="n"/>
      <c r="P79" s="40" t="n"/>
      <c r="Q79" s="40" t="n"/>
      <c r="R79" s="40" t="n"/>
      <c r="S79" s="42" t="n"/>
      <c r="T79" s="42" t="n"/>
      <c r="U79" s="43">
        <f>IF(T79="","",EDATE(T79,6))</f>
        <v/>
      </c>
      <c r="V79" s="40" t="n"/>
    </row>
    <row r="80" ht="15" customHeight="1" s="24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1">
        <f>IF(COUNT(I80:K80)=0,"",MAX(I80:K80))</f>
        <v/>
      </c>
      <c r="M80" s="41">
        <f>IF(L80="","",CHOOSE(L80,"Rendah","Sedang","Tinggi"))</f>
        <v/>
      </c>
      <c r="N80" s="40" t="n"/>
      <c r="O80" s="40" t="n"/>
      <c r="P80" s="40" t="n"/>
      <c r="Q80" s="40" t="n"/>
      <c r="R80" s="40" t="n"/>
      <c r="S80" s="42" t="n"/>
      <c r="T80" s="42" t="n"/>
      <c r="U80" s="43">
        <f>IF(T80="","",EDATE(T80,6))</f>
        <v/>
      </c>
      <c r="V80" s="40" t="n"/>
    </row>
    <row r="81" ht="15" customHeight="1" s="24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1">
        <f>IF(COUNT(I81:K81)=0,"",MAX(I81:K81))</f>
        <v/>
      </c>
      <c r="M81" s="41">
        <f>IF(L81="","",CHOOSE(L81,"Rendah","Sedang","Tinggi"))</f>
        <v/>
      </c>
      <c r="N81" s="40" t="n"/>
      <c r="O81" s="40" t="n"/>
      <c r="P81" s="40" t="n"/>
      <c r="Q81" s="40" t="n"/>
      <c r="R81" s="40" t="n"/>
      <c r="S81" s="42" t="n"/>
      <c r="T81" s="42" t="n"/>
      <c r="U81" s="43">
        <f>IF(T81="","",EDATE(T81,6))</f>
        <v/>
      </c>
      <c r="V81" s="40" t="n"/>
    </row>
    <row r="82" ht="15" customHeight="1" s="24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1">
        <f>IF(COUNT(I82:K82)=0,"",MAX(I82:K82))</f>
        <v/>
      </c>
      <c r="M82" s="41">
        <f>IF(L82="","",CHOOSE(L82,"Rendah","Sedang","Tinggi"))</f>
        <v/>
      </c>
      <c r="N82" s="40" t="n"/>
      <c r="O82" s="40" t="n"/>
      <c r="P82" s="40" t="n"/>
      <c r="Q82" s="40" t="n"/>
      <c r="R82" s="40" t="n"/>
      <c r="S82" s="42" t="n"/>
      <c r="T82" s="42" t="n"/>
      <c r="U82" s="43">
        <f>IF(T82="","",EDATE(T82,6))</f>
        <v/>
      </c>
      <c r="V82" s="40" t="n"/>
    </row>
    <row r="83" ht="15" customHeight="1" s="24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1">
        <f>IF(COUNT(I83:K83)=0,"",MAX(I83:K83))</f>
        <v/>
      </c>
      <c r="M83" s="41">
        <f>IF(L83="","",CHOOSE(L83,"Rendah","Sedang","Tinggi"))</f>
        <v/>
      </c>
      <c r="N83" s="40" t="n"/>
      <c r="O83" s="40" t="n"/>
      <c r="P83" s="40" t="n"/>
      <c r="Q83" s="40" t="n"/>
      <c r="R83" s="40" t="n"/>
      <c r="S83" s="42" t="n"/>
      <c r="T83" s="42" t="n"/>
      <c r="U83" s="43">
        <f>IF(T83="","",EDATE(T83,6))</f>
        <v/>
      </c>
      <c r="V83" s="40" t="n"/>
    </row>
    <row r="84" ht="15" customHeight="1" s="2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1">
        <f>IF(COUNT(I84:K84)=0,"",MAX(I84:K84))</f>
        <v/>
      </c>
      <c r="M84" s="41">
        <f>IF(L84="","",CHOOSE(L84,"Rendah","Sedang","Tinggi"))</f>
        <v/>
      </c>
      <c r="N84" s="40" t="n"/>
      <c r="O84" s="40" t="n"/>
      <c r="P84" s="40" t="n"/>
      <c r="Q84" s="40" t="n"/>
      <c r="R84" s="40" t="n"/>
      <c r="S84" s="42" t="n"/>
      <c r="T84" s="42" t="n"/>
      <c r="U84" s="43">
        <f>IF(T84="","",EDATE(T84,6))</f>
        <v/>
      </c>
      <c r="V84" s="40" t="n"/>
    </row>
    <row r="85" ht="15" customHeight="1" s="24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1">
        <f>IF(COUNT(I85:K85)=0,"",MAX(I85:K85))</f>
        <v/>
      </c>
      <c r="M85" s="41">
        <f>IF(L85="","",CHOOSE(L85,"Rendah","Sedang","Tinggi"))</f>
        <v/>
      </c>
      <c r="N85" s="40" t="n"/>
      <c r="O85" s="40" t="n"/>
      <c r="P85" s="40" t="n"/>
      <c r="Q85" s="40" t="n"/>
      <c r="R85" s="40" t="n"/>
      <c r="S85" s="42" t="n"/>
      <c r="T85" s="42" t="n"/>
      <c r="U85" s="43">
        <f>IF(T85="","",EDATE(T85,6))</f>
        <v/>
      </c>
      <c r="V85" s="40" t="n"/>
    </row>
    <row r="86" ht="15" customHeight="1" s="24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1">
        <f>IF(COUNT(I86:K86)=0,"",MAX(I86:K86))</f>
        <v/>
      </c>
      <c r="M86" s="41">
        <f>IF(L86="","",CHOOSE(L86,"Rendah","Sedang","Tinggi"))</f>
        <v/>
      </c>
      <c r="N86" s="40" t="n"/>
      <c r="O86" s="40" t="n"/>
      <c r="P86" s="40" t="n"/>
      <c r="Q86" s="40" t="n"/>
      <c r="R86" s="40" t="n"/>
      <c r="S86" s="42" t="n"/>
      <c r="T86" s="42" t="n"/>
      <c r="U86" s="43">
        <f>IF(T86="","",EDATE(T86,6))</f>
        <v/>
      </c>
      <c r="V86" s="40" t="n"/>
    </row>
    <row r="87" ht="15" customHeight="1" s="24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1">
        <f>IF(COUNT(I87:K87)=0,"",MAX(I87:K87))</f>
        <v/>
      </c>
      <c r="M87" s="41">
        <f>IF(L87="","",CHOOSE(L87,"Rendah","Sedang","Tinggi"))</f>
        <v/>
      </c>
      <c r="N87" s="40" t="n"/>
      <c r="O87" s="40" t="n"/>
      <c r="P87" s="40" t="n"/>
      <c r="Q87" s="40" t="n"/>
      <c r="R87" s="40" t="n"/>
      <c r="S87" s="42" t="n"/>
      <c r="T87" s="42" t="n"/>
      <c r="U87" s="43">
        <f>IF(T87="","",EDATE(T87,6))</f>
        <v/>
      </c>
      <c r="V87" s="40" t="n"/>
    </row>
    <row r="88" ht="15" customHeight="1" s="24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1">
        <f>IF(COUNT(I88:K88)=0,"",MAX(I88:K88))</f>
        <v/>
      </c>
      <c r="M88" s="41">
        <f>IF(L88="","",CHOOSE(L88,"Rendah","Sedang","Tinggi"))</f>
        <v/>
      </c>
      <c r="N88" s="40" t="n"/>
      <c r="O88" s="40" t="n"/>
      <c r="P88" s="40" t="n"/>
      <c r="Q88" s="40" t="n"/>
      <c r="R88" s="40" t="n"/>
      <c r="S88" s="42" t="n"/>
      <c r="T88" s="42" t="n"/>
      <c r="U88" s="43">
        <f>IF(T88="","",EDATE(T88,6))</f>
        <v/>
      </c>
      <c r="V88" s="40" t="n"/>
    </row>
    <row r="89" ht="15" customHeight="1" s="24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1">
        <f>IF(COUNT(I89:K89)=0,"",MAX(I89:K89))</f>
        <v/>
      </c>
      <c r="M89" s="41">
        <f>IF(L89="","",CHOOSE(L89,"Rendah","Sedang","Tinggi"))</f>
        <v/>
      </c>
      <c r="N89" s="40" t="n"/>
      <c r="O89" s="40" t="n"/>
      <c r="P89" s="40" t="n"/>
      <c r="Q89" s="40" t="n"/>
      <c r="R89" s="40" t="n"/>
      <c r="S89" s="42" t="n"/>
      <c r="T89" s="42" t="n"/>
      <c r="U89" s="43">
        <f>IF(T89="","",EDATE(T89,6))</f>
        <v/>
      </c>
      <c r="V89" s="40" t="n"/>
    </row>
    <row r="90" ht="15" customHeight="1" s="24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1">
        <f>IF(COUNT(I90:K90)=0,"",MAX(I90:K90))</f>
        <v/>
      </c>
      <c r="M90" s="41">
        <f>IF(L90="","",CHOOSE(L90,"Rendah","Sedang","Tinggi"))</f>
        <v/>
      </c>
      <c r="N90" s="40" t="n"/>
      <c r="O90" s="40" t="n"/>
      <c r="P90" s="40" t="n"/>
      <c r="Q90" s="40" t="n"/>
      <c r="R90" s="40" t="n"/>
      <c r="S90" s="42" t="n"/>
      <c r="T90" s="42" t="n"/>
      <c r="U90" s="43">
        <f>IF(T90="","",EDATE(T90,6))</f>
        <v/>
      </c>
      <c r="V90" s="40" t="n"/>
    </row>
    <row r="91" ht="15" customHeight="1" s="24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1">
        <f>IF(COUNT(I91:K91)=0,"",MAX(I91:K91))</f>
        <v/>
      </c>
      <c r="M91" s="41">
        <f>IF(L91="","",CHOOSE(L91,"Rendah","Sedang","Tinggi"))</f>
        <v/>
      </c>
      <c r="N91" s="40" t="n"/>
      <c r="O91" s="40" t="n"/>
      <c r="P91" s="40" t="n"/>
      <c r="Q91" s="40" t="n"/>
      <c r="R91" s="40" t="n"/>
      <c r="S91" s="42" t="n"/>
      <c r="T91" s="42" t="n"/>
      <c r="U91" s="43">
        <f>IF(T91="","",EDATE(T91,6))</f>
        <v/>
      </c>
      <c r="V91" s="40" t="n"/>
    </row>
    <row r="92" ht="15" customHeight="1" s="24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1">
        <f>IF(COUNT(I92:K92)=0,"",MAX(I92:K92))</f>
        <v/>
      </c>
      <c r="M92" s="41">
        <f>IF(L92="","",CHOOSE(L92,"Rendah","Sedang","Tinggi"))</f>
        <v/>
      </c>
      <c r="N92" s="40" t="n"/>
      <c r="O92" s="40" t="n"/>
      <c r="P92" s="40" t="n"/>
      <c r="Q92" s="40" t="n"/>
      <c r="R92" s="40" t="n"/>
      <c r="S92" s="42" t="n"/>
      <c r="T92" s="42" t="n"/>
      <c r="U92" s="43">
        <f>IF(T92="","",EDATE(T92,6))</f>
        <v/>
      </c>
      <c r="V92" s="40" t="n"/>
    </row>
    <row r="93" ht="15" customHeight="1" s="24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1">
        <f>IF(COUNT(I93:K93)=0,"",MAX(I93:K93))</f>
        <v/>
      </c>
      <c r="M93" s="41">
        <f>IF(L93="","",CHOOSE(L93,"Rendah","Sedang","Tinggi"))</f>
        <v/>
      </c>
      <c r="N93" s="40" t="n"/>
      <c r="O93" s="40" t="n"/>
      <c r="P93" s="40" t="n"/>
      <c r="Q93" s="40" t="n"/>
      <c r="R93" s="40" t="n"/>
      <c r="S93" s="42" t="n"/>
      <c r="T93" s="42" t="n"/>
      <c r="U93" s="43">
        <f>IF(T93="","",EDATE(T93,6))</f>
        <v/>
      </c>
      <c r="V93" s="40" t="n"/>
    </row>
    <row r="94" ht="15" customHeight="1" s="2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1">
        <f>IF(COUNT(I94:K94)=0,"",MAX(I94:K94))</f>
        <v/>
      </c>
      <c r="M94" s="41">
        <f>IF(L94="","",CHOOSE(L94,"Rendah","Sedang","Tinggi"))</f>
        <v/>
      </c>
      <c r="N94" s="40" t="n"/>
      <c r="O94" s="40" t="n"/>
      <c r="P94" s="40" t="n"/>
      <c r="Q94" s="40" t="n"/>
      <c r="R94" s="40" t="n"/>
      <c r="S94" s="42" t="n"/>
      <c r="T94" s="42" t="n"/>
      <c r="U94" s="43">
        <f>IF(T94="","",EDATE(T94,6))</f>
        <v/>
      </c>
      <c r="V94" s="40" t="n"/>
    </row>
    <row r="95" ht="15" customHeight="1" s="24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1">
        <f>IF(COUNT(I95:K95)=0,"",MAX(I95:K95))</f>
        <v/>
      </c>
      <c r="M95" s="41">
        <f>IF(L95="","",CHOOSE(L95,"Rendah","Sedang","Tinggi"))</f>
        <v/>
      </c>
      <c r="N95" s="40" t="n"/>
      <c r="O95" s="40" t="n"/>
      <c r="P95" s="40" t="n"/>
      <c r="Q95" s="40" t="n"/>
      <c r="R95" s="40" t="n"/>
      <c r="S95" s="42" t="n"/>
      <c r="T95" s="42" t="n"/>
      <c r="U95" s="43">
        <f>IF(T95="","",EDATE(T95,6))</f>
        <v/>
      </c>
      <c r="V95" s="40" t="n"/>
    </row>
    <row r="96" ht="15" customHeight="1" s="24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1">
        <f>IF(COUNT(I96:K96)=0,"",MAX(I96:K96))</f>
        <v/>
      </c>
      <c r="M96" s="41">
        <f>IF(L96="","",CHOOSE(L96,"Rendah","Sedang","Tinggi"))</f>
        <v/>
      </c>
      <c r="N96" s="40" t="n"/>
      <c r="O96" s="40" t="n"/>
      <c r="P96" s="40" t="n"/>
      <c r="Q96" s="40" t="n"/>
      <c r="R96" s="40" t="n"/>
      <c r="S96" s="42" t="n"/>
      <c r="T96" s="42" t="n"/>
      <c r="U96" s="43">
        <f>IF(T96="","",EDATE(T96,6))</f>
        <v/>
      </c>
      <c r="V96" s="40" t="n"/>
    </row>
    <row r="97" ht="15" customHeight="1" s="24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1">
        <f>IF(COUNT(I97:K97)=0,"",MAX(I97:K97))</f>
        <v/>
      </c>
      <c r="M97" s="41">
        <f>IF(L97="","",CHOOSE(L97,"Rendah","Sedang","Tinggi"))</f>
        <v/>
      </c>
      <c r="N97" s="40" t="n"/>
      <c r="O97" s="40" t="n"/>
      <c r="P97" s="40" t="n"/>
      <c r="Q97" s="40" t="n"/>
      <c r="R97" s="40" t="n"/>
      <c r="S97" s="42" t="n"/>
      <c r="T97" s="42" t="n"/>
      <c r="U97" s="43">
        <f>IF(T97="","",EDATE(T97,6))</f>
        <v/>
      </c>
      <c r="V97" s="40" t="n"/>
    </row>
    <row r="98" ht="15" customHeight="1" s="24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1">
        <f>IF(COUNT(I98:K98)=0,"",MAX(I98:K98))</f>
        <v/>
      </c>
      <c r="M98" s="41">
        <f>IF(L98="","",CHOOSE(L98,"Rendah","Sedang","Tinggi"))</f>
        <v/>
      </c>
      <c r="N98" s="40" t="n"/>
      <c r="O98" s="40" t="n"/>
      <c r="P98" s="40" t="n"/>
      <c r="Q98" s="40" t="n"/>
      <c r="R98" s="40" t="n"/>
      <c r="S98" s="42" t="n"/>
      <c r="T98" s="42" t="n"/>
      <c r="U98" s="43">
        <f>IF(T98="","",EDATE(T98,6))</f>
        <v/>
      </c>
      <c r="V98" s="40" t="n"/>
    </row>
    <row r="99" ht="15" customHeight="1" s="24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1">
        <f>IF(COUNT(I99:K99)=0,"",MAX(I99:K99))</f>
        <v/>
      </c>
      <c r="M99" s="41">
        <f>IF(L99="","",CHOOSE(L99,"Rendah","Sedang","Tinggi"))</f>
        <v/>
      </c>
      <c r="N99" s="40" t="n"/>
      <c r="O99" s="40" t="n"/>
      <c r="P99" s="40" t="n"/>
      <c r="Q99" s="40" t="n"/>
      <c r="R99" s="40" t="n"/>
      <c r="S99" s="42" t="n"/>
      <c r="T99" s="42" t="n"/>
      <c r="U99" s="43">
        <f>IF(T99="","",EDATE(T99,6))</f>
        <v/>
      </c>
      <c r="V99" s="40" t="n"/>
    </row>
    <row r="100" ht="15" customHeight="1" s="24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1">
        <f>IF(COUNT(I100:K100)=0,"",MAX(I100:K100))</f>
        <v/>
      </c>
      <c r="M100" s="41">
        <f>IF(L100="","",CHOOSE(L100,"Rendah","Sedang","Tinggi"))</f>
        <v/>
      </c>
      <c r="N100" s="40" t="n"/>
      <c r="O100" s="40" t="n"/>
      <c r="P100" s="40" t="n"/>
      <c r="Q100" s="40" t="n"/>
      <c r="R100" s="40" t="n"/>
      <c r="S100" s="42" t="n"/>
      <c r="T100" s="42" t="n"/>
      <c r="U100" s="43">
        <f>IF(T100="","",EDATE(T100,6))</f>
        <v/>
      </c>
      <c r="V100" s="40" t="n"/>
    </row>
    <row r="101" ht="15" customHeight="1" s="24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1">
        <f>IF(COUNT(I101:K101)=0,"",MAX(I101:K101))</f>
        <v/>
      </c>
      <c r="M101" s="41">
        <f>IF(L101="","",CHOOSE(L101,"Rendah","Sedang","Tinggi"))</f>
        <v/>
      </c>
      <c r="N101" s="40" t="n"/>
      <c r="O101" s="40" t="n"/>
      <c r="P101" s="40" t="n"/>
      <c r="Q101" s="40" t="n"/>
      <c r="R101" s="40" t="n"/>
      <c r="S101" s="42" t="n"/>
      <c r="T101" s="42" t="n"/>
      <c r="U101" s="43">
        <f>IF(T101="","",EDATE(T101,6))</f>
        <v/>
      </c>
      <c r="V101" s="40" t="n"/>
    </row>
    <row r="102" ht="15" customHeight="1" s="24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1">
        <f>IF(COUNT(I102:K102)=0,"",MAX(I102:K102))</f>
        <v/>
      </c>
      <c r="M102" s="41">
        <f>IF(L102="","",CHOOSE(L102,"Rendah","Sedang","Tinggi"))</f>
        <v/>
      </c>
      <c r="N102" s="40" t="n"/>
      <c r="O102" s="40" t="n"/>
      <c r="P102" s="40" t="n"/>
      <c r="Q102" s="40" t="n"/>
      <c r="R102" s="40" t="n"/>
      <c r="S102" s="42" t="n"/>
      <c r="T102" s="42" t="n"/>
      <c r="U102" s="43">
        <f>IF(T102="","",EDATE(T102,6))</f>
        <v/>
      </c>
      <c r="V102" s="40" t="n"/>
    </row>
    <row r="103" ht="15" customHeight="1" s="24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1">
        <f>IF(COUNT(I103:K103)=0,"",MAX(I103:K103))</f>
        <v/>
      </c>
      <c r="M103" s="41">
        <f>IF(L103="","",CHOOSE(L103,"Rendah","Sedang","Tinggi"))</f>
        <v/>
      </c>
      <c r="N103" s="40" t="n"/>
      <c r="O103" s="40" t="n"/>
      <c r="P103" s="40" t="n"/>
      <c r="Q103" s="40" t="n"/>
      <c r="R103" s="40" t="n"/>
      <c r="S103" s="42" t="n"/>
      <c r="T103" s="42" t="n"/>
      <c r="U103" s="43">
        <f>IF(T103="","",EDATE(T103,6))</f>
        <v/>
      </c>
      <c r="V103" s="40" t="n"/>
    </row>
    <row r="104" ht="15" customHeight="1" s="2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1">
        <f>IF(COUNT(I104:K104)=0,"",MAX(I104:K104))</f>
        <v/>
      </c>
      <c r="M104" s="41">
        <f>IF(L104="","",CHOOSE(L104,"Rendah","Sedang","Tinggi"))</f>
        <v/>
      </c>
      <c r="N104" s="40" t="n"/>
      <c r="O104" s="40" t="n"/>
      <c r="P104" s="40" t="n"/>
      <c r="Q104" s="40" t="n"/>
      <c r="R104" s="40" t="n"/>
      <c r="S104" s="42" t="n"/>
      <c r="T104" s="42" t="n"/>
      <c r="U104" s="43">
        <f>IF(T104="","",EDATE(T104,6))</f>
        <v/>
      </c>
      <c r="V104" s="40" t="n"/>
    </row>
    <row r="105" ht="15" customHeight="1" s="24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1">
        <f>IF(COUNT(I105:K105)=0,"",MAX(I105:K105))</f>
        <v/>
      </c>
      <c r="M105" s="41">
        <f>IF(L105="","",CHOOSE(L105,"Rendah","Sedang","Tinggi"))</f>
        <v/>
      </c>
      <c r="N105" s="40" t="n"/>
      <c r="O105" s="40" t="n"/>
      <c r="P105" s="40" t="n"/>
      <c r="Q105" s="40" t="n"/>
      <c r="R105" s="40" t="n"/>
      <c r="S105" s="42" t="n"/>
      <c r="T105" s="42" t="n"/>
      <c r="U105" s="43">
        <f>IF(T105="","",EDATE(T105,6))</f>
        <v/>
      </c>
      <c r="V105" s="40" t="n"/>
    </row>
    <row r="106" ht="15" customHeight="1" s="24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1">
        <f>IF(COUNT(I106:K106)=0,"",MAX(I106:K106))</f>
        <v/>
      </c>
      <c r="M106" s="41">
        <f>IF(L106="","",CHOOSE(L106,"Rendah","Sedang","Tinggi"))</f>
        <v/>
      </c>
      <c r="N106" s="40" t="n"/>
      <c r="O106" s="40" t="n"/>
      <c r="P106" s="40" t="n"/>
      <c r="Q106" s="40" t="n"/>
      <c r="R106" s="40" t="n"/>
      <c r="S106" s="42" t="n"/>
      <c r="T106" s="42" t="n"/>
      <c r="U106" s="43">
        <f>IF(T106="","",EDATE(T106,6))</f>
        <v/>
      </c>
      <c r="V106" s="40" t="n"/>
    </row>
    <row r="107" ht="15" customHeight="1" s="24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1">
        <f>IF(COUNT(I107:K107)=0,"",MAX(I107:K107))</f>
        <v/>
      </c>
      <c r="M107" s="41">
        <f>IF(L107="","",CHOOSE(L107,"Rendah","Sedang","Tinggi"))</f>
        <v/>
      </c>
      <c r="N107" s="40" t="n"/>
      <c r="O107" s="40" t="n"/>
      <c r="P107" s="40" t="n"/>
      <c r="Q107" s="40" t="n"/>
      <c r="R107" s="40" t="n"/>
      <c r="S107" s="42" t="n"/>
      <c r="T107" s="42" t="n"/>
      <c r="U107" s="43">
        <f>IF(T107="","",EDATE(T107,6))</f>
        <v/>
      </c>
      <c r="V107" s="40" t="n"/>
    </row>
    <row r="108" ht="15" customHeight="1" s="24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1">
        <f>IF(COUNT(I108:K108)=0,"",MAX(I108:K108))</f>
        <v/>
      </c>
      <c r="M108" s="41">
        <f>IF(L108="","",CHOOSE(L108,"Rendah","Sedang","Tinggi"))</f>
        <v/>
      </c>
      <c r="N108" s="40" t="n"/>
      <c r="O108" s="40" t="n"/>
      <c r="P108" s="40" t="n"/>
      <c r="Q108" s="40" t="n"/>
      <c r="R108" s="40" t="n"/>
      <c r="S108" s="42" t="n"/>
      <c r="T108" s="42" t="n"/>
      <c r="U108" s="43">
        <f>IF(T108="","",EDATE(T108,6))</f>
        <v/>
      </c>
      <c r="V108" s="40" t="n"/>
    </row>
    <row r="109" ht="15" customHeight="1" s="24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1">
        <f>IF(COUNT(I109:K109)=0,"",MAX(I109:K109))</f>
        <v/>
      </c>
      <c r="M109" s="41">
        <f>IF(L109="","",CHOOSE(L109,"Rendah","Sedang","Tinggi"))</f>
        <v/>
      </c>
      <c r="N109" s="40" t="n"/>
      <c r="O109" s="40" t="n"/>
      <c r="P109" s="40" t="n"/>
      <c r="Q109" s="40" t="n"/>
      <c r="R109" s="40" t="n"/>
      <c r="S109" s="42" t="n"/>
      <c r="T109" s="42" t="n"/>
      <c r="U109" s="43">
        <f>IF(T109="","",EDATE(T109,6))</f>
        <v/>
      </c>
      <c r="V109" s="40" t="n"/>
    </row>
    <row r="110" ht="15" customHeight="1" s="24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1">
        <f>IF(COUNT(I110:K110)=0,"",MAX(I110:K110))</f>
        <v/>
      </c>
      <c r="M110" s="41">
        <f>IF(L110="","",CHOOSE(L110,"Rendah","Sedang","Tinggi"))</f>
        <v/>
      </c>
      <c r="N110" s="40" t="n"/>
      <c r="O110" s="40" t="n"/>
      <c r="P110" s="40" t="n"/>
      <c r="Q110" s="40" t="n"/>
      <c r="R110" s="40" t="n"/>
      <c r="S110" s="42" t="n"/>
      <c r="T110" s="42" t="n"/>
      <c r="U110" s="43">
        <f>IF(T110="","",EDATE(T110,6))</f>
        <v/>
      </c>
      <c r="V110" s="40" t="n"/>
    </row>
    <row r="111" ht="15" customHeight="1" s="24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1">
        <f>IF(COUNT(I111:K111)=0,"",MAX(I111:K111))</f>
        <v/>
      </c>
      <c r="M111" s="41">
        <f>IF(L111="","",CHOOSE(L111,"Rendah","Sedang","Tinggi"))</f>
        <v/>
      </c>
      <c r="N111" s="40" t="n"/>
      <c r="O111" s="40" t="n"/>
      <c r="P111" s="40" t="n"/>
      <c r="Q111" s="40" t="n"/>
      <c r="R111" s="40" t="n"/>
      <c r="S111" s="42" t="n"/>
      <c r="T111" s="42" t="n"/>
      <c r="U111" s="43">
        <f>IF(T111="","",EDATE(T111,6))</f>
        <v/>
      </c>
      <c r="V111" s="40" t="n"/>
    </row>
    <row r="112" ht="15" customHeight="1" s="24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1">
        <f>IF(COUNT(I112:K112)=0,"",MAX(I112:K112))</f>
        <v/>
      </c>
      <c r="M112" s="41">
        <f>IF(L112="","",CHOOSE(L112,"Rendah","Sedang","Tinggi"))</f>
        <v/>
      </c>
      <c r="N112" s="40" t="n"/>
      <c r="O112" s="40" t="n"/>
      <c r="P112" s="40" t="n"/>
      <c r="Q112" s="40" t="n"/>
      <c r="R112" s="40" t="n"/>
      <c r="S112" s="42" t="n"/>
      <c r="T112" s="42" t="n"/>
      <c r="U112" s="43">
        <f>IF(T112="","",EDATE(T112,6))</f>
        <v/>
      </c>
      <c r="V112" s="40" t="n"/>
    </row>
    <row r="113" ht="15" customHeight="1" s="24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1">
        <f>IF(COUNT(I113:K113)=0,"",MAX(I113:K113))</f>
        <v/>
      </c>
      <c r="M113" s="41">
        <f>IF(L113="","",CHOOSE(L113,"Rendah","Sedang","Tinggi"))</f>
        <v/>
      </c>
      <c r="N113" s="40" t="n"/>
      <c r="O113" s="40" t="n"/>
      <c r="P113" s="40" t="n"/>
      <c r="Q113" s="40" t="n"/>
      <c r="R113" s="40" t="n"/>
      <c r="S113" s="42" t="n"/>
      <c r="T113" s="42" t="n"/>
      <c r="U113" s="43">
        <f>IF(T113="","",EDATE(T113,6))</f>
        <v/>
      </c>
      <c r="V113" s="40" t="n"/>
    </row>
    <row r="114" ht="15" customHeight="1" s="2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1">
        <f>IF(COUNT(I114:K114)=0,"",MAX(I114:K114))</f>
        <v/>
      </c>
      <c r="M114" s="41">
        <f>IF(L114="","",CHOOSE(L114,"Rendah","Sedang","Tinggi"))</f>
        <v/>
      </c>
      <c r="N114" s="40" t="n"/>
      <c r="O114" s="40" t="n"/>
      <c r="P114" s="40" t="n"/>
      <c r="Q114" s="40" t="n"/>
      <c r="R114" s="40" t="n"/>
      <c r="S114" s="42" t="n"/>
      <c r="T114" s="42" t="n"/>
      <c r="U114" s="43">
        <f>IF(T114="","",EDATE(T114,6))</f>
        <v/>
      </c>
      <c r="V114" s="40" t="n"/>
    </row>
    <row r="115" ht="15" customHeight="1" s="24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1">
        <f>IF(COUNT(I115:K115)=0,"",MAX(I115:K115))</f>
        <v/>
      </c>
      <c r="M115" s="41">
        <f>IF(L115="","",CHOOSE(L115,"Rendah","Sedang","Tinggi"))</f>
        <v/>
      </c>
      <c r="N115" s="40" t="n"/>
      <c r="O115" s="40" t="n"/>
      <c r="P115" s="40" t="n"/>
      <c r="Q115" s="40" t="n"/>
      <c r="R115" s="40" t="n"/>
      <c r="S115" s="42" t="n"/>
      <c r="T115" s="42" t="n"/>
      <c r="U115" s="43">
        <f>IF(T115="","",EDATE(T115,6))</f>
        <v/>
      </c>
      <c r="V115" s="40" t="n"/>
    </row>
    <row r="116" ht="15" customHeight="1" s="24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1">
        <f>IF(COUNT(I116:K116)=0,"",MAX(I116:K116))</f>
        <v/>
      </c>
      <c r="M116" s="41">
        <f>IF(L116="","",CHOOSE(L116,"Rendah","Sedang","Tinggi"))</f>
        <v/>
      </c>
      <c r="N116" s="40" t="n"/>
      <c r="O116" s="40" t="n"/>
      <c r="P116" s="40" t="n"/>
      <c r="Q116" s="40" t="n"/>
      <c r="R116" s="40" t="n"/>
      <c r="S116" s="42" t="n"/>
      <c r="T116" s="42" t="n"/>
      <c r="U116" s="43">
        <f>IF(T116="","",EDATE(T116,6))</f>
        <v/>
      </c>
      <c r="V116" s="40" t="n"/>
    </row>
    <row r="117" ht="15" customHeight="1" s="24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1">
        <f>IF(COUNT(I117:K117)=0,"",MAX(I117:K117))</f>
        <v/>
      </c>
      <c r="M117" s="41">
        <f>IF(L117="","",CHOOSE(L117,"Rendah","Sedang","Tinggi"))</f>
        <v/>
      </c>
      <c r="N117" s="40" t="n"/>
      <c r="O117" s="40" t="n"/>
      <c r="P117" s="40" t="n"/>
      <c r="Q117" s="40" t="n"/>
      <c r="R117" s="40" t="n"/>
      <c r="S117" s="42" t="n"/>
      <c r="T117" s="42" t="n"/>
      <c r="U117" s="43">
        <f>IF(T117="","",EDATE(T117,6))</f>
        <v/>
      </c>
      <c r="V117" s="40" t="n"/>
    </row>
    <row r="118" ht="15" customHeight="1" s="24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1">
        <f>IF(COUNT(I118:K118)=0,"",MAX(I118:K118))</f>
        <v/>
      </c>
      <c r="M118" s="41">
        <f>IF(L118="","",CHOOSE(L118,"Rendah","Sedang","Tinggi"))</f>
        <v/>
      </c>
      <c r="N118" s="40" t="n"/>
      <c r="O118" s="40" t="n"/>
      <c r="P118" s="40" t="n"/>
      <c r="Q118" s="40" t="n"/>
      <c r="R118" s="40" t="n"/>
      <c r="S118" s="42" t="n"/>
      <c r="T118" s="42" t="n"/>
      <c r="U118" s="43">
        <f>IF(T118="","",EDATE(T118,6))</f>
        <v/>
      </c>
      <c r="V118" s="40" t="n"/>
    </row>
    <row r="119" ht="15" customHeight="1" s="24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1">
        <f>IF(COUNT(I119:K119)=0,"",MAX(I119:K119))</f>
        <v/>
      </c>
      <c r="M119" s="41">
        <f>IF(L119="","",CHOOSE(L119,"Rendah","Sedang","Tinggi"))</f>
        <v/>
      </c>
      <c r="N119" s="40" t="n"/>
      <c r="O119" s="40" t="n"/>
      <c r="P119" s="40" t="n"/>
      <c r="Q119" s="40" t="n"/>
      <c r="R119" s="40" t="n"/>
      <c r="S119" s="42" t="n"/>
      <c r="T119" s="42" t="n"/>
      <c r="U119" s="43">
        <f>IF(T119="","",EDATE(T119,6))</f>
        <v/>
      </c>
      <c r="V119" s="40" t="n"/>
    </row>
    <row r="120" ht="15" customHeight="1" s="24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1">
        <f>IF(COUNT(I120:K120)=0,"",MAX(I120:K120))</f>
        <v/>
      </c>
      <c r="M120" s="41">
        <f>IF(L120="","",CHOOSE(L120,"Rendah","Sedang","Tinggi"))</f>
        <v/>
      </c>
      <c r="N120" s="40" t="n"/>
      <c r="O120" s="40" t="n"/>
      <c r="P120" s="40" t="n"/>
      <c r="Q120" s="40" t="n"/>
      <c r="R120" s="40" t="n"/>
      <c r="S120" s="42" t="n"/>
      <c r="T120" s="42" t="n"/>
      <c r="U120" s="43">
        <f>IF(T120="","",EDATE(T120,6))</f>
        <v/>
      </c>
      <c r="V120" s="40" t="n"/>
    </row>
    <row r="121" ht="15" customHeight="1" s="24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1">
        <f>IF(COUNT(I121:K121)=0,"",MAX(I121:K121))</f>
        <v/>
      </c>
      <c r="M121" s="41">
        <f>IF(L121="","",CHOOSE(L121,"Rendah","Sedang","Tinggi"))</f>
        <v/>
      </c>
      <c r="N121" s="40" t="n"/>
      <c r="O121" s="40" t="n"/>
      <c r="P121" s="40" t="n"/>
      <c r="Q121" s="40" t="n"/>
      <c r="R121" s="40" t="n"/>
      <c r="S121" s="42" t="n"/>
      <c r="T121" s="42" t="n"/>
      <c r="U121" s="43">
        <f>IF(T121="","",EDATE(T121,6))</f>
        <v/>
      </c>
      <c r="V121" s="40" t="n"/>
    </row>
    <row r="122" ht="15" customHeight="1" s="24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1">
        <f>IF(COUNT(I122:K122)=0,"",MAX(I122:K122))</f>
        <v/>
      </c>
      <c r="M122" s="41">
        <f>IF(L122="","",CHOOSE(L122,"Rendah","Sedang","Tinggi"))</f>
        <v/>
      </c>
      <c r="N122" s="40" t="n"/>
      <c r="O122" s="40" t="n"/>
      <c r="P122" s="40" t="n"/>
      <c r="Q122" s="40" t="n"/>
      <c r="R122" s="40" t="n"/>
      <c r="S122" s="42" t="n"/>
      <c r="T122" s="42" t="n"/>
      <c r="U122" s="43">
        <f>IF(T122="","",EDATE(T122,6))</f>
        <v/>
      </c>
      <c r="V122" s="40" t="n"/>
    </row>
    <row r="123" ht="15" customHeight="1" s="24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1">
        <f>IF(COUNT(I123:K123)=0,"",MAX(I123:K123))</f>
        <v/>
      </c>
      <c r="M123" s="41">
        <f>IF(L123="","",CHOOSE(L123,"Rendah","Sedang","Tinggi"))</f>
        <v/>
      </c>
      <c r="N123" s="40" t="n"/>
      <c r="O123" s="40" t="n"/>
      <c r="P123" s="40" t="n"/>
      <c r="Q123" s="40" t="n"/>
      <c r="R123" s="40" t="n"/>
      <c r="S123" s="42" t="n"/>
      <c r="T123" s="42" t="n"/>
      <c r="U123" s="43">
        <f>IF(T123="","",EDATE(T123,6))</f>
        <v/>
      </c>
      <c r="V123" s="40" t="n"/>
    </row>
    <row r="124" ht="15" customHeight="1" s="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1">
        <f>IF(COUNT(I124:K124)=0,"",MAX(I124:K124))</f>
        <v/>
      </c>
      <c r="M124" s="41">
        <f>IF(L124="","",CHOOSE(L124,"Rendah","Sedang","Tinggi"))</f>
        <v/>
      </c>
      <c r="N124" s="40" t="n"/>
      <c r="O124" s="40" t="n"/>
      <c r="P124" s="40" t="n"/>
      <c r="Q124" s="40" t="n"/>
      <c r="R124" s="40" t="n"/>
      <c r="S124" s="42" t="n"/>
      <c r="T124" s="42" t="n"/>
      <c r="U124" s="43">
        <f>IF(T124="","",EDATE(T124,6))</f>
        <v/>
      </c>
      <c r="V124" s="40" t="n"/>
    </row>
    <row r="125" ht="15" customHeight="1" s="24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1">
        <f>IF(COUNT(I125:K125)=0,"",MAX(I125:K125))</f>
        <v/>
      </c>
      <c r="M125" s="41">
        <f>IF(L125="","",CHOOSE(L125,"Rendah","Sedang","Tinggi"))</f>
        <v/>
      </c>
      <c r="N125" s="40" t="n"/>
      <c r="O125" s="40" t="n"/>
      <c r="P125" s="40" t="n"/>
      <c r="Q125" s="40" t="n"/>
      <c r="R125" s="40" t="n"/>
      <c r="S125" s="42" t="n"/>
      <c r="T125" s="42" t="n"/>
      <c r="U125" s="43">
        <f>IF(T125="","",EDATE(T125,6))</f>
        <v/>
      </c>
      <c r="V125" s="40" t="n"/>
    </row>
    <row r="126" ht="15" customHeight="1" s="24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1">
        <f>IF(COUNT(I126:K126)=0,"",MAX(I126:K126))</f>
        <v/>
      </c>
      <c r="M126" s="41">
        <f>IF(L126="","",CHOOSE(L126,"Rendah","Sedang","Tinggi"))</f>
        <v/>
      </c>
      <c r="N126" s="40" t="n"/>
      <c r="O126" s="40" t="n"/>
      <c r="P126" s="40" t="n"/>
      <c r="Q126" s="40" t="n"/>
      <c r="R126" s="40" t="n"/>
      <c r="S126" s="42" t="n"/>
      <c r="T126" s="42" t="n"/>
      <c r="U126" s="43">
        <f>IF(T126="","",EDATE(T126,6))</f>
        <v/>
      </c>
      <c r="V126" s="40" t="n"/>
    </row>
    <row r="127" ht="15" customHeight="1" s="24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1">
        <f>IF(COUNT(I127:K127)=0,"",MAX(I127:K127))</f>
        <v/>
      </c>
      <c r="M127" s="41">
        <f>IF(L127="","",CHOOSE(L127,"Rendah","Sedang","Tinggi"))</f>
        <v/>
      </c>
      <c r="N127" s="40" t="n"/>
      <c r="O127" s="40" t="n"/>
      <c r="P127" s="40" t="n"/>
      <c r="Q127" s="40" t="n"/>
      <c r="R127" s="40" t="n"/>
      <c r="S127" s="42" t="n"/>
      <c r="T127" s="42" t="n"/>
      <c r="U127" s="43">
        <f>IF(T127="","",EDATE(T127,6))</f>
        <v/>
      </c>
      <c r="V127" s="40" t="n"/>
    </row>
    <row r="128" ht="15" customHeight="1" s="24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1">
        <f>IF(COUNT(I128:K128)=0,"",MAX(I128:K128))</f>
        <v/>
      </c>
      <c r="M128" s="41">
        <f>IF(L128="","",CHOOSE(L128,"Rendah","Sedang","Tinggi"))</f>
        <v/>
      </c>
      <c r="N128" s="40" t="n"/>
      <c r="O128" s="40" t="n"/>
      <c r="P128" s="40" t="n"/>
      <c r="Q128" s="40" t="n"/>
      <c r="R128" s="40" t="n"/>
      <c r="S128" s="42" t="n"/>
      <c r="T128" s="42" t="n"/>
      <c r="U128" s="43">
        <f>IF(T128="","",EDATE(T128,6))</f>
        <v/>
      </c>
      <c r="V128" s="40" t="n"/>
    </row>
    <row r="129" ht="15" customHeight="1" s="24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1">
        <f>IF(COUNT(I129:K129)=0,"",MAX(I129:K129))</f>
        <v/>
      </c>
      <c r="M129" s="41">
        <f>IF(L129="","",CHOOSE(L129,"Rendah","Sedang","Tinggi"))</f>
        <v/>
      </c>
      <c r="N129" s="40" t="n"/>
      <c r="O129" s="40" t="n"/>
      <c r="P129" s="40" t="n"/>
      <c r="Q129" s="40" t="n"/>
      <c r="R129" s="40" t="n"/>
      <c r="S129" s="42" t="n"/>
      <c r="T129" s="42" t="n"/>
      <c r="U129" s="43">
        <f>IF(T129="","",EDATE(T129,6))</f>
        <v/>
      </c>
      <c r="V129" s="40" t="n"/>
    </row>
    <row r="130" ht="15" customHeight="1" s="24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1">
        <f>IF(COUNT(I130:K130)=0,"",MAX(I130:K130))</f>
        <v/>
      </c>
      <c r="M130" s="41">
        <f>IF(L130="","",CHOOSE(L130,"Rendah","Sedang","Tinggi"))</f>
        <v/>
      </c>
      <c r="N130" s="40" t="n"/>
      <c r="O130" s="40" t="n"/>
      <c r="P130" s="40" t="n"/>
      <c r="Q130" s="40" t="n"/>
      <c r="R130" s="40" t="n"/>
      <c r="S130" s="42" t="n"/>
      <c r="T130" s="42" t="n"/>
      <c r="U130" s="43">
        <f>IF(T130="","",EDATE(T130,6))</f>
        <v/>
      </c>
      <c r="V130" s="40" t="n"/>
    </row>
    <row r="131" ht="15" customHeight="1" s="24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1">
        <f>IF(COUNT(I131:K131)=0,"",MAX(I131:K131))</f>
        <v/>
      </c>
      <c r="M131" s="41">
        <f>IF(L131="","",CHOOSE(L131,"Rendah","Sedang","Tinggi"))</f>
        <v/>
      </c>
      <c r="N131" s="40" t="n"/>
      <c r="O131" s="40" t="n"/>
      <c r="P131" s="40" t="n"/>
      <c r="Q131" s="40" t="n"/>
      <c r="R131" s="40" t="n"/>
      <c r="S131" s="42" t="n"/>
      <c r="T131" s="42" t="n"/>
      <c r="U131" s="43">
        <f>IF(T131="","",EDATE(T131,6))</f>
        <v/>
      </c>
      <c r="V131" s="40" t="n"/>
    </row>
    <row r="132" ht="15" customHeight="1" s="24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1">
        <f>IF(COUNT(I132:K132)=0,"",MAX(I132:K132))</f>
        <v/>
      </c>
      <c r="M132" s="41">
        <f>IF(L132="","",CHOOSE(L132,"Rendah","Sedang","Tinggi"))</f>
        <v/>
      </c>
      <c r="N132" s="40" t="n"/>
      <c r="O132" s="40" t="n"/>
      <c r="P132" s="40" t="n"/>
      <c r="Q132" s="40" t="n"/>
      <c r="R132" s="40" t="n"/>
      <c r="S132" s="42" t="n"/>
      <c r="T132" s="42" t="n"/>
      <c r="U132" s="43">
        <f>IF(T132="","",EDATE(T132,6))</f>
        <v/>
      </c>
      <c r="V132" s="40" t="n"/>
    </row>
    <row r="133" ht="15" customHeight="1" s="24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1">
        <f>IF(COUNT(I133:K133)=0,"",MAX(I133:K133))</f>
        <v/>
      </c>
      <c r="M133" s="41">
        <f>IF(L133="","",CHOOSE(L133,"Rendah","Sedang","Tinggi"))</f>
        <v/>
      </c>
      <c r="N133" s="40" t="n"/>
      <c r="O133" s="40" t="n"/>
      <c r="P133" s="40" t="n"/>
      <c r="Q133" s="40" t="n"/>
      <c r="R133" s="40" t="n"/>
      <c r="S133" s="42" t="n"/>
      <c r="T133" s="42" t="n"/>
      <c r="U133" s="43">
        <f>IF(T133="","",EDATE(T133,6))</f>
        <v/>
      </c>
      <c r="V133" s="40" t="n"/>
    </row>
    <row r="134" ht="15" customHeight="1" s="2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1">
        <f>IF(COUNT(I134:K134)=0,"",MAX(I134:K134))</f>
        <v/>
      </c>
      <c r="M134" s="41">
        <f>IF(L134="","",CHOOSE(L134,"Rendah","Sedang","Tinggi"))</f>
        <v/>
      </c>
      <c r="N134" s="40" t="n"/>
      <c r="O134" s="40" t="n"/>
      <c r="P134" s="40" t="n"/>
      <c r="Q134" s="40" t="n"/>
      <c r="R134" s="40" t="n"/>
      <c r="S134" s="42" t="n"/>
      <c r="T134" s="42" t="n"/>
      <c r="U134" s="43">
        <f>IF(T134="","",EDATE(T134,6))</f>
        <v/>
      </c>
      <c r="V134" s="40" t="n"/>
    </row>
    <row r="135" ht="15" customHeight="1" s="24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1">
        <f>IF(COUNT(I135:K135)=0,"",MAX(I135:K135))</f>
        <v/>
      </c>
      <c r="M135" s="41">
        <f>IF(L135="","",CHOOSE(L135,"Rendah","Sedang","Tinggi"))</f>
        <v/>
      </c>
      <c r="N135" s="40" t="n"/>
      <c r="O135" s="40" t="n"/>
      <c r="P135" s="40" t="n"/>
      <c r="Q135" s="40" t="n"/>
      <c r="R135" s="40" t="n"/>
      <c r="S135" s="42" t="n"/>
      <c r="T135" s="42" t="n"/>
      <c r="U135" s="43">
        <f>IF(T135="","",EDATE(T135,6))</f>
        <v/>
      </c>
      <c r="V135" s="40" t="n"/>
    </row>
    <row r="136" ht="15" customHeight="1" s="24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1">
        <f>IF(COUNT(I136:K136)=0,"",MAX(I136:K136))</f>
        <v/>
      </c>
      <c r="M136" s="41">
        <f>IF(L136="","",CHOOSE(L136,"Rendah","Sedang","Tinggi"))</f>
        <v/>
      </c>
      <c r="N136" s="40" t="n"/>
      <c r="O136" s="40" t="n"/>
      <c r="P136" s="40" t="n"/>
      <c r="Q136" s="40" t="n"/>
      <c r="R136" s="40" t="n"/>
      <c r="S136" s="42" t="n"/>
      <c r="T136" s="42" t="n"/>
      <c r="U136" s="43">
        <f>IF(T136="","",EDATE(T136,6))</f>
        <v/>
      </c>
      <c r="V136" s="40" t="n"/>
    </row>
    <row r="137" ht="15" customHeight="1" s="24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1">
        <f>IF(COUNT(I137:K137)=0,"",MAX(I137:K137))</f>
        <v/>
      </c>
      <c r="M137" s="41">
        <f>IF(L137="","",CHOOSE(L137,"Rendah","Sedang","Tinggi"))</f>
        <v/>
      </c>
      <c r="N137" s="40" t="n"/>
      <c r="O137" s="40" t="n"/>
      <c r="P137" s="40" t="n"/>
      <c r="Q137" s="40" t="n"/>
      <c r="R137" s="40" t="n"/>
      <c r="S137" s="42" t="n"/>
      <c r="T137" s="42" t="n"/>
      <c r="U137" s="43">
        <f>IF(T137="","",EDATE(T137,6))</f>
        <v/>
      </c>
      <c r="V137" s="40" t="n"/>
    </row>
    <row r="138" ht="15" customHeight="1" s="24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1">
        <f>IF(COUNT(I138:K138)=0,"",MAX(I138:K138))</f>
        <v/>
      </c>
      <c r="M138" s="41">
        <f>IF(L138="","",CHOOSE(L138,"Rendah","Sedang","Tinggi"))</f>
        <v/>
      </c>
      <c r="N138" s="40" t="n"/>
      <c r="O138" s="40" t="n"/>
      <c r="P138" s="40" t="n"/>
      <c r="Q138" s="40" t="n"/>
      <c r="R138" s="40" t="n"/>
      <c r="S138" s="42" t="n"/>
      <c r="T138" s="42" t="n"/>
      <c r="U138" s="43">
        <f>IF(T138="","",EDATE(T138,6))</f>
        <v/>
      </c>
      <c r="V138" s="40" t="n"/>
    </row>
    <row r="139" ht="15" customHeight="1" s="24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1">
        <f>IF(COUNT(I139:K139)=0,"",MAX(I139:K139))</f>
        <v/>
      </c>
      <c r="M139" s="41">
        <f>IF(L139="","",CHOOSE(L139,"Rendah","Sedang","Tinggi"))</f>
        <v/>
      </c>
      <c r="N139" s="40" t="n"/>
      <c r="O139" s="40" t="n"/>
      <c r="P139" s="40" t="n"/>
      <c r="Q139" s="40" t="n"/>
      <c r="R139" s="40" t="n"/>
      <c r="S139" s="42" t="n"/>
      <c r="T139" s="42" t="n"/>
      <c r="U139" s="43">
        <f>IF(T139="","",EDATE(T139,6))</f>
        <v/>
      </c>
      <c r="V139" s="40" t="n"/>
    </row>
    <row r="140" ht="15" customHeight="1" s="24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1">
        <f>IF(COUNT(I140:K140)=0,"",MAX(I140:K140))</f>
        <v/>
      </c>
      <c r="M140" s="41">
        <f>IF(L140="","",CHOOSE(L140,"Rendah","Sedang","Tinggi"))</f>
        <v/>
      </c>
      <c r="N140" s="40" t="n"/>
      <c r="O140" s="40" t="n"/>
      <c r="P140" s="40" t="n"/>
      <c r="Q140" s="40" t="n"/>
      <c r="R140" s="40" t="n"/>
      <c r="S140" s="42" t="n"/>
      <c r="T140" s="42" t="n"/>
      <c r="U140" s="43">
        <f>IF(T140="","",EDATE(T140,6))</f>
        <v/>
      </c>
      <c r="V140" s="40" t="n"/>
    </row>
    <row r="141" ht="15" customHeight="1" s="24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1">
        <f>IF(COUNT(I141:K141)=0,"",MAX(I141:K141))</f>
        <v/>
      </c>
      <c r="M141" s="41">
        <f>IF(L141="","",CHOOSE(L141,"Rendah","Sedang","Tinggi"))</f>
        <v/>
      </c>
      <c r="N141" s="40" t="n"/>
      <c r="O141" s="40" t="n"/>
      <c r="P141" s="40" t="n"/>
      <c r="Q141" s="40" t="n"/>
      <c r="R141" s="40" t="n"/>
      <c r="S141" s="42" t="n"/>
      <c r="T141" s="42" t="n"/>
      <c r="U141" s="43">
        <f>IF(T141="","",EDATE(T141,6))</f>
        <v/>
      </c>
      <c r="V141" s="40" t="n"/>
    </row>
    <row r="142" ht="15" customHeight="1" s="24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1">
        <f>IF(COUNT(I142:K142)=0,"",MAX(I142:K142))</f>
        <v/>
      </c>
      <c r="M142" s="41">
        <f>IF(L142="","",CHOOSE(L142,"Rendah","Sedang","Tinggi"))</f>
        <v/>
      </c>
      <c r="N142" s="40" t="n"/>
      <c r="O142" s="40" t="n"/>
      <c r="P142" s="40" t="n"/>
      <c r="Q142" s="40" t="n"/>
      <c r="R142" s="40" t="n"/>
      <c r="S142" s="42" t="n"/>
      <c r="T142" s="42" t="n"/>
      <c r="U142" s="43">
        <f>IF(T142="","",EDATE(T142,6))</f>
        <v/>
      </c>
      <c r="V142" s="40" t="n"/>
    </row>
    <row r="143" ht="15" customHeight="1" s="24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1">
        <f>IF(COUNT(I143:K143)=0,"",MAX(I143:K143))</f>
        <v/>
      </c>
      <c r="M143" s="41">
        <f>IF(L143="","",CHOOSE(L143,"Rendah","Sedang","Tinggi"))</f>
        <v/>
      </c>
      <c r="N143" s="40" t="n"/>
      <c r="O143" s="40" t="n"/>
      <c r="P143" s="40" t="n"/>
      <c r="Q143" s="40" t="n"/>
      <c r="R143" s="40" t="n"/>
      <c r="S143" s="42" t="n"/>
      <c r="T143" s="42" t="n"/>
      <c r="U143" s="43">
        <f>IF(T143="","",EDATE(T143,6))</f>
        <v/>
      </c>
      <c r="V143" s="40" t="n"/>
    </row>
    <row r="144" ht="15" customHeight="1" s="2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1">
        <f>IF(COUNT(I144:K144)=0,"",MAX(I144:K144))</f>
        <v/>
      </c>
      <c r="M144" s="41">
        <f>IF(L144="","",CHOOSE(L144,"Rendah","Sedang","Tinggi"))</f>
        <v/>
      </c>
      <c r="N144" s="40" t="n"/>
      <c r="O144" s="40" t="n"/>
      <c r="P144" s="40" t="n"/>
      <c r="Q144" s="40" t="n"/>
      <c r="R144" s="40" t="n"/>
      <c r="S144" s="42" t="n"/>
      <c r="T144" s="42" t="n"/>
      <c r="U144" s="43">
        <f>IF(T144="","",EDATE(T144,6))</f>
        <v/>
      </c>
      <c r="V144" s="40" t="n"/>
    </row>
    <row r="145" ht="15" customHeight="1" s="24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1">
        <f>IF(COUNT(I145:K145)=0,"",MAX(I145:K145))</f>
        <v/>
      </c>
      <c r="M145" s="41">
        <f>IF(L145="","",CHOOSE(L145,"Rendah","Sedang","Tinggi"))</f>
        <v/>
      </c>
      <c r="N145" s="40" t="n"/>
      <c r="O145" s="40" t="n"/>
      <c r="P145" s="40" t="n"/>
      <c r="Q145" s="40" t="n"/>
      <c r="R145" s="40" t="n"/>
      <c r="S145" s="42" t="n"/>
      <c r="T145" s="42" t="n"/>
      <c r="U145" s="43">
        <f>IF(T145="","",EDATE(T145,6))</f>
        <v/>
      </c>
      <c r="V145" s="40" t="n"/>
    </row>
    <row r="146" ht="15" customHeight="1" s="24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1">
        <f>IF(COUNT(I146:K146)=0,"",MAX(I146:K146))</f>
        <v/>
      </c>
      <c r="M146" s="41">
        <f>IF(L146="","",CHOOSE(L146,"Rendah","Sedang","Tinggi"))</f>
        <v/>
      </c>
      <c r="N146" s="40" t="n"/>
      <c r="O146" s="40" t="n"/>
      <c r="P146" s="40" t="n"/>
      <c r="Q146" s="40" t="n"/>
      <c r="R146" s="40" t="n"/>
      <c r="S146" s="42" t="n"/>
      <c r="T146" s="42" t="n"/>
      <c r="U146" s="43">
        <f>IF(T146="","",EDATE(T146,6))</f>
        <v/>
      </c>
      <c r="V146" s="40" t="n"/>
    </row>
    <row r="147" ht="15" customHeight="1" s="24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1">
        <f>IF(COUNT(I147:K147)=0,"",MAX(I147:K147))</f>
        <v/>
      </c>
      <c r="M147" s="41">
        <f>IF(L147="","",CHOOSE(L147,"Rendah","Sedang","Tinggi"))</f>
        <v/>
      </c>
      <c r="N147" s="40" t="n"/>
      <c r="O147" s="40" t="n"/>
      <c r="P147" s="40" t="n"/>
      <c r="Q147" s="40" t="n"/>
      <c r="R147" s="40" t="n"/>
      <c r="S147" s="42" t="n"/>
      <c r="T147" s="42" t="n"/>
      <c r="U147" s="43">
        <f>IF(T147="","",EDATE(T147,6))</f>
        <v/>
      </c>
      <c r="V147" s="40" t="n"/>
    </row>
    <row r="148" ht="15" customHeight="1" s="24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1">
        <f>IF(COUNT(I148:K148)=0,"",MAX(I148:K148))</f>
        <v/>
      </c>
      <c r="M148" s="41">
        <f>IF(L148="","",CHOOSE(L148,"Rendah","Sedang","Tinggi"))</f>
        <v/>
      </c>
      <c r="N148" s="40" t="n"/>
      <c r="O148" s="40" t="n"/>
      <c r="P148" s="40" t="n"/>
      <c r="Q148" s="40" t="n"/>
      <c r="R148" s="40" t="n"/>
      <c r="S148" s="42" t="n"/>
      <c r="T148" s="42" t="n"/>
      <c r="U148" s="43">
        <f>IF(T148="","",EDATE(T148,6))</f>
        <v/>
      </c>
      <c r="V148" s="40" t="n"/>
    </row>
    <row r="149" ht="15" customHeight="1" s="24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1">
        <f>IF(COUNT(I149:K149)=0,"",MAX(I149:K149))</f>
        <v/>
      </c>
      <c r="M149" s="41">
        <f>IF(L149="","",CHOOSE(L149,"Rendah","Sedang","Tinggi"))</f>
        <v/>
      </c>
      <c r="N149" s="40" t="n"/>
      <c r="O149" s="40" t="n"/>
      <c r="P149" s="40" t="n"/>
      <c r="Q149" s="40" t="n"/>
      <c r="R149" s="40" t="n"/>
      <c r="S149" s="42" t="n"/>
      <c r="T149" s="42" t="n"/>
      <c r="U149" s="43">
        <f>IF(T149="","",EDATE(T149,6))</f>
        <v/>
      </c>
      <c r="V149" s="40" t="n"/>
    </row>
    <row r="150" ht="15" customHeight="1" s="24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1">
        <f>IF(COUNT(I150:K150)=0,"",MAX(I150:K150))</f>
        <v/>
      </c>
      <c r="M150" s="41">
        <f>IF(L150="","",CHOOSE(L150,"Rendah","Sedang","Tinggi"))</f>
        <v/>
      </c>
      <c r="N150" s="40" t="n"/>
      <c r="O150" s="40" t="n"/>
      <c r="P150" s="40" t="n"/>
      <c r="Q150" s="40" t="n"/>
      <c r="R150" s="40" t="n"/>
      <c r="S150" s="42" t="n"/>
      <c r="T150" s="42" t="n"/>
      <c r="U150" s="43">
        <f>IF(T150="","",EDATE(T150,6))</f>
        <v/>
      </c>
      <c r="V150" s="40" t="n"/>
    </row>
    <row r="151" ht="15" customHeight="1" s="24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1">
        <f>IF(COUNT(I151:K151)=0,"",MAX(I151:K151))</f>
        <v/>
      </c>
      <c r="M151" s="41">
        <f>IF(L151="","",CHOOSE(L151,"Rendah","Sedang","Tinggi"))</f>
        <v/>
      </c>
      <c r="N151" s="40" t="n"/>
      <c r="O151" s="40" t="n"/>
      <c r="P151" s="40" t="n"/>
      <c r="Q151" s="40" t="n"/>
      <c r="R151" s="40" t="n"/>
      <c r="S151" s="42" t="n"/>
      <c r="T151" s="42" t="n"/>
      <c r="U151" s="43">
        <f>IF(T151="","",EDATE(T151,6))</f>
        <v/>
      </c>
      <c r="V151" s="40" t="n"/>
    </row>
    <row r="152" ht="15" customHeight="1" s="24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1">
        <f>IF(COUNT(I152:K152)=0,"",MAX(I152:K152))</f>
        <v/>
      </c>
      <c r="M152" s="41">
        <f>IF(L152="","",CHOOSE(L152,"Rendah","Sedang","Tinggi"))</f>
        <v/>
      </c>
      <c r="N152" s="40" t="n"/>
      <c r="O152" s="40" t="n"/>
      <c r="P152" s="40" t="n"/>
      <c r="Q152" s="40" t="n"/>
      <c r="R152" s="40" t="n"/>
      <c r="S152" s="42" t="n"/>
      <c r="T152" s="42" t="n"/>
      <c r="U152" s="43">
        <f>IF(T152="","",EDATE(T152,6))</f>
        <v/>
      </c>
      <c r="V152" s="40" t="n"/>
    </row>
    <row r="153" ht="15" customHeight="1" s="24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1">
        <f>IF(COUNT(I153:K153)=0,"",MAX(I153:K153))</f>
        <v/>
      </c>
      <c r="M153" s="41">
        <f>IF(L153="","",CHOOSE(L153,"Rendah","Sedang","Tinggi"))</f>
        <v/>
      </c>
      <c r="N153" s="40" t="n"/>
      <c r="O153" s="40" t="n"/>
      <c r="P153" s="40" t="n"/>
      <c r="Q153" s="40" t="n"/>
      <c r="R153" s="40" t="n"/>
      <c r="S153" s="42" t="n"/>
      <c r="T153" s="42" t="n"/>
      <c r="U153" s="43">
        <f>IF(T153="","",EDATE(T153,6))</f>
        <v/>
      </c>
      <c r="V153" s="40" t="n"/>
    </row>
    <row r="154" ht="15" customHeight="1" s="2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1">
        <f>IF(COUNT(I154:K154)=0,"",MAX(I154:K154))</f>
        <v/>
      </c>
      <c r="M154" s="41">
        <f>IF(L154="","",CHOOSE(L154,"Rendah","Sedang","Tinggi"))</f>
        <v/>
      </c>
      <c r="N154" s="40" t="n"/>
      <c r="O154" s="40" t="n"/>
      <c r="P154" s="40" t="n"/>
      <c r="Q154" s="40" t="n"/>
      <c r="R154" s="40" t="n"/>
      <c r="S154" s="42" t="n"/>
      <c r="T154" s="42" t="n"/>
      <c r="U154" s="43">
        <f>IF(T154="","",EDATE(T154,6))</f>
        <v/>
      </c>
      <c r="V154" s="40" t="n"/>
    </row>
    <row r="155" ht="15" customHeight="1" s="24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1">
        <f>IF(COUNT(I155:K155)=0,"",MAX(I155:K155))</f>
        <v/>
      </c>
      <c r="M155" s="41">
        <f>IF(L155="","",CHOOSE(L155,"Rendah","Sedang","Tinggi"))</f>
        <v/>
      </c>
      <c r="N155" s="40" t="n"/>
      <c r="O155" s="40" t="n"/>
      <c r="P155" s="40" t="n"/>
      <c r="Q155" s="40" t="n"/>
      <c r="R155" s="40" t="n"/>
      <c r="S155" s="42" t="n"/>
      <c r="T155" s="42" t="n"/>
      <c r="U155" s="43">
        <f>IF(T155="","",EDATE(T155,6))</f>
        <v/>
      </c>
      <c r="V155" s="40" t="n"/>
    </row>
    <row r="156" ht="15" customHeight="1" s="24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1">
        <f>IF(COUNT(I156:K156)=0,"",MAX(I156:K156))</f>
        <v/>
      </c>
      <c r="M156" s="41">
        <f>IF(L156="","",CHOOSE(L156,"Rendah","Sedang","Tinggi"))</f>
        <v/>
      </c>
      <c r="N156" s="40" t="n"/>
      <c r="O156" s="40" t="n"/>
      <c r="P156" s="40" t="n"/>
      <c r="Q156" s="40" t="n"/>
      <c r="R156" s="40" t="n"/>
      <c r="S156" s="42" t="n"/>
      <c r="T156" s="42" t="n"/>
      <c r="U156" s="43">
        <f>IF(T156="","",EDATE(T156,6))</f>
        <v/>
      </c>
      <c r="V156" s="40" t="n"/>
    </row>
    <row r="157" ht="15" customHeight="1" s="24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1">
        <f>IF(COUNT(I157:K157)=0,"",MAX(I157:K157))</f>
        <v/>
      </c>
      <c r="M157" s="41">
        <f>IF(L157="","",CHOOSE(L157,"Rendah","Sedang","Tinggi"))</f>
        <v/>
      </c>
      <c r="N157" s="40" t="n"/>
      <c r="O157" s="40" t="n"/>
      <c r="P157" s="40" t="n"/>
      <c r="Q157" s="40" t="n"/>
      <c r="R157" s="40" t="n"/>
      <c r="S157" s="42" t="n"/>
      <c r="T157" s="42" t="n"/>
      <c r="U157" s="43">
        <f>IF(T157="","",EDATE(T157,6))</f>
        <v/>
      </c>
      <c r="V157" s="40" t="n"/>
    </row>
    <row r="158" ht="15" customHeight="1" s="24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1">
        <f>IF(COUNT(I158:K158)=0,"",MAX(I158:K158))</f>
        <v/>
      </c>
      <c r="M158" s="41">
        <f>IF(L158="","",CHOOSE(L158,"Rendah","Sedang","Tinggi"))</f>
        <v/>
      </c>
      <c r="N158" s="40" t="n"/>
      <c r="O158" s="40" t="n"/>
      <c r="P158" s="40" t="n"/>
      <c r="Q158" s="40" t="n"/>
      <c r="R158" s="40" t="n"/>
      <c r="S158" s="42" t="n"/>
      <c r="T158" s="42" t="n"/>
      <c r="U158" s="43">
        <f>IF(T158="","",EDATE(T158,6))</f>
        <v/>
      </c>
      <c r="V158" s="40" t="n"/>
    </row>
    <row r="159" ht="15" customHeight="1" s="24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1">
        <f>IF(COUNT(I159:K159)=0,"",MAX(I159:K159))</f>
        <v/>
      </c>
      <c r="M159" s="41">
        <f>IF(L159="","",CHOOSE(L159,"Rendah","Sedang","Tinggi"))</f>
        <v/>
      </c>
      <c r="N159" s="40" t="n"/>
      <c r="O159" s="40" t="n"/>
      <c r="P159" s="40" t="n"/>
      <c r="Q159" s="40" t="n"/>
      <c r="R159" s="40" t="n"/>
      <c r="S159" s="42" t="n"/>
      <c r="T159" s="42" t="n"/>
      <c r="U159" s="43">
        <f>IF(T159="","",EDATE(T159,6))</f>
        <v/>
      </c>
      <c r="V159" s="40" t="n"/>
    </row>
    <row r="160" ht="15" customHeight="1" s="24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1">
        <f>IF(COUNT(I160:K160)=0,"",MAX(I160:K160))</f>
        <v/>
      </c>
      <c r="M160" s="41">
        <f>IF(L160="","",CHOOSE(L160,"Rendah","Sedang","Tinggi"))</f>
        <v/>
      </c>
      <c r="N160" s="40" t="n"/>
      <c r="O160" s="40" t="n"/>
      <c r="P160" s="40" t="n"/>
      <c r="Q160" s="40" t="n"/>
      <c r="R160" s="40" t="n"/>
      <c r="S160" s="42" t="n"/>
      <c r="T160" s="42" t="n"/>
      <c r="U160" s="43">
        <f>IF(T160="","",EDATE(T160,6))</f>
        <v/>
      </c>
      <c r="V160" s="40" t="n"/>
    </row>
    <row r="161" ht="15" customHeight="1" s="24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1">
        <f>IF(COUNT(I161:K161)=0,"",MAX(I161:K161))</f>
        <v/>
      </c>
      <c r="M161" s="41">
        <f>IF(L161="","",CHOOSE(L161,"Rendah","Sedang","Tinggi"))</f>
        <v/>
      </c>
      <c r="N161" s="40" t="n"/>
      <c r="O161" s="40" t="n"/>
      <c r="P161" s="40" t="n"/>
      <c r="Q161" s="40" t="n"/>
      <c r="R161" s="40" t="n"/>
      <c r="S161" s="42" t="n"/>
      <c r="T161" s="42" t="n"/>
      <c r="U161" s="43">
        <f>IF(T161="","",EDATE(T161,6))</f>
        <v/>
      </c>
      <c r="V161" s="40" t="n"/>
    </row>
    <row r="162" ht="15" customHeight="1" s="24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1">
        <f>IF(COUNT(I162:K162)=0,"",MAX(I162:K162))</f>
        <v/>
      </c>
      <c r="M162" s="41">
        <f>IF(L162="","",CHOOSE(L162,"Rendah","Sedang","Tinggi"))</f>
        <v/>
      </c>
      <c r="N162" s="40" t="n"/>
      <c r="O162" s="40" t="n"/>
      <c r="P162" s="40" t="n"/>
      <c r="Q162" s="40" t="n"/>
      <c r="R162" s="40" t="n"/>
      <c r="S162" s="42" t="n"/>
      <c r="T162" s="42" t="n"/>
      <c r="U162" s="43">
        <f>IF(T162="","",EDATE(T162,6))</f>
        <v/>
      </c>
      <c r="V162" s="40" t="n"/>
    </row>
    <row r="163" ht="15" customHeight="1" s="24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1">
        <f>IF(COUNT(I163:K163)=0,"",MAX(I163:K163))</f>
        <v/>
      </c>
      <c r="M163" s="41">
        <f>IF(L163="","",CHOOSE(L163,"Rendah","Sedang","Tinggi"))</f>
        <v/>
      </c>
      <c r="N163" s="40" t="n"/>
      <c r="O163" s="40" t="n"/>
      <c r="P163" s="40" t="n"/>
      <c r="Q163" s="40" t="n"/>
      <c r="R163" s="40" t="n"/>
      <c r="S163" s="42" t="n"/>
      <c r="T163" s="42" t="n"/>
      <c r="U163" s="43">
        <f>IF(T163="","",EDATE(T163,6))</f>
        <v/>
      </c>
      <c r="V163" s="40" t="n"/>
    </row>
    <row r="164" ht="15" customHeight="1" s="2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1">
        <f>IF(COUNT(I164:K164)=0,"",MAX(I164:K164))</f>
        <v/>
      </c>
      <c r="M164" s="41">
        <f>IF(L164="","",CHOOSE(L164,"Rendah","Sedang","Tinggi"))</f>
        <v/>
      </c>
      <c r="N164" s="40" t="n"/>
      <c r="O164" s="40" t="n"/>
      <c r="P164" s="40" t="n"/>
      <c r="Q164" s="40" t="n"/>
      <c r="R164" s="40" t="n"/>
      <c r="S164" s="42" t="n"/>
      <c r="T164" s="42" t="n"/>
      <c r="U164" s="43">
        <f>IF(T164="","",EDATE(T164,6))</f>
        <v/>
      </c>
      <c r="V164" s="40" t="n"/>
    </row>
    <row r="165" ht="15" customHeight="1" s="24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1">
        <f>IF(COUNT(I165:K165)=0,"",MAX(I165:K165))</f>
        <v/>
      </c>
      <c r="M165" s="41">
        <f>IF(L165="","",CHOOSE(L165,"Rendah","Sedang","Tinggi"))</f>
        <v/>
      </c>
      <c r="N165" s="40" t="n"/>
      <c r="O165" s="40" t="n"/>
      <c r="P165" s="40" t="n"/>
      <c r="Q165" s="40" t="n"/>
      <c r="R165" s="40" t="n"/>
      <c r="S165" s="42" t="n"/>
      <c r="T165" s="42" t="n"/>
      <c r="U165" s="43">
        <f>IF(T165="","",EDATE(T165,6))</f>
        <v/>
      </c>
      <c r="V165" s="40" t="n"/>
    </row>
    <row r="166" ht="15" customHeight="1" s="24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1">
        <f>IF(COUNT(I166:K166)=0,"",MAX(I166:K166))</f>
        <v/>
      </c>
      <c r="M166" s="41">
        <f>IF(L166="","",CHOOSE(L166,"Rendah","Sedang","Tinggi"))</f>
        <v/>
      </c>
      <c r="N166" s="40" t="n"/>
      <c r="O166" s="40" t="n"/>
      <c r="P166" s="40" t="n"/>
      <c r="Q166" s="40" t="n"/>
      <c r="R166" s="40" t="n"/>
      <c r="S166" s="42" t="n"/>
      <c r="T166" s="42" t="n"/>
      <c r="U166" s="43">
        <f>IF(T166="","",EDATE(T166,6))</f>
        <v/>
      </c>
      <c r="V166" s="40" t="n"/>
    </row>
    <row r="167" ht="15" customHeight="1" s="24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1">
        <f>IF(COUNT(I167:K167)=0,"",MAX(I167:K167))</f>
        <v/>
      </c>
      <c r="M167" s="41">
        <f>IF(L167="","",CHOOSE(L167,"Rendah","Sedang","Tinggi"))</f>
        <v/>
      </c>
      <c r="N167" s="40" t="n"/>
      <c r="O167" s="40" t="n"/>
      <c r="P167" s="40" t="n"/>
      <c r="Q167" s="40" t="n"/>
      <c r="R167" s="40" t="n"/>
      <c r="S167" s="42" t="n"/>
      <c r="T167" s="42" t="n"/>
      <c r="U167" s="43">
        <f>IF(T167="","",EDATE(T167,6))</f>
        <v/>
      </c>
      <c r="V167" s="40" t="n"/>
    </row>
    <row r="168" ht="15" customHeight="1" s="24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1">
        <f>IF(COUNT(I168:K168)=0,"",MAX(I168:K168))</f>
        <v/>
      </c>
      <c r="M168" s="41">
        <f>IF(L168="","",CHOOSE(L168,"Rendah","Sedang","Tinggi"))</f>
        <v/>
      </c>
      <c r="N168" s="40" t="n"/>
      <c r="O168" s="40" t="n"/>
      <c r="P168" s="40" t="n"/>
      <c r="Q168" s="40" t="n"/>
      <c r="R168" s="40" t="n"/>
      <c r="S168" s="42" t="n"/>
      <c r="T168" s="42" t="n"/>
      <c r="U168" s="43">
        <f>IF(T168="","",EDATE(T168,6))</f>
        <v/>
      </c>
      <c r="V168" s="40" t="n"/>
    </row>
    <row r="169" ht="15" customHeight="1" s="24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1">
        <f>IF(COUNT(I169:K169)=0,"",MAX(I169:K169))</f>
        <v/>
      </c>
      <c r="M169" s="41">
        <f>IF(L169="","",CHOOSE(L169,"Rendah","Sedang","Tinggi"))</f>
        <v/>
      </c>
      <c r="N169" s="40" t="n"/>
      <c r="O169" s="40" t="n"/>
      <c r="P169" s="40" t="n"/>
      <c r="Q169" s="40" t="n"/>
      <c r="R169" s="40" t="n"/>
      <c r="S169" s="42" t="n"/>
      <c r="T169" s="42" t="n"/>
      <c r="U169" s="43">
        <f>IF(T169="","",EDATE(T169,6))</f>
        <v/>
      </c>
      <c r="V169" s="40" t="n"/>
    </row>
    <row r="170" ht="15" customHeight="1" s="24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1">
        <f>IF(COUNT(I170:K170)=0,"",MAX(I170:K170))</f>
        <v/>
      </c>
      <c r="M170" s="41">
        <f>IF(L170="","",CHOOSE(L170,"Rendah","Sedang","Tinggi"))</f>
        <v/>
      </c>
      <c r="N170" s="40" t="n"/>
      <c r="O170" s="40" t="n"/>
      <c r="P170" s="40" t="n"/>
      <c r="Q170" s="40" t="n"/>
      <c r="R170" s="40" t="n"/>
      <c r="S170" s="42" t="n"/>
      <c r="T170" s="42" t="n"/>
      <c r="U170" s="43">
        <f>IF(T170="","",EDATE(T170,6))</f>
        <v/>
      </c>
      <c r="V170" s="40" t="n"/>
    </row>
    <row r="171" ht="15" customHeight="1" s="24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1">
        <f>IF(COUNT(I171:K171)=0,"",MAX(I171:K171))</f>
        <v/>
      </c>
      <c r="M171" s="41">
        <f>IF(L171="","",CHOOSE(L171,"Rendah","Sedang","Tinggi"))</f>
        <v/>
      </c>
      <c r="N171" s="40" t="n"/>
      <c r="O171" s="40" t="n"/>
      <c r="P171" s="40" t="n"/>
      <c r="Q171" s="40" t="n"/>
      <c r="R171" s="40" t="n"/>
      <c r="S171" s="42" t="n"/>
      <c r="T171" s="42" t="n"/>
      <c r="U171" s="43">
        <f>IF(T171="","",EDATE(T171,6))</f>
        <v/>
      </c>
      <c r="V171" s="40" t="n"/>
    </row>
    <row r="172" ht="15" customHeight="1" s="24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1">
        <f>IF(COUNT(I172:K172)=0,"",MAX(I172:K172))</f>
        <v/>
      </c>
      <c r="M172" s="41">
        <f>IF(L172="","",CHOOSE(L172,"Rendah","Sedang","Tinggi"))</f>
        <v/>
      </c>
      <c r="N172" s="40" t="n"/>
      <c r="O172" s="40" t="n"/>
      <c r="P172" s="40" t="n"/>
      <c r="Q172" s="40" t="n"/>
      <c r="R172" s="40" t="n"/>
      <c r="S172" s="42" t="n"/>
      <c r="T172" s="42" t="n"/>
      <c r="U172" s="43">
        <f>IF(T172="","",EDATE(T172,6))</f>
        <v/>
      </c>
      <c r="V172" s="40" t="n"/>
    </row>
    <row r="173" ht="15" customHeight="1" s="24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1">
        <f>IF(COUNT(I173:K173)=0,"",MAX(I173:K173))</f>
        <v/>
      </c>
      <c r="M173" s="41">
        <f>IF(L173="","",CHOOSE(L173,"Rendah","Sedang","Tinggi"))</f>
        <v/>
      </c>
      <c r="N173" s="40" t="n"/>
      <c r="O173" s="40" t="n"/>
      <c r="P173" s="40" t="n"/>
      <c r="Q173" s="40" t="n"/>
      <c r="R173" s="40" t="n"/>
      <c r="S173" s="42" t="n"/>
      <c r="T173" s="42" t="n"/>
      <c r="U173" s="43">
        <f>IF(T173="","",EDATE(T173,6))</f>
        <v/>
      </c>
      <c r="V173" s="40" t="n"/>
    </row>
    <row r="174" ht="15" customHeight="1" s="2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1">
        <f>IF(COUNT(I174:K174)=0,"",MAX(I174:K174))</f>
        <v/>
      </c>
      <c r="M174" s="41">
        <f>IF(L174="","",CHOOSE(L174,"Rendah","Sedang","Tinggi"))</f>
        <v/>
      </c>
      <c r="N174" s="40" t="n"/>
      <c r="O174" s="40" t="n"/>
      <c r="P174" s="40" t="n"/>
      <c r="Q174" s="40" t="n"/>
      <c r="R174" s="40" t="n"/>
      <c r="S174" s="42" t="n"/>
      <c r="T174" s="42" t="n"/>
      <c r="U174" s="43">
        <f>IF(T174="","",EDATE(T174,6))</f>
        <v/>
      </c>
      <c r="V174" s="40" t="n"/>
    </row>
    <row r="175" ht="15" customHeight="1" s="24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1">
        <f>IF(COUNT(I175:K175)=0,"",MAX(I175:K175))</f>
        <v/>
      </c>
      <c r="M175" s="41">
        <f>IF(L175="","",CHOOSE(L175,"Rendah","Sedang","Tinggi"))</f>
        <v/>
      </c>
      <c r="N175" s="40" t="n"/>
      <c r="O175" s="40" t="n"/>
      <c r="P175" s="40" t="n"/>
      <c r="Q175" s="40" t="n"/>
      <c r="R175" s="40" t="n"/>
      <c r="S175" s="42" t="n"/>
      <c r="T175" s="42" t="n"/>
      <c r="U175" s="43">
        <f>IF(T175="","",EDATE(T175,6))</f>
        <v/>
      </c>
      <c r="V175" s="40" t="n"/>
    </row>
    <row r="176" ht="15" customHeight="1" s="24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1">
        <f>IF(COUNT(I176:K176)=0,"",MAX(I176:K176))</f>
        <v/>
      </c>
      <c r="M176" s="41">
        <f>IF(L176="","",CHOOSE(L176,"Rendah","Sedang","Tinggi"))</f>
        <v/>
      </c>
      <c r="N176" s="40" t="n"/>
      <c r="O176" s="40" t="n"/>
      <c r="P176" s="40" t="n"/>
      <c r="Q176" s="40" t="n"/>
      <c r="R176" s="40" t="n"/>
      <c r="S176" s="42" t="n"/>
      <c r="T176" s="42" t="n"/>
      <c r="U176" s="43">
        <f>IF(T176="","",EDATE(T176,6))</f>
        <v/>
      </c>
      <c r="V176" s="40" t="n"/>
    </row>
    <row r="177" ht="15" customHeight="1" s="24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1">
        <f>IF(COUNT(I177:K177)=0,"",MAX(I177:K177))</f>
        <v/>
      </c>
      <c r="M177" s="41">
        <f>IF(L177="","",CHOOSE(L177,"Rendah","Sedang","Tinggi"))</f>
        <v/>
      </c>
      <c r="N177" s="40" t="n"/>
      <c r="O177" s="40" t="n"/>
      <c r="P177" s="40" t="n"/>
      <c r="Q177" s="40" t="n"/>
      <c r="R177" s="40" t="n"/>
      <c r="S177" s="42" t="n"/>
      <c r="T177" s="42" t="n"/>
      <c r="U177" s="43">
        <f>IF(T177="","",EDATE(T177,6))</f>
        <v/>
      </c>
      <c r="V177" s="40" t="n"/>
    </row>
    <row r="178" ht="15" customHeight="1" s="24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1">
        <f>IF(COUNT(I178:K178)=0,"",MAX(I178:K178))</f>
        <v/>
      </c>
      <c r="M178" s="41">
        <f>IF(L178="","",CHOOSE(L178,"Rendah","Sedang","Tinggi"))</f>
        <v/>
      </c>
      <c r="N178" s="40" t="n"/>
      <c r="O178" s="40" t="n"/>
      <c r="P178" s="40" t="n"/>
      <c r="Q178" s="40" t="n"/>
      <c r="R178" s="40" t="n"/>
      <c r="S178" s="42" t="n"/>
      <c r="T178" s="42" t="n"/>
      <c r="U178" s="43">
        <f>IF(T178="","",EDATE(T178,6))</f>
        <v/>
      </c>
      <c r="V178" s="40" t="n"/>
    </row>
    <row r="179" ht="15" customHeight="1" s="24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1">
        <f>IF(COUNT(I179:K179)=0,"",MAX(I179:K179))</f>
        <v/>
      </c>
      <c r="M179" s="41">
        <f>IF(L179="","",CHOOSE(L179,"Rendah","Sedang","Tinggi"))</f>
        <v/>
      </c>
      <c r="N179" s="40" t="n"/>
      <c r="O179" s="40" t="n"/>
      <c r="P179" s="40" t="n"/>
      <c r="Q179" s="40" t="n"/>
      <c r="R179" s="40" t="n"/>
      <c r="S179" s="42" t="n"/>
      <c r="T179" s="42" t="n"/>
      <c r="U179" s="43">
        <f>IF(T179="","",EDATE(T179,6))</f>
        <v/>
      </c>
      <c r="V179" s="40" t="n"/>
    </row>
    <row r="180" ht="15" customHeight="1" s="24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1">
        <f>IF(COUNT(I180:K180)=0,"",MAX(I180:K180))</f>
        <v/>
      </c>
      <c r="M180" s="41">
        <f>IF(L180="","",CHOOSE(L180,"Rendah","Sedang","Tinggi"))</f>
        <v/>
      </c>
      <c r="N180" s="40" t="n"/>
      <c r="O180" s="40" t="n"/>
      <c r="P180" s="40" t="n"/>
      <c r="Q180" s="40" t="n"/>
      <c r="R180" s="40" t="n"/>
      <c r="S180" s="42" t="n"/>
      <c r="T180" s="42" t="n"/>
      <c r="U180" s="43">
        <f>IF(T180="","",EDATE(T180,6))</f>
        <v/>
      </c>
      <c r="V180" s="40" t="n"/>
    </row>
    <row r="181" ht="15" customHeight="1" s="24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1">
        <f>IF(COUNT(I181:K181)=0,"",MAX(I181:K181))</f>
        <v/>
      </c>
      <c r="M181" s="41">
        <f>IF(L181="","",CHOOSE(L181,"Rendah","Sedang","Tinggi"))</f>
        <v/>
      </c>
      <c r="N181" s="40" t="n"/>
      <c r="O181" s="40" t="n"/>
      <c r="P181" s="40" t="n"/>
      <c r="Q181" s="40" t="n"/>
      <c r="R181" s="40" t="n"/>
      <c r="S181" s="42" t="n"/>
      <c r="T181" s="42" t="n"/>
      <c r="U181" s="43">
        <f>IF(T181="","",EDATE(T181,6))</f>
        <v/>
      </c>
      <c r="V181" s="40" t="n"/>
    </row>
    <row r="182" ht="15" customHeight="1" s="24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1">
        <f>IF(COUNT(I182:K182)=0,"",MAX(I182:K182))</f>
        <v/>
      </c>
      <c r="M182" s="41">
        <f>IF(L182="","",CHOOSE(L182,"Rendah","Sedang","Tinggi"))</f>
        <v/>
      </c>
      <c r="N182" s="40" t="n"/>
      <c r="O182" s="40" t="n"/>
      <c r="P182" s="40" t="n"/>
      <c r="Q182" s="40" t="n"/>
      <c r="R182" s="40" t="n"/>
      <c r="S182" s="42" t="n"/>
      <c r="T182" s="42" t="n"/>
      <c r="U182" s="43">
        <f>IF(T182="","",EDATE(T182,6))</f>
        <v/>
      </c>
      <c r="V182" s="40" t="n"/>
    </row>
    <row r="183" ht="15" customHeight="1" s="24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1">
        <f>IF(COUNT(I183:K183)=0,"",MAX(I183:K183))</f>
        <v/>
      </c>
      <c r="M183" s="41">
        <f>IF(L183="","",CHOOSE(L183,"Rendah","Sedang","Tinggi"))</f>
        <v/>
      </c>
      <c r="N183" s="40" t="n"/>
      <c r="O183" s="40" t="n"/>
      <c r="P183" s="40" t="n"/>
      <c r="Q183" s="40" t="n"/>
      <c r="R183" s="40" t="n"/>
      <c r="S183" s="42" t="n"/>
      <c r="T183" s="42" t="n"/>
      <c r="U183" s="43">
        <f>IF(T183="","",EDATE(T183,6))</f>
        <v/>
      </c>
      <c r="V183" s="40" t="n"/>
    </row>
    <row r="184" ht="15" customHeight="1" s="2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1">
        <f>IF(COUNT(I184:K184)=0,"",MAX(I184:K184))</f>
        <v/>
      </c>
      <c r="M184" s="41">
        <f>IF(L184="","",CHOOSE(L184,"Rendah","Sedang","Tinggi"))</f>
        <v/>
      </c>
      <c r="N184" s="40" t="n"/>
      <c r="O184" s="40" t="n"/>
      <c r="P184" s="40" t="n"/>
      <c r="Q184" s="40" t="n"/>
      <c r="R184" s="40" t="n"/>
      <c r="S184" s="42" t="n"/>
      <c r="T184" s="42" t="n"/>
      <c r="U184" s="43">
        <f>IF(T184="","",EDATE(T184,6))</f>
        <v/>
      </c>
      <c r="V184" s="40" t="n"/>
    </row>
    <row r="185" ht="15" customHeight="1" s="24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1">
        <f>IF(COUNT(I185:K185)=0,"",MAX(I185:K185))</f>
        <v/>
      </c>
      <c r="M185" s="41">
        <f>IF(L185="","",CHOOSE(L185,"Rendah","Sedang","Tinggi"))</f>
        <v/>
      </c>
      <c r="N185" s="40" t="n"/>
      <c r="O185" s="40" t="n"/>
      <c r="P185" s="40" t="n"/>
      <c r="Q185" s="40" t="n"/>
      <c r="R185" s="40" t="n"/>
      <c r="S185" s="42" t="n"/>
      <c r="T185" s="42" t="n"/>
      <c r="U185" s="43">
        <f>IF(T185="","",EDATE(T185,6))</f>
        <v/>
      </c>
      <c r="V185" s="40" t="n"/>
    </row>
    <row r="186" ht="15" customHeight="1" s="24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1">
        <f>IF(COUNT(I186:K186)=0,"",MAX(I186:K186))</f>
        <v/>
      </c>
      <c r="M186" s="41">
        <f>IF(L186="","",CHOOSE(L186,"Rendah","Sedang","Tinggi"))</f>
        <v/>
      </c>
      <c r="N186" s="40" t="n"/>
      <c r="O186" s="40" t="n"/>
      <c r="P186" s="40" t="n"/>
      <c r="Q186" s="40" t="n"/>
      <c r="R186" s="40" t="n"/>
      <c r="S186" s="42" t="n"/>
      <c r="T186" s="42" t="n"/>
      <c r="U186" s="43">
        <f>IF(T186="","",EDATE(T186,6))</f>
        <v/>
      </c>
      <c r="V186" s="40" t="n"/>
    </row>
    <row r="187" ht="15" customHeight="1" s="24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1">
        <f>IF(COUNT(I187:K187)=0,"",MAX(I187:K187))</f>
        <v/>
      </c>
      <c r="M187" s="41">
        <f>IF(L187="","",CHOOSE(L187,"Rendah","Sedang","Tinggi"))</f>
        <v/>
      </c>
      <c r="N187" s="40" t="n"/>
      <c r="O187" s="40" t="n"/>
      <c r="P187" s="40" t="n"/>
      <c r="Q187" s="40" t="n"/>
      <c r="R187" s="40" t="n"/>
      <c r="S187" s="42" t="n"/>
      <c r="T187" s="42" t="n"/>
      <c r="U187" s="43">
        <f>IF(T187="","",EDATE(T187,6))</f>
        <v/>
      </c>
      <c r="V187" s="40" t="n"/>
    </row>
    <row r="188" ht="15" customHeight="1" s="24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1">
        <f>IF(COUNT(I188:K188)=0,"",MAX(I188:K188))</f>
        <v/>
      </c>
      <c r="M188" s="41">
        <f>IF(L188="","",CHOOSE(L188,"Rendah","Sedang","Tinggi"))</f>
        <v/>
      </c>
      <c r="N188" s="40" t="n"/>
      <c r="O188" s="40" t="n"/>
      <c r="P188" s="40" t="n"/>
      <c r="Q188" s="40" t="n"/>
      <c r="R188" s="40" t="n"/>
      <c r="S188" s="42" t="n"/>
      <c r="T188" s="42" t="n"/>
      <c r="U188" s="43">
        <f>IF(T188="","",EDATE(T188,6))</f>
        <v/>
      </c>
      <c r="V188" s="40" t="n"/>
    </row>
    <row r="189" ht="15" customHeight="1" s="24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1">
        <f>IF(COUNT(I189:K189)=0,"",MAX(I189:K189))</f>
        <v/>
      </c>
      <c r="M189" s="41">
        <f>IF(L189="","",CHOOSE(L189,"Rendah","Sedang","Tinggi"))</f>
        <v/>
      </c>
      <c r="N189" s="40" t="n"/>
      <c r="O189" s="40" t="n"/>
      <c r="P189" s="40" t="n"/>
      <c r="Q189" s="40" t="n"/>
      <c r="R189" s="40" t="n"/>
      <c r="S189" s="42" t="n"/>
      <c r="T189" s="42" t="n"/>
      <c r="U189" s="43">
        <f>IF(T189="","",EDATE(T189,6))</f>
        <v/>
      </c>
      <c r="V189" s="40" t="n"/>
    </row>
    <row r="190" ht="15" customHeight="1" s="24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1">
        <f>IF(COUNT(I190:K190)=0,"",MAX(I190:K190))</f>
        <v/>
      </c>
      <c r="M190" s="41">
        <f>IF(L190="","",CHOOSE(L190,"Rendah","Sedang","Tinggi"))</f>
        <v/>
      </c>
      <c r="N190" s="40" t="n"/>
      <c r="O190" s="40" t="n"/>
      <c r="P190" s="40" t="n"/>
      <c r="Q190" s="40" t="n"/>
      <c r="R190" s="40" t="n"/>
      <c r="S190" s="42" t="n"/>
      <c r="T190" s="42" t="n"/>
      <c r="U190" s="43">
        <f>IF(T190="","",EDATE(T190,6))</f>
        <v/>
      </c>
      <c r="V190" s="40" t="n"/>
    </row>
    <row r="191" ht="15" customHeight="1" s="24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1">
        <f>IF(COUNT(I191:K191)=0,"",MAX(I191:K191))</f>
        <v/>
      </c>
      <c r="M191" s="41">
        <f>IF(L191="","",CHOOSE(L191,"Rendah","Sedang","Tinggi"))</f>
        <v/>
      </c>
      <c r="N191" s="40" t="n"/>
      <c r="O191" s="40" t="n"/>
      <c r="P191" s="40" t="n"/>
      <c r="Q191" s="40" t="n"/>
      <c r="R191" s="40" t="n"/>
      <c r="S191" s="42" t="n"/>
      <c r="T191" s="42" t="n"/>
      <c r="U191" s="43">
        <f>IF(T191="","",EDATE(T191,6))</f>
        <v/>
      </c>
      <c r="V191" s="40" t="n"/>
    </row>
    <row r="192" ht="15" customHeight="1" s="24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1">
        <f>IF(COUNT(I192:K192)=0,"",MAX(I192:K192))</f>
        <v/>
      </c>
      <c r="M192" s="41">
        <f>IF(L192="","",CHOOSE(L192,"Rendah","Sedang","Tinggi"))</f>
        <v/>
      </c>
      <c r="N192" s="40" t="n"/>
      <c r="O192" s="40" t="n"/>
      <c r="P192" s="40" t="n"/>
      <c r="Q192" s="40" t="n"/>
      <c r="R192" s="40" t="n"/>
      <c r="S192" s="42" t="n"/>
      <c r="T192" s="42" t="n"/>
      <c r="U192" s="43">
        <f>IF(T192="","",EDATE(T192,6))</f>
        <v/>
      </c>
      <c r="V192" s="40" t="n"/>
    </row>
    <row r="193" ht="15" customHeight="1" s="24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1">
        <f>IF(COUNT(I193:K193)=0,"",MAX(I193:K193))</f>
        <v/>
      </c>
      <c r="M193" s="41">
        <f>IF(L193="","",CHOOSE(L193,"Rendah","Sedang","Tinggi"))</f>
        <v/>
      </c>
      <c r="N193" s="40" t="n"/>
      <c r="O193" s="40" t="n"/>
      <c r="P193" s="40" t="n"/>
      <c r="Q193" s="40" t="n"/>
      <c r="R193" s="40" t="n"/>
      <c r="S193" s="42" t="n"/>
      <c r="T193" s="42" t="n"/>
      <c r="U193" s="43">
        <f>IF(T193="","",EDATE(T193,6))</f>
        <v/>
      </c>
      <c r="V193" s="40" t="n"/>
    </row>
    <row r="194" ht="15" customHeight="1" s="2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1">
        <f>IF(COUNT(I194:K194)=0,"",MAX(I194:K194))</f>
        <v/>
      </c>
      <c r="M194" s="41">
        <f>IF(L194="","",CHOOSE(L194,"Rendah","Sedang","Tinggi"))</f>
        <v/>
      </c>
      <c r="N194" s="40" t="n"/>
      <c r="O194" s="40" t="n"/>
      <c r="P194" s="40" t="n"/>
      <c r="Q194" s="40" t="n"/>
      <c r="R194" s="40" t="n"/>
      <c r="S194" s="42" t="n"/>
      <c r="T194" s="42" t="n"/>
      <c r="U194" s="43">
        <f>IF(T194="","",EDATE(T194,6))</f>
        <v/>
      </c>
      <c r="V194" s="40" t="n"/>
    </row>
    <row r="195" ht="15" customHeight="1" s="24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1">
        <f>IF(COUNT(I195:K195)=0,"",MAX(I195:K195))</f>
        <v/>
      </c>
      <c r="M195" s="41">
        <f>IF(L195="","",CHOOSE(L195,"Rendah","Sedang","Tinggi"))</f>
        <v/>
      </c>
      <c r="N195" s="40" t="n"/>
      <c r="O195" s="40" t="n"/>
      <c r="P195" s="40" t="n"/>
      <c r="Q195" s="40" t="n"/>
      <c r="R195" s="40" t="n"/>
      <c r="S195" s="42" t="n"/>
      <c r="T195" s="42" t="n"/>
      <c r="U195" s="43">
        <f>IF(T195="","",EDATE(T195,6))</f>
        <v/>
      </c>
      <c r="V195" s="40" t="n"/>
    </row>
    <row r="196" ht="15" customHeight="1" s="24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1">
        <f>IF(COUNT(I196:K196)=0,"",MAX(I196:K196))</f>
        <v/>
      </c>
      <c r="M196" s="41">
        <f>IF(L196="","",CHOOSE(L196,"Rendah","Sedang","Tinggi"))</f>
        <v/>
      </c>
      <c r="N196" s="40" t="n"/>
      <c r="O196" s="40" t="n"/>
      <c r="P196" s="40" t="n"/>
      <c r="Q196" s="40" t="n"/>
      <c r="R196" s="40" t="n"/>
      <c r="S196" s="42" t="n"/>
      <c r="T196" s="42" t="n"/>
      <c r="U196" s="43">
        <f>IF(T196="","",EDATE(T196,6))</f>
        <v/>
      </c>
      <c r="V196" s="40" t="n"/>
    </row>
    <row r="197" ht="15" customHeight="1" s="24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1">
        <f>IF(COUNT(I197:K197)=0,"",MAX(I197:K197))</f>
        <v/>
      </c>
      <c r="M197" s="41">
        <f>IF(L197="","",CHOOSE(L197,"Rendah","Sedang","Tinggi"))</f>
        <v/>
      </c>
      <c r="N197" s="40" t="n"/>
      <c r="O197" s="40" t="n"/>
      <c r="P197" s="40" t="n"/>
      <c r="Q197" s="40" t="n"/>
      <c r="R197" s="40" t="n"/>
      <c r="S197" s="42" t="n"/>
      <c r="T197" s="42" t="n"/>
      <c r="U197" s="43">
        <f>IF(T197="","",EDATE(T197,6))</f>
        <v/>
      </c>
      <c r="V197" s="40" t="n"/>
    </row>
    <row r="198" ht="15" customHeight="1" s="24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1">
        <f>IF(COUNT(I198:K198)=0,"",MAX(I198:K198))</f>
        <v/>
      </c>
      <c r="M198" s="41">
        <f>IF(L198="","",CHOOSE(L198,"Rendah","Sedang","Tinggi"))</f>
        <v/>
      </c>
      <c r="N198" s="40" t="n"/>
      <c r="O198" s="40" t="n"/>
      <c r="P198" s="40" t="n"/>
      <c r="Q198" s="40" t="n"/>
      <c r="R198" s="40" t="n"/>
      <c r="S198" s="42" t="n"/>
      <c r="T198" s="42" t="n"/>
      <c r="U198" s="43">
        <f>IF(T198="","",EDATE(T198,6))</f>
        <v/>
      </c>
      <c r="V198" s="40" t="n"/>
    </row>
    <row r="199" ht="15" customHeight="1" s="24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1">
        <f>IF(COUNT(I199:K199)=0,"",MAX(I199:K199))</f>
        <v/>
      </c>
      <c r="M199" s="41">
        <f>IF(L199="","",CHOOSE(L199,"Rendah","Sedang","Tinggi"))</f>
        <v/>
      </c>
      <c r="N199" s="40" t="n"/>
      <c r="O199" s="40" t="n"/>
      <c r="P199" s="40" t="n"/>
      <c r="Q199" s="40" t="n"/>
      <c r="R199" s="40" t="n"/>
      <c r="S199" s="42" t="n"/>
      <c r="T199" s="42" t="n"/>
      <c r="U199" s="43">
        <f>IF(T199="","",EDATE(T199,6))</f>
        <v/>
      </c>
      <c r="V199" s="40" t="n"/>
    </row>
    <row r="200" ht="15" customHeight="1" s="24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1">
        <f>IF(COUNT(I200:K200)=0,"",MAX(I200:K200))</f>
        <v/>
      </c>
      <c r="M200" s="41">
        <f>IF(L200="","",CHOOSE(L200,"Rendah","Sedang","Tinggi"))</f>
        <v/>
      </c>
      <c r="N200" s="40" t="n"/>
      <c r="O200" s="40" t="n"/>
      <c r="P200" s="40" t="n"/>
      <c r="Q200" s="40" t="n"/>
      <c r="R200" s="40" t="n"/>
      <c r="S200" s="42" t="n"/>
      <c r="T200" s="42" t="n"/>
      <c r="U200" s="43">
        <f>IF(T200="","",EDATE(T200,6))</f>
        <v/>
      </c>
      <c r="V200" s="40" t="n"/>
    </row>
    <row r="201" ht="15" customHeight="1" s="24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1">
        <f>IF(COUNT(I201:K201)=0,"",MAX(I201:K201))</f>
        <v/>
      </c>
      <c r="M201" s="41">
        <f>IF(L201="","",CHOOSE(L201,"Rendah","Sedang","Tinggi"))</f>
        <v/>
      </c>
      <c r="N201" s="40" t="n"/>
      <c r="O201" s="40" t="n"/>
      <c r="P201" s="40" t="n"/>
      <c r="Q201" s="40" t="n"/>
      <c r="R201" s="40" t="n"/>
      <c r="S201" s="42" t="n"/>
      <c r="T201" s="42" t="n"/>
      <c r="U201" s="43">
        <f>IF(T201="","",EDATE(T201,6))</f>
        <v/>
      </c>
      <c r="V201" s="40" t="n"/>
    </row>
    <row r="202" ht="15" customHeight="1" s="24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1">
        <f>IF(COUNT(I202:K202)=0,"",MAX(I202:K202))</f>
        <v/>
      </c>
      <c r="M202" s="41">
        <f>IF(L202="","",CHOOSE(L202,"Rendah","Sedang","Tinggi"))</f>
        <v/>
      </c>
      <c r="N202" s="40" t="n"/>
      <c r="O202" s="40" t="n"/>
      <c r="P202" s="40" t="n"/>
      <c r="Q202" s="40" t="n"/>
      <c r="R202" s="40" t="n"/>
      <c r="S202" s="42" t="n"/>
      <c r="T202" s="42" t="n"/>
      <c r="U202" s="43">
        <f>IF(T202="","",EDATE(T202,6))</f>
        <v/>
      </c>
      <c r="V202" s="40" t="n"/>
    </row>
    <row r="203" ht="15" customHeight="1" s="24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1">
        <f>IF(COUNT(I203:K203)=0,"",MAX(I203:K203))</f>
        <v/>
      </c>
      <c r="M203" s="41">
        <f>IF(L203="","",CHOOSE(L203,"Rendah","Sedang","Tinggi"))</f>
        <v/>
      </c>
      <c r="N203" s="40" t="n"/>
      <c r="O203" s="40" t="n"/>
      <c r="P203" s="40" t="n"/>
      <c r="Q203" s="40" t="n"/>
      <c r="R203" s="40" t="n"/>
      <c r="S203" s="42" t="n"/>
      <c r="T203" s="42" t="n"/>
      <c r="U203" s="43">
        <f>IF(T203="","",EDATE(T203,6))</f>
        <v/>
      </c>
      <c r="V203" s="40" t="n"/>
    </row>
    <row r="204" ht="15" customHeight="1" s="2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1">
        <f>IF(COUNT(I204:K204)=0,"",MAX(I204:K204))</f>
        <v/>
      </c>
      <c r="M204" s="41">
        <f>IF(L204="","",CHOOSE(L204,"Rendah","Sedang","Tinggi"))</f>
        <v/>
      </c>
      <c r="N204" s="40" t="n"/>
      <c r="O204" s="40" t="n"/>
      <c r="P204" s="40" t="n"/>
      <c r="Q204" s="40" t="n"/>
      <c r="R204" s="40" t="n"/>
      <c r="S204" s="42" t="n"/>
      <c r="T204" s="42" t="n"/>
      <c r="U204" s="43">
        <f>IF(T204="","",EDATE(T204,6))</f>
        <v/>
      </c>
      <c r="V204" s="40" t="n"/>
    </row>
    <row r="205" ht="15" customHeight="1" s="24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1">
        <f>IF(COUNT(I205:K205)=0,"",MAX(I205:K205))</f>
        <v/>
      </c>
      <c r="M205" s="41">
        <f>IF(L205="","",CHOOSE(L205,"Rendah","Sedang","Tinggi"))</f>
        <v/>
      </c>
      <c r="N205" s="40" t="n"/>
      <c r="O205" s="40" t="n"/>
      <c r="P205" s="40" t="n"/>
      <c r="Q205" s="40" t="n"/>
      <c r="R205" s="40" t="n"/>
      <c r="S205" s="42" t="n"/>
      <c r="T205" s="42" t="n"/>
      <c r="U205" s="43">
        <f>IF(T205="","",EDATE(T205,6))</f>
        <v/>
      </c>
      <c r="V205" s="40" t="n"/>
    </row>
    <row r="206" ht="15" customHeight="1" s="24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1">
        <f>IF(COUNT(I206:K206)=0,"",MAX(I206:K206))</f>
        <v/>
      </c>
      <c r="M206" s="41">
        <f>IF(L206="","",CHOOSE(L206,"Rendah","Sedang","Tinggi"))</f>
        <v/>
      </c>
      <c r="N206" s="40" t="n"/>
      <c r="O206" s="40" t="n"/>
      <c r="P206" s="40" t="n"/>
      <c r="Q206" s="40" t="n"/>
      <c r="R206" s="40" t="n"/>
      <c r="S206" s="42" t="n"/>
      <c r="T206" s="42" t="n"/>
      <c r="U206" s="43">
        <f>IF(T206="","",EDATE(T206,6))</f>
        <v/>
      </c>
      <c r="V206" s="40" t="n"/>
    </row>
    <row r="207" ht="15" customHeight="1" s="24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1">
        <f>IF(COUNT(I207:K207)=0,"",MAX(I207:K207))</f>
        <v/>
      </c>
      <c r="M207" s="41">
        <f>IF(L207="","",CHOOSE(L207,"Rendah","Sedang","Tinggi"))</f>
        <v/>
      </c>
      <c r="N207" s="40" t="n"/>
      <c r="O207" s="40" t="n"/>
      <c r="P207" s="40" t="n"/>
      <c r="Q207" s="40" t="n"/>
      <c r="R207" s="40" t="n"/>
      <c r="S207" s="42" t="n"/>
      <c r="T207" s="42" t="n"/>
      <c r="U207" s="43">
        <f>IF(T207="","",EDATE(T207,6))</f>
        <v/>
      </c>
      <c r="V207" s="40" t="n"/>
    </row>
    <row r="208" ht="15" customHeight="1" s="24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1">
        <f>IF(COUNT(I208:K208)=0,"",MAX(I208:K208))</f>
        <v/>
      </c>
      <c r="M208" s="41">
        <f>IF(L208="","",CHOOSE(L208,"Rendah","Sedang","Tinggi"))</f>
        <v/>
      </c>
      <c r="N208" s="40" t="n"/>
      <c r="O208" s="40" t="n"/>
      <c r="P208" s="40" t="n"/>
      <c r="Q208" s="40" t="n"/>
      <c r="R208" s="40" t="n"/>
      <c r="S208" s="42" t="n"/>
      <c r="T208" s="42" t="n"/>
      <c r="U208" s="43">
        <f>IF(T208="","",EDATE(T208,6))</f>
        <v/>
      </c>
      <c r="V208" s="40" t="n"/>
    </row>
    <row r="209" ht="15" customHeight="1" s="24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1">
        <f>IF(COUNT(I209:K209)=0,"",MAX(I209:K209))</f>
        <v/>
      </c>
      <c r="M209" s="41">
        <f>IF(L209="","",CHOOSE(L209,"Rendah","Sedang","Tinggi"))</f>
        <v/>
      </c>
      <c r="N209" s="40" t="n"/>
      <c r="O209" s="40" t="n"/>
      <c r="P209" s="40" t="n"/>
      <c r="Q209" s="40" t="n"/>
      <c r="R209" s="40" t="n"/>
      <c r="S209" s="42" t="n"/>
      <c r="T209" s="42" t="n"/>
      <c r="U209" s="43">
        <f>IF(T209="","",EDATE(T209,6))</f>
        <v/>
      </c>
      <c r="V209" s="40" t="n"/>
    </row>
    <row r="210" ht="15" customHeight="1" s="24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1">
        <f>IF(COUNT(I210:K210)=0,"",MAX(I210:K210))</f>
        <v/>
      </c>
      <c r="M210" s="41">
        <f>IF(L210="","",CHOOSE(L210,"Rendah","Sedang","Tinggi"))</f>
        <v/>
      </c>
      <c r="N210" s="40" t="n"/>
      <c r="O210" s="40" t="n"/>
      <c r="P210" s="40" t="n"/>
      <c r="Q210" s="40" t="n"/>
      <c r="R210" s="40" t="n"/>
      <c r="S210" s="42" t="n"/>
      <c r="T210" s="42" t="n"/>
      <c r="U210" s="43">
        <f>IF(T210="","",EDATE(T210,6))</f>
        <v/>
      </c>
      <c r="V210" s="40" t="n"/>
    </row>
    <row r="211" ht="15" customHeight="1" s="24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1">
        <f>IF(COUNT(I211:K211)=0,"",MAX(I211:K211))</f>
        <v/>
      </c>
      <c r="M211" s="41">
        <f>IF(L211="","",CHOOSE(L211,"Rendah","Sedang","Tinggi"))</f>
        <v/>
      </c>
      <c r="N211" s="40" t="n"/>
      <c r="O211" s="40" t="n"/>
      <c r="P211" s="40" t="n"/>
      <c r="Q211" s="40" t="n"/>
      <c r="R211" s="40" t="n"/>
      <c r="S211" s="42" t="n"/>
      <c r="T211" s="42" t="n"/>
      <c r="U211" s="43">
        <f>IF(T211="","",EDATE(T211,6))</f>
        <v/>
      </c>
      <c r="V211" s="40" t="n"/>
    </row>
    <row r="212" ht="15" customHeight="1" s="24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1">
        <f>IF(COUNT(I212:K212)=0,"",MAX(I212:K212))</f>
        <v/>
      </c>
      <c r="M212" s="41">
        <f>IF(L212="","",CHOOSE(L212,"Rendah","Sedang","Tinggi"))</f>
        <v/>
      </c>
      <c r="N212" s="40" t="n"/>
      <c r="O212" s="40" t="n"/>
      <c r="P212" s="40" t="n"/>
      <c r="Q212" s="40" t="n"/>
      <c r="R212" s="40" t="n"/>
      <c r="S212" s="42" t="n"/>
      <c r="T212" s="42" t="n"/>
      <c r="U212" s="43">
        <f>IF(T212="","",EDATE(T212,6))</f>
        <v/>
      </c>
      <c r="V212" s="40" t="n"/>
    </row>
    <row r="213" ht="15" customHeight="1" s="24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1">
        <f>IF(COUNT(I213:K213)=0,"",MAX(I213:K213))</f>
        <v/>
      </c>
      <c r="M213" s="41">
        <f>IF(L213="","",CHOOSE(L213,"Rendah","Sedang","Tinggi"))</f>
        <v/>
      </c>
      <c r="N213" s="40" t="n"/>
      <c r="O213" s="40" t="n"/>
      <c r="P213" s="40" t="n"/>
      <c r="Q213" s="40" t="n"/>
      <c r="R213" s="40" t="n"/>
      <c r="S213" s="42" t="n"/>
      <c r="T213" s="42" t="n"/>
      <c r="U213" s="43">
        <f>IF(T213="","",EDATE(T213,6))</f>
        <v/>
      </c>
      <c r="V213" s="40" t="n"/>
    </row>
    <row r="214" ht="15" customHeight="1" s="2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1">
        <f>IF(COUNT(I214:K214)=0,"",MAX(I214:K214))</f>
        <v/>
      </c>
      <c r="M214" s="41">
        <f>IF(L214="","",CHOOSE(L214,"Rendah","Sedang","Tinggi"))</f>
        <v/>
      </c>
      <c r="N214" s="40" t="n"/>
      <c r="O214" s="40" t="n"/>
      <c r="P214" s="40" t="n"/>
      <c r="Q214" s="40" t="n"/>
      <c r="R214" s="40" t="n"/>
      <c r="S214" s="42" t="n"/>
      <c r="T214" s="42" t="n"/>
      <c r="U214" s="43">
        <f>IF(T214="","",EDATE(T214,6))</f>
        <v/>
      </c>
      <c r="V214" s="40" t="n"/>
    </row>
    <row r="215" ht="15" customHeight="1" s="24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1">
        <f>IF(COUNT(I215:K215)=0,"",MAX(I215:K215))</f>
        <v/>
      </c>
      <c r="M215" s="41">
        <f>IF(L215="","",CHOOSE(L215,"Rendah","Sedang","Tinggi"))</f>
        <v/>
      </c>
      <c r="N215" s="40" t="n"/>
      <c r="O215" s="40" t="n"/>
      <c r="P215" s="40" t="n"/>
      <c r="Q215" s="40" t="n"/>
      <c r="R215" s="40" t="n"/>
      <c r="S215" s="42" t="n"/>
      <c r="T215" s="42" t="n"/>
      <c r="U215" s="43">
        <f>IF(T215="","",EDATE(T215,6))</f>
        <v/>
      </c>
      <c r="V215" s="40" t="n"/>
    </row>
    <row r="216" ht="15" customHeight="1" s="24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1">
        <f>IF(COUNT(I216:K216)=0,"",MAX(I216:K216))</f>
        <v/>
      </c>
      <c r="M216" s="41">
        <f>IF(L216="","",CHOOSE(L216,"Rendah","Sedang","Tinggi"))</f>
        <v/>
      </c>
      <c r="N216" s="40" t="n"/>
      <c r="O216" s="40" t="n"/>
      <c r="P216" s="40" t="n"/>
      <c r="Q216" s="40" t="n"/>
      <c r="R216" s="40" t="n"/>
      <c r="S216" s="42" t="n"/>
      <c r="T216" s="42" t="n"/>
      <c r="U216" s="43">
        <f>IF(T216="","",EDATE(T216,6))</f>
        <v/>
      </c>
      <c r="V216" s="40" t="n"/>
    </row>
  </sheetData>
  <autoFilter ref="A4:V216"/>
  <conditionalFormatting sqref="U5:U216">
    <cfRule type="expression" rank="0" priority="2" equalAverage="0" aboveAverage="0" dxfId="8" text="" percent="0" bottom="0">
      <formula>AND($U5&lt;&gt;"",$U5&lt;TODAY(),$R5="Aktif")</formula>
    </cfRule>
  </conditionalFormatting>
  <conditionalFormatting sqref="M5:M216">
    <cfRule type="cellIs" rank="0" priority="3" equalAverage="0" operator="equal" aboveAverage="0" dxfId="9" text="" percent="0" bottom="0">
      <formula>"Rendah"</formula>
    </cfRule>
    <cfRule type="cellIs" rank="0" priority="4" equalAverage="0" operator="equal" aboveAverage="0" dxfId="8" text="" percent="0" bottom="0">
      <formula>"Tinggi"</formula>
    </cfRule>
    <cfRule type="cellIs" rank="0" priority="5" equalAverage="0" operator="equal" aboveAverage="0" dxfId="10" text="" percent="0" bottom="0">
      <formula>"Sedang"</formula>
    </cfRule>
  </conditionalFormatting>
  <conditionalFormatting sqref="H5:H216">
    <cfRule type="cellIs" rank="0" priority="6" equalAverage="0" operator="equal" aboveAverage="0" dxfId="8" text="" percent="0" bottom="0">
      <formula>"SECRET"</formula>
    </cfRule>
    <cfRule type="cellIs" rank="0" priority="7" equalAverage="0" operator="equal" aboveAverage="0" dxfId="10" text="" percent="0" bottom="0">
      <formula>"RESTRICTED"</formula>
    </cfRule>
  </conditionalFormatting>
  <dataValidations count="9">
    <dataValidation sqref="C5:C216" showDropDown="0" showInputMessage="0" showErrorMessage="0" allowBlank="1" type="list" errorStyle="stop" operator="between">
      <formula1>Daftar!$A$2:$A$10</formula1>
      <formula2>0</formula2>
    </dataValidation>
    <dataValidation sqref="H5:H216" showDropDown="0" showInputMessage="0" showErrorMessage="0" allowBlank="1" type="list" errorStyle="stop" operator="between">
      <formula1>Daftar!$B$2:$B$5</formula1>
      <formula2>0</formula2>
    </dataValidation>
    <dataValidation sqref="I5:I216" showDropDown="0" showInputMessage="0" showErrorMessage="0" allowBlank="1" type="list" errorStyle="stop" operator="between">
      <formula1>Daftar!$C$2:$C$4</formula1>
      <formula2>0</formula2>
    </dataValidation>
    <dataValidation sqref="J5:J216" showDropDown="0" showInputMessage="0" showErrorMessage="0" allowBlank="1" type="list" errorStyle="stop" operator="between">
      <formula1>Daftar!$C$2:$C$4</formula1>
      <formula2>0</formula2>
    </dataValidation>
    <dataValidation sqref="K5:K216" showDropDown="0" showInputMessage="0" showErrorMessage="0" allowBlank="1" type="list" errorStyle="stop" operator="between">
      <formula1>Daftar!$C$2:$C$4</formula1>
      <formula2>0</formula2>
    </dataValidation>
    <dataValidation sqref="N5:N216" showDropDown="0" showInputMessage="0" showErrorMessage="0" allowBlank="1" type="list" errorStyle="stop" operator="between">
      <formula1>Daftar!$D$2:$D$3</formula1>
      <formula2>0</formula2>
    </dataValidation>
    <dataValidation sqref="P5:P216" showDropDown="0" showInputMessage="0" showErrorMessage="0" allowBlank="1" type="list" errorStyle="stop" operator="between">
      <formula1>Daftar!$D$2:$D$3</formula1>
      <formula2>0</formula2>
    </dataValidation>
    <dataValidation sqref="Q5:Q216" showDropDown="0" showInputMessage="0" showErrorMessage="0" allowBlank="1" type="list" errorStyle="stop" operator="between">
      <formula1>Daftar!$D$2:$D$3</formula1>
      <formula2>0</formula2>
    </dataValidation>
    <dataValidation sqref="R5:R216" showDropDown="0" showInputMessage="0" showErrorMessage="0" allowBlank="1" type="list" errorStyle="stop" operator="between">
      <formula1>Daftar!$E$2:$E$5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I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11" customWidth="1" style="23" min="2" max="2"/>
    <col width="9" customWidth="1" style="23" min="3" max="3"/>
    <col width="32" customWidth="1" style="23" min="4" max="4"/>
    <col width="22" customWidth="1" style="23" min="5" max="6"/>
    <col width="13" customWidth="1" style="24" min="6" max="6"/>
    <col width="16" customWidth="1" style="23" min="7" max="8"/>
    <col width="13" customWidth="1" style="24" min="8" max="8"/>
    <col width="22" customWidth="1" style="23" min="9" max="9"/>
  </cols>
  <sheetData>
    <row r="1" ht="16.15" customHeight="1" s="24">
      <c r="A1" s="37" t="inlineStr">
        <is>
          <t>Berita acara pemusnahan dan penghapusan aman</t>
        </is>
      </c>
    </row>
    <row r="2" ht="15" customHeight="1" s="24">
      <c r="A2" s="26" t="inlineStr">
        <is>
          <t>Catat setiap pemusnahan media atau dekomisi aset di sheet ini, lalu ubah status aset di Register Aset menjadi Dimusnahkan.</t>
        </is>
      </c>
    </row>
    <row r="4" ht="31.5" customHeight="1" s="24">
      <c r="A4" s="39" t="inlineStr">
        <is>
          <t>No BA</t>
        </is>
      </c>
      <c r="B4" s="39" t="inlineStr">
        <is>
          <t>Tanggal</t>
        </is>
      </c>
      <c r="C4" s="39" t="inlineStr">
        <is>
          <t>ID aset</t>
        </is>
      </c>
      <c r="D4" s="39" t="inlineStr">
        <is>
          <t>Uraian aset dan media</t>
        </is>
      </c>
      <c r="E4" s="39" t="inlineStr">
        <is>
          <t>Metode</t>
        </is>
      </c>
      <c r="F4" s="39" t="inlineStr">
        <is>
          <t>Alasan</t>
        </is>
      </c>
      <c r="G4" s="39" t="inlineStr">
        <is>
          <t>Pelaksana</t>
        </is>
      </c>
      <c r="H4" s="39" t="inlineStr">
        <is>
          <t>Saksi</t>
        </is>
      </c>
      <c r="I4" s="39" t="inlineStr">
        <is>
          <t>Bukti</t>
        </is>
      </c>
    </row>
    <row r="5" ht="15" customHeight="1" s="24">
      <c r="A5" s="40" t="n"/>
      <c r="B5" s="42" t="n"/>
      <c r="C5" s="40" t="n"/>
      <c r="D5" s="40" t="n"/>
      <c r="E5" s="40" t="n"/>
      <c r="F5" s="40" t="n"/>
      <c r="G5" s="40" t="n"/>
      <c r="H5" s="40" t="n"/>
      <c r="I5" s="40" t="n"/>
    </row>
    <row r="6" ht="15" customHeight="1" s="24">
      <c r="A6" s="40" t="n"/>
      <c r="B6" s="42" t="n"/>
      <c r="C6" s="40" t="n"/>
      <c r="D6" s="40" t="n"/>
      <c r="E6" s="40" t="n"/>
      <c r="F6" s="40" t="n"/>
      <c r="G6" s="40" t="n"/>
      <c r="H6" s="40" t="n"/>
      <c r="I6" s="40" t="n"/>
    </row>
    <row r="7" ht="15" customHeight="1" s="24">
      <c r="A7" s="40" t="n"/>
      <c r="B7" s="42" t="n"/>
      <c r="C7" s="40" t="n"/>
      <c r="D7" s="40" t="n"/>
      <c r="E7" s="40" t="n"/>
      <c r="F7" s="40" t="n"/>
      <c r="G7" s="40" t="n"/>
      <c r="H7" s="40" t="n"/>
      <c r="I7" s="40" t="n"/>
    </row>
    <row r="8" ht="15" customHeight="1" s="24">
      <c r="A8" s="40" t="n"/>
      <c r="B8" s="42" t="n"/>
      <c r="C8" s="40" t="n"/>
      <c r="D8" s="40" t="n"/>
      <c r="E8" s="40" t="n"/>
      <c r="F8" s="40" t="n"/>
      <c r="G8" s="40" t="n"/>
      <c r="H8" s="40" t="n"/>
      <c r="I8" s="40" t="n"/>
    </row>
    <row r="9" ht="15" customHeight="1" s="24">
      <c r="A9" s="40" t="n"/>
      <c r="B9" s="42" t="n"/>
      <c r="C9" s="40" t="n"/>
      <c r="D9" s="40" t="n"/>
      <c r="E9" s="40" t="n"/>
      <c r="F9" s="40" t="n"/>
      <c r="G9" s="40" t="n"/>
      <c r="H9" s="40" t="n"/>
      <c r="I9" s="40" t="n"/>
    </row>
    <row r="10" ht="15" customHeight="1" s="24">
      <c r="A10" s="40" t="n"/>
      <c r="B10" s="42" t="n"/>
      <c r="C10" s="40" t="n"/>
      <c r="D10" s="40" t="n"/>
      <c r="E10" s="40" t="n"/>
      <c r="F10" s="40" t="n"/>
      <c r="G10" s="40" t="n"/>
      <c r="H10" s="40" t="n"/>
      <c r="I10" s="40" t="n"/>
    </row>
    <row r="11" ht="15" customHeight="1" s="24">
      <c r="A11" s="40" t="n"/>
      <c r="B11" s="42" t="n"/>
      <c r="C11" s="40" t="n"/>
      <c r="D11" s="40" t="n"/>
      <c r="E11" s="40" t="n"/>
      <c r="F11" s="40" t="n"/>
      <c r="G11" s="40" t="n"/>
      <c r="H11" s="40" t="n"/>
      <c r="I11" s="40" t="n"/>
    </row>
    <row r="12" ht="15" customHeight="1" s="24">
      <c r="A12" s="40" t="n"/>
      <c r="B12" s="42" t="n"/>
      <c r="C12" s="40" t="n"/>
      <c r="D12" s="40" t="n"/>
      <c r="E12" s="40" t="n"/>
      <c r="F12" s="40" t="n"/>
      <c r="G12" s="40" t="n"/>
      <c r="H12" s="40" t="n"/>
      <c r="I12" s="40" t="n"/>
    </row>
    <row r="13" ht="15" customHeight="1" s="24">
      <c r="A13" s="40" t="n"/>
      <c r="B13" s="42" t="n"/>
      <c r="C13" s="40" t="n"/>
      <c r="D13" s="40" t="n"/>
      <c r="E13" s="40" t="n"/>
      <c r="F13" s="40" t="n"/>
      <c r="G13" s="40" t="n"/>
      <c r="H13" s="40" t="n"/>
      <c r="I13" s="40" t="n"/>
    </row>
    <row r="14" ht="15" customHeight="1" s="24">
      <c r="A14" s="40" t="n"/>
      <c r="B14" s="42" t="n"/>
      <c r="C14" s="40" t="n"/>
      <c r="D14" s="40" t="n"/>
      <c r="E14" s="40" t="n"/>
      <c r="F14" s="40" t="n"/>
      <c r="G14" s="40" t="n"/>
      <c r="H14" s="40" t="n"/>
      <c r="I14" s="40" t="n"/>
    </row>
    <row r="15" ht="15" customHeight="1" s="24">
      <c r="A15" s="40" t="n"/>
      <c r="B15" s="42" t="n"/>
      <c r="C15" s="40" t="n"/>
      <c r="D15" s="40" t="n"/>
      <c r="E15" s="40" t="n"/>
      <c r="F15" s="40" t="n"/>
      <c r="G15" s="40" t="n"/>
      <c r="H15" s="40" t="n"/>
      <c r="I15" s="40" t="n"/>
    </row>
    <row r="16" ht="15" customHeight="1" s="24">
      <c r="A16" s="40" t="n"/>
      <c r="B16" s="42" t="n"/>
      <c r="C16" s="40" t="n"/>
      <c r="D16" s="40" t="n"/>
      <c r="E16" s="40" t="n"/>
      <c r="F16" s="40" t="n"/>
      <c r="G16" s="40" t="n"/>
      <c r="H16" s="40" t="n"/>
      <c r="I16" s="40" t="n"/>
    </row>
    <row r="17" ht="15" customHeight="1" s="24">
      <c r="A17" s="40" t="n"/>
      <c r="B17" s="42" t="n"/>
      <c r="C17" s="40" t="n"/>
      <c r="D17" s="40" t="n"/>
      <c r="E17" s="40" t="n"/>
      <c r="F17" s="40" t="n"/>
      <c r="G17" s="40" t="n"/>
      <c r="H17" s="40" t="n"/>
      <c r="I17" s="40" t="n"/>
    </row>
    <row r="18" ht="15" customHeight="1" s="24">
      <c r="A18" s="40" t="n"/>
      <c r="B18" s="42" t="n"/>
      <c r="C18" s="40" t="n"/>
      <c r="D18" s="40" t="n"/>
      <c r="E18" s="40" t="n"/>
      <c r="F18" s="40" t="n"/>
      <c r="G18" s="40" t="n"/>
      <c r="H18" s="40" t="n"/>
      <c r="I18" s="40" t="n"/>
    </row>
    <row r="19" ht="15" customHeight="1" s="24">
      <c r="A19" s="40" t="n"/>
      <c r="B19" s="42" t="n"/>
      <c r="C19" s="40" t="n"/>
      <c r="D19" s="40" t="n"/>
      <c r="E19" s="40" t="n"/>
      <c r="F19" s="40" t="n"/>
      <c r="G19" s="40" t="n"/>
      <c r="H19" s="40" t="n"/>
      <c r="I19" s="40" t="n"/>
    </row>
    <row r="20" ht="15" customHeight="1" s="24">
      <c r="A20" s="40" t="n"/>
      <c r="B20" s="42" t="n"/>
      <c r="C20" s="40" t="n"/>
      <c r="D20" s="40" t="n"/>
      <c r="E20" s="40" t="n"/>
      <c r="F20" s="40" t="n"/>
      <c r="G20" s="40" t="n"/>
      <c r="H20" s="40" t="n"/>
      <c r="I20" s="40" t="n"/>
    </row>
    <row r="21" ht="15" customHeight="1" s="24">
      <c r="A21" s="40" t="n"/>
      <c r="B21" s="42" t="n"/>
      <c r="C21" s="40" t="n"/>
      <c r="D21" s="40" t="n"/>
      <c r="E21" s="40" t="n"/>
      <c r="F21" s="40" t="n"/>
      <c r="G21" s="40" t="n"/>
      <c r="H21" s="40" t="n"/>
      <c r="I21" s="40" t="n"/>
    </row>
    <row r="22" ht="15" customHeight="1" s="24">
      <c r="A22" s="40" t="n"/>
      <c r="B22" s="42" t="n"/>
      <c r="C22" s="40" t="n"/>
      <c r="D22" s="40" t="n"/>
      <c r="E22" s="40" t="n"/>
      <c r="F22" s="40" t="n"/>
      <c r="G22" s="40" t="n"/>
      <c r="H22" s="40" t="n"/>
      <c r="I22" s="40" t="n"/>
    </row>
    <row r="23" ht="15" customHeight="1" s="24">
      <c r="A23" s="40" t="n"/>
      <c r="B23" s="42" t="n"/>
      <c r="C23" s="40" t="n"/>
      <c r="D23" s="40" t="n"/>
      <c r="E23" s="40" t="n"/>
      <c r="F23" s="40" t="n"/>
      <c r="G23" s="40" t="n"/>
      <c r="H23" s="40" t="n"/>
      <c r="I23" s="40" t="n"/>
    </row>
    <row r="24" ht="15" customHeight="1" s="24">
      <c r="A24" s="40" t="n"/>
      <c r="B24" s="42" t="n"/>
      <c r="C24" s="40" t="n"/>
      <c r="D24" s="40" t="n"/>
      <c r="E24" s="40" t="n"/>
      <c r="F24" s="40" t="n"/>
      <c r="G24" s="40" t="n"/>
      <c r="H24" s="40" t="n"/>
      <c r="I24" s="40" t="n"/>
    </row>
    <row r="25" ht="15" customHeight="1" s="24">
      <c r="A25" s="40" t="n"/>
      <c r="B25" s="42" t="n"/>
      <c r="C25" s="40" t="n"/>
      <c r="D25" s="40" t="n"/>
      <c r="E25" s="40" t="n"/>
      <c r="F25" s="40" t="n"/>
      <c r="G25" s="40" t="n"/>
      <c r="H25" s="40" t="n"/>
      <c r="I25" s="40" t="n"/>
    </row>
    <row r="26" ht="15" customHeight="1" s="24">
      <c r="A26" s="40" t="n"/>
      <c r="B26" s="42" t="n"/>
      <c r="C26" s="40" t="n"/>
      <c r="D26" s="40" t="n"/>
      <c r="E26" s="40" t="n"/>
      <c r="F26" s="40" t="n"/>
      <c r="G26" s="40" t="n"/>
      <c r="H26" s="40" t="n"/>
      <c r="I26" s="40" t="n"/>
    </row>
    <row r="27" ht="15" customHeight="1" s="24">
      <c r="A27" s="40" t="n"/>
      <c r="B27" s="42" t="n"/>
      <c r="C27" s="40" t="n"/>
      <c r="D27" s="40" t="n"/>
      <c r="E27" s="40" t="n"/>
      <c r="F27" s="40" t="n"/>
      <c r="G27" s="40" t="n"/>
      <c r="H27" s="40" t="n"/>
      <c r="I27" s="40" t="n"/>
    </row>
    <row r="28" ht="15" customHeight="1" s="24">
      <c r="A28" s="40" t="n"/>
      <c r="B28" s="42" t="n"/>
      <c r="C28" s="40" t="n"/>
      <c r="D28" s="40" t="n"/>
      <c r="E28" s="40" t="n"/>
      <c r="F28" s="40" t="n"/>
      <c r="G28" s="40" t="n"/>
      <c r="H28" s="40" t="n"/>
      <c r="I28" s="40" t="n"/>
    </row>
    <row r="29" ht="15" customHeight="1" s="24">
      <c r="A29" s="40" t="n"/>
      <c r="B29" s="42" t="n"/>
      <c r="C29" s="40" t="n"/>
      <c r="D29" s="40" t="n"/>
      <c r="E29" s="40" t="n"/>
      <c r="F29" s="40" t="n"/>
      <c r="G29" s="40" t="n"/>
      <c r="H29" s="40" t="n"/>
      <c r="I29" s="40" t="n"/>
    </row>
    <row r="30" ht="15" customHeight="1" s="24">
      <c r="A30" s="40" t="n"/>
      <c r="B30" s="42" t="n"/>
      <c r="C30" s="40" t="n"/>
      <c r="D30" s="40" t="n"/>
      <c r="E30" s="40" t="n"/>
      <c r="F30" s="40" t="n"/>
      <c r="G30" s="40" t="n"/>
      <c r="H30" s="40" t="n"/>
      <c r="I30" s="40" t="n"/>
    </row>
    <row r="31" ht="15" customHeight="1" s="24">
      <c r="A31" s="40" t="n"/>
      <c r="B31" s="42" t="n"/>
      <c r="C31" s="40" t="n"/>
      <c r="D31" s="40" t="n"/>
      <c r="E31" s="40" t="n"/>
      <c r="F31" s="40" t="n"/>
      <c r="G31" s="40" t="n"/>
      <c r="H31" s="40" t="n"/>
      <c r="I31" s="40" t="n"/>
    </row>
    <row r="32" ht="15" customHeight="1" s="24">
      <c r="A32" s="40" t="n"/>
      <c r="B32" s="42" t="n"/>
      <c r="C32" s="40" t="n"/>
      <c r="D32" s="40" t="n"/>
      <c r="E32" s="40" t="n"/>
      <c r="F32" s="40" t="n"/>
      <c r="G32" s="40" t="n"/>
      <c r="H32" s="40" t="n"/>
      <c r="I32" s="40" t="n"/>
    </row>
    <row r="33" ht="15" customHeight="1" s="24">
      <c r="A33" s="40" t="n"/>
      <c r="B33" s="42" t="n"/>
      <c r="C33" s="40" t="n"/>
      <c r="D33" s="40" t="n"/>
      <c r="E33" s="40" t="n"/>
      <c r="F33" s="40" t="n"/>
      <c r="G33" s="40" t="n"/>
      <c r="H33" s="40" t="n"/>
      <c r="I33" s="40" t="n"/>
    </row>
    <row r="34" ht="15" customHeight="1" s="24">
      <c r="A34" s="40" t="n"/>
      <c r="B34" s="42" t="n"/>
      <c r="C34" s="40" t="n"/>
      <c r="D34" s="40" t="n"/>
      <c r="E34" s="40" t="n"/>
      <c r="F34" s="40" t="n"/>
      <c r="G34" s="40" t="n"/>
      <c r="H34" s="40" t="n"/>
      <c r="I34" s="40" t="n"/>
    </row>
    <row r="35" ht="15" customHeight="1" s="24">
      <c r="A35" s="40" t="n"/>
      <c r="B35" s="42" t="n"/>
      <c r="C35" s="40" t="n"/>
      <c r="D35" s="40" t="n"/>
      <c r="E35" s="40" t="n"/>
      <c r="F35" s="40" t="n"/>
      <c r="G35" s="40" t="n"/>
      <c r="H35" s="40" t="n"/>
      <c r="I35" s="40" t="n"/>
    </row>
    <row r="36" ht="15" customHeight="1" s="24">
      <c r="A36" s="40" t="n"/>
      <c r="B36" s="42" t="n"/>
      <c r="C36" s="40" t="n"/>
      <c r="D36" s="40" t="n"/>
      <c r="E36" s="40" t="n"/>
      <c r="F36" s="40" t="n"/>
      <c r="G36" s="40" t="n"/>
      <c r="H36" s="40" t="n"/>
      <c r="I36" s="40" t="n"/>
    </row>
    <row r="37" ht="15" customHeight="1" s="24">
      <c r="A37" s="40" t="n"/>
      <c r="B37" s="42" t="n"/>
      <c r="C37" s="40" t="n"/>
      <c r="D37" s="40" t="n"/>
      <c r="E37" s="40" t="n"/>
      <c r="F37" s="40" t="n"/>
      <c r="G37" s="40" t="n"/>
      <c r="H37" s="40" t="n"/>
      <c r="I37" s="40" t="n"/>
    </row>
    <row r="38" ht="15" customHeight="1" s="24">
      <c r="A38" s="40" t="n"/>
      <c r="B38" s="42" t="n"/>
      <c r="C38" s="40" t="n"/>
      <c r="D38" s="40" t="n"/>
      <c r="E38" s="40" t="n"/>
      <c r="F38" s="40" t="n"/>
      <c r="G38" s="40" t="n"/>
      <c r="H38" s="40" t="n"/>
      <c r="I38" s="40" t="n"/>
    </row>
    <row r="39" ht="15" customHeight="1" s="24">
      <c r="A39" s="40" t="n"/>
      <c r="B39" s="42" t="n"/>
      <c r="C39" s="40" t="n"/>
      <c r="D39" s="40" t="n"/>
      <c r="E39" s="40" t="n"/>
      <c r="F39" s="40" t="n"/>
      <c r="G39" s="40" t="n"/>
      <c r="H39" s="40" t="n"/>
      <c r="I39" s="40" t="n"/>
    </row>
    <row r="40" ht="15" customHeight="1" s="24">
      <c r="A40" s="40" t="n"/>
      <c r="B40" s="42" t="n"/>
      <c r="C40" s="40" t="n"/>
      <c r="D40" s="40" t="n"/>
      <c r="E40" s="40" t="n"/>
      <c r="F40" s="40" t="n"/>
      <c r="G40" s="40" t="n"/>
      <c r="H40" s="40" t="n"/>
      <c r="I40" s="40" t="n"/>
    </row>
    <row r="41" ht="15" customHeight="1" s="24">
      <c r="A41" s="40" t="n"/>
      <c r="B41" s="42" t="n"/>
      <c r="C41" s="40" t="n"/>
      <c r="D41" s="40" t="n"/>
      <c r="E41" s="40" t="n"/>
      <c r="F41" s="40" t="n"/>
      <c r="G41" s="40" t="n"/>
      <c r="H41" s="40" t="n"/>
      <c r="I41" s="40" t="n"/>
    </row>
    <row r="42" ht="15" customHeight="1" s="24">
      <c r="A42" s="40" t="n"/>
      <c r="B42" s="42" t="n"/>
      <c r="C42" s="40" t="n"/>
      <c r="D42" s="40" t="n"/>
      <c r="E42" s="40" t="n"/>
      <c r="F42" s="40" t="n"/>
      <c r="G42" s="40" t="n"/>
      <c r="H42" s="40" t="n"/>
      <c r="I42" s="40" t="n"/>
    </row>
    <row r="43" ht="15" customHeight="1" s="24">
      <c r="A43" s="40" t="n"/>
      <c r="B43" s="42" t="n"/>
      <c r="C43" s="40" t="n"/>
      <c r="D43" s="40" t="n"/>
      <c r="E43" s="40" t="n"/>
      <c r="F43" s="40" t="n"/>
      <c r="G43" s="40" t="n"/>
      <c r="H43" s="40" t="n"/>
      <c r="I43" s="40" t="n"/>
    </row>
    <row r="44" ht="15" customHeight="1" s="24">
      <c r="A44" s="40" t="n"/>
      <c r="B44" s="42" t="n"/>
      <c r="C44" s="40" t="n"/>
      <c r="D44" s="40" t="n"/>
      <c r="E44" s="40" t="n"/>
      <c r="F44" s="40" t="n"/>
      <c r="G44" s="40" t="n"/>
      <c r="H44" s="40" t="n"/>
      <c r="I44" s="40" t="n"/>
    </row>
  </sheetData>
  <autoFilter ref="A4:I44"/>
  <dataValidations count="1">
    <dataValidation sqref="E5:E44" showDropDown="0" showInputMessage="0" showErrorMessage="0" allowBlank="1" type="list" errorStyle="stop" operator="between">
      <formula1>"Overwrite atau secure erase,Penghancuran fisik,Crypto erase,Penghapusan VM sesuai kontrak"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2026-10-13T06:09:07Z</dcterms:created>
  <dcterms:modified xmlns:dcterms="http://purl.org/dc/terms/" xmlns:xsi="http://www.w3.org/2001/XMLSchema-instance" xsi:type="dcterms:W3CDTF">2026-10-15T07:24:23Z</dcterms:modified>
  <cp:revision>0</cp:revision>
</cp:coreProperties>
</file>