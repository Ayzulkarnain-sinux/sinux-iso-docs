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Daftar Supplier" sheetId="4" state="visible" r:id="rId4"/>
    <sheet xmlns:r="http://schemas.openxmlformats.org/officeDocument/2006/relationships" name="Evaluasi" sheetId="5" state="visible" r:id="rId5"/>
    <sheet xmlns:r="http://schemas.openxmlformats.org/officeDocument/2006/relationships" name="Kuesioner Keamanan" sheetId="6" state="visible" r:id="rId6"/>
  </sheets>
  <definedNames>
    <definedName name="_xlnm.Print_Titles" localSheetId="2">'Daftar'!$1:$1</definedName>
    <definedName name="_xlnm._FilterDatabase" localSheetId="3" hidden="1">'Daftar Supplier'!$A$4:$L$52</definedName>
    <definedName name="_xlnm.Print_Titles" localSheetId="3">'Daftar Supplier'!$4:$4</definedName>
    <definedName name="_xlnm.Print_Titles" localSheetId="4">'Evaluasi'!$4:$4</definedName>
    <definedName name="_xlnm._FilterDatabase" localSheetId="5" hidden="1">'Kuesioner Keamanan'!$A$4:$E$16</definedName>
    <definedName name="_xlnm.Print_Titles" localSheetId="5">'Kuesioner Keamanan'!$4:$4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\-mmm\-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i val="1"/>
      <sz val="9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9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165960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371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70" customWidth="1" style="27" min="2" max="2"/>
    <col width="30" customWidth="1" style="27" min="3" max="3"/>
    <col width="22" customWidth="1" style="27" min="4" max="4"/>
    <col width="14" customWidth="1" style="27" min="5" max="5"/>
  </cols>
  <sheetData>
    <row r="1" ht="18.55" customHeight="1" s="28">
      <c r="A1" s="29" t="inlineStr">
        <is>
          <t>Supplier Technical &amp; Security Evaluation Records</t>
        </is>
      </c>
    </row>
    <row r="2" ht="15" customHeight="1" s="28">
      <c r="A2" s="30" t="inlineStr">
        <is>
          <t>PT Strategi Integrasi Nusantara (SINUX) · Divisi Operation</t>
        </is>
      </c>
    </row>
    <row r="3" s="28">
      <c r="A3" s="55" t="n"/>
      <c r="B3" s="55" t="n"/>
      <c r="C3" s="55" t="n"/>
      <c r="D3" s="55" t="n"/>
      <c r="E3" s="55" t="n"/>
    </row>
    <row r="4" ht="16.5" customHeight="1" s="28">
      <c r="A4" s="56" t="inlineStr">
        <is>
          <t>Nomor dokumen</t>
        </is>
      </c>
      <c r="B4" s="32" t="inlineStr">
        <is>
          <t>SNX-ISMS-FRM-03</t>
        </is>
      </c>
      <c r="C4" s="55" t="n"/>
      <c r="D4" s="55" t="n"/>
      <c r="E4" s="55" t="n"/>
    </row>
    <row r="5" ht="16.5" customHeight="1" s="28">
      <c r="A5" s="56" t="inlineStr">
        <is>
          <t>Judul</t>
        </is>
      </c>
      <c r="B5" s="32" t="inlineStr">
        <is>
          <t>Supplier Technical &amp; Security Evaluation Records</t>
        </is>
      </c>
      <c r="C5" s="55" t="n"/>
      <c r="D5" s="55" t="n"/>
      <c r="E5" s="55" t="n"/>
    </row>
    <row r="6" ht="16.5" customHeight="1" s="28">
      <c r="A6" s="56" t="inlineStr">
        <is>
          <t>Revisi</t>
        </is>
      </c>
      <c r="B6" s="32" t="inlineStr">
        <is>
          <t>00 (Draft)</t>
        </is>
      </c>
      <c r="C6" s="55" t="n"/>
      <c r="D6" s="55" t="n"/>
      <c r="E6" s="55" t="n"/>
    </row>
    <row r="7" ht="16.5" customHeight="1" s="28">
      <c r="A7" s="56" t="inlineStr">
        <is>
          <t>Tanggal draft</t>
        </is>
      </c>
      <c r="B7" s="32" t="inlineStr">
        <is>
          <t>13 Oktober 2026</t>
        </is>
      </c>
      <c r="C7" s="55" t="n"/>
      <c r="D7" s="55" t="n"/>
      <c r="E7" s="55" t="n"/>
    </row>
    <row r="8" ht="16.5" customHeight="1" s="28">
      <c r="A8" s="56" t="inlineStr">
        <is>
          <t>Tanggal efektif</t>
        </is>
      </c>
      <c r="B8" s="32" t="inlineStr">
        <is>
          <t>Ditetapkan saat pengesahan</t>
        </is>
      </c>
      <c r="C8" s="55" t="n"/>
      <c r="D8" s="55" t="n"/>
      <c r="E8" s="55" t="n"/>
    </row>
    <row r="9" ht="16.5" customHeight="1" s="28">
      <c r="A9" s="56" t="inlineStr">
        <is>
          <t>Klasifikasi</t>
        </is>
      </c>
      <c r="B9" s="32" t="inlineStr">
        <is>
          <t>RESTRICTED (Internal)</t>
        </is>
      </c>
      <c r="C9" s="55" t="n"/>
      <c r="D9" s="55" t="n"/>
      <c r="E9" s="55" t="n"/>
    </row>
    <row r="10" ht="16.5" customHeight="1" s="28">
      <c r="A10" s="56" t="inlineStr">
        <is>
          <t>Pemilik dokumen</t>
        </is>
      </c>
      <c r="B10" s="32" t="inlineStr">
        <is>
          <t>Head of Operation</t>
        </is>
      </c>
      <c r="C10" s="55" t="n"/>
      <c r="D10" s="55" t="n"/>
      <c r="E10" s="55" t="n"/>
    </row>
    <row r="11" ht="16.5" customHeight="1" s="28">
      <c r="A11" s="56" t="inlineStr">
        <is>
          <t>Disetujui oleh</t>
        </is>
      </c>
      <c r="B11" s="32" t="inlineStr">
        <is>
          <t>Samuel Kristanto Utomo / President Director</t>
        </is>
      </c>
      <c r="C11" s="55" t="n"/>
      <c r="D11" s="55" t="n"/>
      <c r="E11" s="55" t="n"/>
    </row>
    <row r="12" ht="30" customHeight="1" s="28">
      <c r="A12" s="56" t="inlineStr">
        <is>
          <t>Acuan ISO 9001:2015</t>
        </is>
      </c>
      <c r="B12" s="32" t="inlineStr">
        <is>
          <t>Klausul 8.4</t>
        </is>
      </c>
      <c r="C12" s="55" t="n"/>
      <c r="D12" s="55" t="n"/>
      <c r="E12" s="55" t="n"/>
    </row>
    <row r="13" ht="30" customHeight="1" s="28">
      <c r="A13" s="56" t="inlineStr">
        <is>
          <t>Acuan ISO/IEC 27001:2022</t>
        </is>
      </c>
      <c r="B13" s="32" t="inlineStr">
        <is>
          <t>Kontrol Annex A 5.19, 5.20, 5.21, 5.22, 5.23</t>
        </is>
      </c>
      <c r="C13" s="55" t="n"/>
      <c r="D13" s="55" t="n"/>
      <c r="E13" s="55" t="n"/>
    </row>
    <row r="14" ht="30" customHeight="1" s="28">
      <c r="A14" s="56" t="inlineStr">
        <is>
          <t>Masa simpan record</t>
        </is>
      </c>
      <c r="B14" s="32" t="inlineStr">
        <is>
          <t>Durasi kontrak + 3 tahun</t>
        </is>
      </c>
      <c r="C14" s="55" t="n"/>
      <c r="D14" s="55" t="n"/>
      <c r="E14" s="55" t="n"/>
    </row>
    <row r="15" ht="43.5" customHeight="1" s="28">
      <c r="A15" s="56" t="inlineStr">
        <is>
          <t>Tujuan</t>
        </is>
      </c>
      <c r="B15" s="32" t="inlineStr">
        <is>
          <t>Mencatat supplier teknis, evaluasi berkala atas kinerja dan keamanan informasinya, serta kuesioner keamanan supplier (Annex A 5.19 sampai 5.23, ISO 9001 klausul 8.4).</t>
        </is>
      </c>
      <c r="C15" s="55" t="n"/>
      <c r="D15" s="55" t="n"/>
      <c r="E15" s="55" t="n"/>
    </row>
    <row r="16" s="28">
      <c r="A16" s="55" t="n"/>
      <c r="B16" s="55" t="n"/>
      <c r="C16" s="55" t="n"/>
      <c r="D16" s="55" t="n"/>
      <c r="E16" s="55" t="n"/>
    </row>
    <row r="17" ht="16.5" customHeight="1" s="28">
      <c r="A17" s="57" t="inlineStr">
        <is>
          <t>Cara pakai</t>
        </is>
      </c>
      <c r="B17" s="55" t="n"/>
      <c r="C17" s="55" t="n"/>
      <c r="D17" s="55" t="n"/>
      <c r="E17" s="55" t="n"/>
    </row>
    <row r="18" ht="43.5" customHeight="1" s="28">
      <c r="A18" s="35" t="inlineStr">
        <is>
          <t>1.</t>
        </is>
      </c>
      <c r="B18" s="35" t="inlineStr">
        <is>
          <t>Daftarkan di sheet Daftar Supplier setiap supplier yang menopang layanan atau memegang akses maupun data. Koordinasikan pendaftarannya dengan Commercial dan Legal.</t>
        </is>
      </c>
      <c r="C18" s="55" t="n"/>
      <c r="D18" s="55" t="n"/>
      <c r="E18" s="55" t="n"/>
    </row>
    <row r="19" ht="43.5" customHeight="1" s="28">
      <c r="A19" s="35" t="inlineStr">
        <is>
          <t>2.</t>
        </is>
      </c>
      <c r="B19" s="35" t="inlineStr">
        <is>
          <t>Evaluasi supplier berkritikalitas Tinggi setiap semester, sedangkan supplier berkritikalitas Sedang dan Rendah setiap tahun. Jadwal evaluasi berikutnya terisi otomatis.</t>
        </is>
      </c>
      <c r="C19" s="55" t="n"/>
      <c r="D19" s="55" t="n"/>
      <c r="E19" s="55" t="n"/>
    </row>
    <row r="20" ht="30" customHeight="1" s="28">
      <c r="A20" s="35" t="inlineStr">
        <is>
          <t>3.</t>
        </is>
      </c>
      <c r="B20" s="35" t="inlineStr">
        <is>
          <t>Isi skor 1 sampai 5 untuk setiap kriteria di sheet Evaluasi. Nilai tertimbang dan keputusan terisi otomatis.</t>
        </is>
      </c>
      <c r="C20" s="55" t="n"/>
      <c r="D20" s="55" t="n"/>
      <c r="E20" s="55" t="n"/>
    </row>
    <row r="21" ht="30" customHeight="1" s="28">
      <c r="A21" s="35" t="inlineStr">
        <is>
          <t>4.</t>
        </is>
      </c>
      <c r="B21" s="35" t="inlineStr">
        <is>
          <t>Gunakan sheet Kuesioner Keamanan untuk supplier baru dan supplier berakses data.</t>
        </is>
      </c>
      <c r="C21" s="55" t="n"/>
      <c r="D21" s="55" t="n"/>
      <c r="E21" s="55" t="n"/>
    </row>
    <row r="22" ht="30" customHeight="1" s="28">
      <c r="A22" s="35" t="inlineStr">
        <is>
          <t>5.</t>
        </is>
      </c>
      <c r="B22" s="35" t="inlineStr">
        <is>
          <t>Gunakan data breach SLA yang disebabkan supplier (SNX-OPS-SOP-05) sebagai masukan kriteria kinerja.</t>
        </is>
      </c>
      <c r="C22" s="55" t="n"/>
      <c r="D22" s="55" t="n"/>
      <c r="E22" s="55" t="n"/>
    </row>
    <row r="23" s="28">
      <c r="A23" s="55" t="n"/>
      <c r="B23" s="55" t="n"/>
      <c r="C23" s="55" t="n"/>
      <c r="D23" s="55" t="n"/>
      <c r="E23" s="55" t="n"/>
    </row>
    <row r="24" ht="16.5" customHeight="1" s="28">
      <c r="A24" s="57" t="inlineStr">
        <is>
          <t>Legenda warna</t>
        </is>
      </c>
      <c r="B24" s="55" t="n"/>
      <c r="C24" s="55" t="n"/>
      <c r="D24" s="55" t="n"/>
      <c r="E24" s="55" t="n"/>
    </row>
    <row r="25" ht="16.5" customHeight="1" s="28">
      <c r="A25" s="58" t="n"/>
      <c r="B25" s="35" t="inlineStr">
        <is>
          <t>Sel input: diisi pengguna</t>
        </is>
      </c>
      <c r="C25" s="55" t="n"/>
      <c r="D25" s="55" t="n"/>
      <c r="E25" s="55" t="n"/>
    </row>
    <row r="26" ht="43.5" customHeight="1" s="28">
      <c r="A26" s="59" t="n"/>
      <c r="B26" s="35" t="inlineStr">
        <is>
          <t>Biru muda: supplier yang sudah teridentifikasi; kontrak, NDA, dan sertifikasinya diverifikasi dengan Commercial dan Legal</t>
        </is>
      </c>
      <c r="C26" s="55" t="n"/>
      <c r="D26" s="55" t="n"/>
      <c r="E26" s="55" t="n"/>
    </row>
    <row r="27" ht="16.5" customHeight="1" s="28">
      <c r="A27" s="60" t="n"/>
      <c r="B27" s="35" t="inlineStr">
        <is>
          <t>Sel rumus: jangan diubah</t>
        </is>
      </c>
      <c r="C27" s="55" t="n"/>
      <c r="D27" s="55" t="n"/>
      <c r="E27" s="55" t="n"/>
    </row>
    <row r="28" s="28">
      <c r="A28" s="55" t="n"/>
      <c r="B28" s="55" t="n"/>
      <c r="C28" s="55" t="n"/>
      <c r="D28" s="55" t="n"/>
      <c r="E28" s="55" t="n"/>
    </row>
    <row r="29" ht="16.5" customHeight="1" s="28">
      <c r="A29" s="57" t="inlineStr">
        <is>
          <t>Riwayat revisi</t>
        </is>
      </c>
      <c r="B29" s="55" t="n"/>
      <c r="C29" s="55" t="n"/>
      <c r="D29" s="55" t="n"/>
      <c r="E29" s="55" t="n"/>
    </row>
    <row r="30" ht="16.5" customHeight="1" s="28">
      <c r="A30" s="43" t="inlineStr">
        <is>
          <t>Revisi</t>
        </is>
      </c>
      <c r="B30" s="43" t="inlineStr">
        <is>
          <t>Tanggal</t>
        </is>
      </c>
      <c r="C30" s="43" t="inlineStr">
        <is>
          <t>Uraian perubahan</t>
        </is>
      </c>
      <c r="D30" s="43" t="inlineStr">
        <is>
          <t>Disusun</t>
        </is>
      </c>
      <c r="E30" s="43" t="inlineStr">
        <is>
          <t>Disetujui</t>
        </is>
      </c>
    </row>
    <row r="31" ht="30" customHeight="1" s="28">
      <c r="A31" s="32" t="inlineStr">
        <is>
          <t>00</t>
        </is>
      </c>
      <c r="B31" s="32" t="inlineStr">
        <is>
          <t>13 Oktober 2026</t>
        </is>
      </c>
      <c r="C31" s="32" t="inlineStr">
        <is>
          <t>Draft awal untuk review dan pengesahan</t>
        </is>
      </c>
      <c r="D31" s="32" t="inlineStr">
        <is>
          <t>Divisi Operation</t>
        </is>
      </c>
      <c r="E31" s="32" t="inlineStr">
        <is>
          <t>Menunggu</t>
        </is>
      </c>
    </row>
    <row r="32" ht="57.45" customHeight="1" s="28">
      <c r="A32" s="32" t="n"/>
      <c r="B32" s="32" t="n"/>
      <c r="C32" s="32" t="n"/>
      <c r="D32" s="32" t="n"/>
      <c r="E32" s="32" t="n"/>
    </row>
    <row r="33" s="28">
      <c r="A33" s="55" t="n"/>
      <c r="B33" s="55" t="n"/>
      <c r="C33" s="55" t="n"/>
      <c r="D33" s="55" t="n"/>
      <c r="E33" s="55" t="n"/>
    </row>
    <row r="34" ht="16.5" customHeight="1" s="28">
      <c r="A34" s="57" t="inlineStr">
        <is>
          <t>Pengesahan</t>
        </is>
      </c>
      <c r="B34" s="55" t="n"/>
      <c r="C34" s="55" t="n"/>
      <c r="D34" s="55" t="n"/>
      <c r="E34" s="55" t="n"/>
    </row>
    <row r="35" ht="16.5" customHeight="1" s="28">
      <c r="A35" s="43" t="inlineStr">
        <is>
          <t>Peran</t>
        </is>
      </c>
      <c r="B35" s="43" t="inlineStr">
        <is>
          <t>Nama dan jabatan</t>
        </is>
      </c>
      <c r="C35" s="43" t="inlineStr">
        <is>
          <t>Tanda tangan</t>
        </is>
      </c>
      <c r="D35" s="43" t="inlineStr">
        <is>
          <t>Tanggal</t>
        </is>
      </c>
      <c r="E35" s="55" t="n"/>
    </row>
    <row r="36" ht="27.75" customHeight="1" s="28">
      <c r="A36" s="32" t="inlineStr">
        <is>
          <t>Disusun oleh</t>
        </is>
      </c>
      <c r="B36" s="32" t="inlineStr">
        <is>
          <t>Erik Dwi Yanto / Technical/Operation Engineer L1</t>
        </is>
      </c>
      <c r="C36" s="32" t="n"/>
      <c r="D36" s="32" t="n"/>
      <c r="E36" s="55" t="n"/>
    </row>
    <row r="37" ht="27.75" customHeight="1" s="28">
      <c r="A37" s="32" t="inlineStr">
        <is>
          <t>Diperiksa oleh</t>
        </is>
      </c>
      <c r="B37" s="32" t="inlineStr">
        <is>
          <t>Fani Fatullah / VP Tech Operation and Services</t>
        </is>
      </c>
      <c r="C37" s="32" t="n"/>
      <c r="D37" s="32" t="n"/>
      <c r="E37" s="55" t="n"/>
    </row>
    <row r="38" ht="27.75" customHeight="1" s="28">
      <c r="A38" s="32" t="inlineStr">
        <is>
          <t>Disetujui oleh</t>
        </is>
      </c>
      <c r="B38" s="32" t="inlineStr">
        <is>
          <t>Samuel Kristanto Utomo / President Director</t>
        </is>
      </c>
      <c r="C38" s="32" t="n"/>
      <c r="D38" s="32" t="n"/>
      <c r="E38" s="5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8">
      <c r="A1" s="41" t="inlineStr">
        <is>
          <t>Diagram alur proses</t>
        </is>
      </c>
    </row>
    <row r="2" ht="15" customHeight="1" s="28">
      <c r="A2" s="30" t="inlineStr">
        <is>
          <t>Kotak biru = output akhir · kotak oranye = cabang ke tindakan atau prosedur lain · garis putus-putus = kembali ke alur utama · nilai 60 sampai 79 (Disetujui bersyarat) tidak tergambar, lihat sheet Evaluasi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18" customWidth="1" style="27" min="2" max="2"/>
    <col width="17" customWidth="1" style="27" min="3" max="3"/>
    <col width="16" customWidth="1" style="27" min="4" max="4"/>
  </cols>
  <sheetData>
    <row r="1" ht="16.5" customHeight="1" s="28">
      <c r="A1" s="61" t="inlineStr">
        <is>
          <t>Kategori</t>
        </is>
      </c>
      <c r="B1" s="61" t="inlineStr">
        <is>
          <t>Kritikalitas</t>
        </is>
      </c>
      <c r="C1" s="61" t="inlineStr">
        <is>
          <t>YaTidak</t>
        </is>
      </c>
      <c r="D1" s="61" t="inlineStr">
        <is>
          <t>Skor</t>
        </is>
      </c>
    </row>
    <row r="2" ht="30" customHeight="1" s="28">
      <c r="A2" s="62" t="inlineStr">
        <is>
          <t>Infrastruktur cloud dan DC</t>
        </is>
      </c>
      <c r="B2" s="62" t="inlineStr">
        <is>
          <t>Tinggi</t>
        </is>
      </c>
      <c r="C2" s="62" t="inlineStr">
        <is>
          <t>Ya</t>
        </is>
      </c>
      <c r="D2" s="62" t="n">
        <v>1</v>
      </c>
    </row>
    <row r="3" ht="16.5" customHeight="1" s="28">
      <c r="A3" s="62" t="inlineStr">
        <is>
          <t>Partner SOC</t>
        </is>
      </c>
      <c r="B3" s="62" t="inlineStr">
        <is>
          <t>Sedang</t>
        </is>
      </c>
      <c r="C3" s="62" t="inlineStr">
        <is>
          <t>Tidak</t>
        </is>
      </c>
      <c r="D3" s="62" t="n">
        <v>2</v>
      </c>
    </row>
    <row r="4" ht="30" customHeight="1" s="28">
      <c r="A4" s="62" t="inlineStr">
        <is>
          <t>Platform observability</t>
        </is>
      </c>
      <c r="B4" s="62" t="inlineStr">
        <is>
          <t>Rendah</t>
        </is>
      </c>
      <c r="C4" s="62" t="inlineStr">
        <is>
          <t>Belum diketahui</t>
        </is>
      </c>
      <c r="D4" s="62" t="n">
        <v>3</v>
      </c>
    </row>
    <row r="5" ht="16.5" customHeight="1" s="28">
      <c r="A5" s="62" t="inlineStr">
        <is>
          <t>Keamanan dan CDN</t>
        </is>
      </c>
      <c r="B5" s="63" t="n"/>
      <c r="C5" s="63" t="n"/>
      <c r="D5" s="62" t="n">
        <v>4</v>
      </c>
    </row>
    <row r="6" ht="16.5" customHeight="1" s="28">
      <c r="A6" s="62" t="inlineStr">
        <is>
          <t>Backup</t>
        </is>
      </c>
      <c r="B6" s="63" t="n"/>
      <c r="C6" s="63" t="n"/>
      <c r="D6" s="62" t="n">
        <v>5</v>
      </c>
    </row>
    <row r="7" ht="16.5" customHeight="1" s="28">
      <c r="A7" s="62" t="inlineStr">
        <is>
          <t>Lisensi software</t>
        </is>
      </c>
      <c r="B7" s="63" t="n"/>
      <c r="C7" s="63" t="n"/>
      <c r="D7" s="63" t="n"/>
    </row>
    <row r="8" ht="16.5" customHeight="1" s="28">
      <c r="A8" s="62" t="inlineStr">
        <is>
          <t>Sertifikat SSL</t>
        </is>
      </c>
      <c r="B8" s="63" t="n"/>
      <c r="C8" s="63" t="n"/>
      <c r="D8" s="63" t="n"/>
    </row>
    <row r="9" ht="16.5" customHeight="1" s="28">
      <c r="A9" s="62" t="inlineStr">
        <is>
          <t>SaaS kolaborasi</t>
        </is>
      </c>
      <c r="B9" s="63" t="n"/>
      <c r="C9" s="63" t="n"/>
      <c r="D9" s="63" t="n"/>
    </row>
    <row r="10" ht="16.5" customHeight="1" s="28">
      <c r="A10" s="62" t="inlineStr">
        <is>
          <t>Lainnya</t>
        </is>
      </c>
      <c r="B10" s="63" t="n"/>
      <c r="C10" s="63" t="n"/>
      <c r="D10" s="6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L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32" customWidth="1" style="27" min="2" max="2"/>
    <col width="30" customWidth="1" style="27" min="3" max="3"/>
    <col width="18" customWidth="1" style="27" min="4" max="4"/>
    <col width="18" customWidth="1" style="27" min="5" max="6"/>
    <col width="13" customWidth="1" style="28" min="6" max="6"/>
    <col width="17" customWidth="1" style="27" min="7" max="8"/>
    <col width="13" customWidth="1" style="28" min="8" max="8"/>
    <col width="16" customWidth="1" style="27" min="9" max="9"/>
    <col width="12" customWidth="1" style="27" min="10" max="11"/>
    <col width="15" customWidth="1" style="28" min="11" max="11"/>
    <col width="26" customWidth="1" style="27" min="12" max="12"/>
  </cols>
  <sheetData>
    <row r="1" ht="16.15" customHeight="1" s="28">
      <c r="A1" s="41" t="inlineStr">
        <is>
          <t>Daftar supplier teknis</t>
        </is>
      </c>
    </row>
    <row r="2" ht="15" customHeight="1" s="28">
      <c r="A2" s="30" t="inlineStr">
        <is>
          <t>Baris biru muda = supplier yang teridentifikasi di knowledge base; status kontrak, NDA, dan sertifikasi wajib diverifikasi dengan Commercial dan Legal. Nama penyedia SUP-001, SUP-002, dan SUP-006 juga diverifikasi dengan Commercial dan Legal (USULAN).</t>
        </is>
      </c>
    </row>
    <row r="4" ht="70.5" customHeight="1" s="28">
      <c r="A4" s="43" t="inlineStr">
        <is>
          <t>ID</t>
        </is>
      </c>
      <c r="B4" s="43" t="inlineStr">
        <is>
          <t>Nama supplier</t>
        </is>
      </c>
      <c r="C4" s="43" t="inlineStr">
        <is>
          <t>Layanan yang dipasok</t>
        </is>
      </c>
      <c r="D4" s="43" t="inlineStr">
        <is>
          <t>Kategori</t>
        </is>
      </c>
      <c r="E4" s="43" t="inlineStr">
        <is>
          <t>Kritikalitas</t>
        </is>
      </c>
      <c r="F4" s="43" t="inlineStr">
        <is>
          <t>Akses ke data atau sistem</t>
        </is>
      </c>
      <c r="G4" s="43" t="inlineStr">
        <is>
          <t>Sertifikasi keamanan (misalnya ISO 27001, SOC 2)</t>
        </is>
      </c>
      <c r="H4" s="43" t="inlineStr">
        <is>
          <t>Kontrak dan NDA memuat klausul keamanan</t>
        </is>
      </c>
      <c r="I4" s="43" t="inlineStr">
        <is>
          <t>PIC internal</t>
        </is>
      </c>
      <c r="J4" s="43" t="inlineStr">
        <is>
          <t>Evaluasi terakhir</t>
        </is>
      </c>
      <c r="K4" s="43" t="inlineStr">
        <is>
          <t>Evaluasi berikutnya</t>
        </is>
      </c>
      <c r="L4" s="43" t="inlineStr">
        <is>
          <t>Catatan</t>
        </is>
      </c>
    </row>
    <row r="5" ht="43.5" customHeight="1" s="28">
      <c r="A5" s="44" t="inlineStr">
        <is>
          <t>SUP-001</t>
        </is>
      </c>
      <c r="B5" s="44" t="inlineStr">
        <is>
          <t>Penyedia infrastruktur Nusagrid (Maxcloud atau Awandata)</t>
        </is>
      </c>
      <c r="C5" s="44" t="inlineStr">
        <is>
          <t>Platform, node, console, DC Nusagrid</t>
        </is>
      </c>
      <c r="D5" s="44" t="inlineStr">
        <is>
          <t>Infrastruktur cloud dan DC</t>
        </is>
      </c>
      <c r="E5" s="44" t="inlineStr">
        <is>
          <t>Tinggi</t>
        </is>
      </c>
      <c r="F5" s="44" t="inlineStr">
        <is>
          <t>Ya</t>
        </is>
      </c>
      <c r="G5" s="44" t="inlineStr">
        <is>
          <t>Belum diketahui</t>
        </is>
      </c>
      <c r="H5" s="44" t="inlineStr">
        <is>
          <t>Belum diketahui</t>
        </is>
      </c>
      <c r="I5" s="44" t="inlineStr">
        <is>
          <t>Head of Operation</t>
        </is>
      </c>
      <c r="J5" s="45" t="n"/>
      <c r="K5" s="46">
        <f>IF(J5="","Belum pernah",EDATE(J5,IF(E5="Tinggi",6,12)))</f>
        <v/>
      </c>
      <c r="L5" s="44" t="inlineStr">
        <is>
          <t>Verifikasi status kontrak dan sertifikasi</t>
        </is>
      </c>
    </row>
    <row r="6" ht="30" customHeight="1" s="28">
      <c r="A6" s="44" t="inlineStr">
        <is>
          <t>SUP-002</t>
        </is>
      </c>
      <c r="B6" s="44" t="inlineStr">
        <is>
          <t>Partner SOC (Arktech)</t>
        </is>
      </c>
      <c r="C6" s="44" t="inlineStr">
        <is>
          <t>Operasi SIEM dan Wazuh untuk pelanggan tertentu</t>
        </is>
      </c>
      <c r="D6" s="44" t="inlineStr">
        <is>
          <t>Partner SOC</t>
        </is>
      </c>
      <c r="E6" s="44" t="inlineStr">
        <is>
          <t>Tinggi</t>
        </is>
      </c>
      <c r="F6" s="44" t="inlineStr">
        <is>
          <t>Ya</t>
        </is>
      </c>
      <c r="G6" s="44" t="inlineStr">
        <is>
          <t>Belum diketahui</t>
        </is>
      </c>
      <c r="H6" s="44" t="inlineStr">
        <is>
          <t>Belum diketahui</t>
        </is>
      </c>
      <c r="I6" s="44" t="inlineStr">
        <is>
          <t>Lead SOC</t>
        </is>
      </c>
      <c r="J6" s="45" t="n"/>
      <c r="K6" s="46">
        <f>IF(J6="","Belum pernah",EDATE(J6,IF(E6="Tinggi",6,12)))</f>
        <v/>
      </c>
      <c r="L6" s="44" t="n"/>
    </row>
    <row r="7" ht="30" customHeight="1" s="28">
      <c r="A7" s="44" t="inlineStr">
        <is>
          <t>SUP-003</t>
        </is>
      </c>
      <c r="B7" s="44" t="inlineStr">
        <is>
          <t>TelemetryFlow</t>
        </is>
      </c>
      <c r="C7" s="44" t="inlineStr">
        <is>
          <t>Platform Nusametric dan TFO-Agent</t>
        </is>
      </c>
      <c r="D7" s="44" t="inlineStr">
        <is>
          <t>Platform observability</t>
        </is>
      </c>
      <c r="E7" s="44" t="inlineStr">
        <is>
          <t>Sedang</t>
        </is>
      </c>
      <c r="F7" s="44" t="inlineStr">
        <is>
          <t>Ya</t>
        </is>
      </c>
      <c r="G7" s="44" t="inlineStr">
        <is>
          <t>Belum diketahui</t>
        </is>
      </c>
      <c r="H7" s="44" t="inlineStr">
        <is>
          <t>Belum diketahui</t>
        </is>
      </c>
      <c r="I7" s="44" t="inlineStr">
        <is>
          <t>Lead NOC</t>
        </is>
      </c>
      <c r="J7" s="45" t="n"/>
      <c r="K7" s="46">
        <f>IF(J7="","Belum pernah",EDATE(J7,IF(E7="Tinggi",6,12)))</f>
        <v/>
      </c>
      <c r="L7" s="44" t="n"/>
    </row>
    <row r="8" ht="30" customHeight="1" s="28">
      <c r="A8" s="44" t="inlineStr">
        <is>
          <t>SUP-004</t>
        </is>
      </c>
      <c r="B8" s="44" t="inlineStr">
        <is>
          <t>Cloudflare</t>
        </is>
      </c>
      <c r="C8" s="44" t="inlineStr">
        <is>
          <t>DNS, WAF, CDN pelanggan</t>
        </is>
      </c>
      <c r="D8" s="44" t="inlineStr">
        <is>
          <t>Keamanan dan CDN</t>
        </is>
      </c>
      <c r="E8" s="44" t="inlineStr">
        <is>
          <t>Tinggi</t>
        </is>
      </c>
      <c r="F8" s="44" t="inlineStr">
        <is>
          <t>Ya</t>
        </is>
      </c>
      <c r="G8" s="44" t="inlineStr">
        <is>
          <t>Ya</t>
        </is>
      </c>
      <c r="H8" s="44" t="inlineStr">
        <is>
          <t>Belum diketahui</t>
        </is>
      </c>
      <c r="I8" s="44" t="inlineStr">
        <is>
          <t>Head of Operation</t>
        </is>
      </c>
      <c r="J8" s="45" t="n"/>
      <c r="K8" s="46">
        <f>IF(J8="","Belum pernah",EDATE(J8,IF(E8="Tinggi",6,12)))</f>
        <v/>
      </c>
      <c r="L8" s="44" t="n"/>
    </row>
    <row r="9" ht="30" customHeight="1" s="28">
      <c r="A9" s="44" t="inlineStr">
        <is>
          <t>SUP-005</t>
        </is>
      </c>
      <c r="B9" s="44" t="inlineStr">
        <is>
          <t>Acronis</t>
        </is>
      </c>
      <c r="C9" s="44" t="inlineStr">
        <is>
          <t>Platform Cyber Protect</t>
        </is>
      </c>
      <c r="D9" s="44" t="inlineStr">
        <is>
          <t>Backup</t>
        </is>
      </c>
      <c r="E9" s="44" t="inlineStr">
        <is>
          <t>Tinggi</t>
        </is>
      </c>
      <c r="F9" s="44" t="inlineStr">
        <is>
          <t>Ya</t>
        </is>
      </c>
      <c r="G9" s="44" t="inlineStr">
        <is>
          <t>Ya</t>
        </is>
      </c>
      <c r="H9" s="44" t="inlineStr">
        <is>
          <t>Belum diketahui</t>
        </is>
      </c>
      <c r="I9" s="44" t="inlineStr">
        <is>
          <t>Lead NOC</t>
        </is>
      </c>
      <c r="J9" s="45" t="n"/>
      <c r="K9" s="46">
        <f>IF(J9="","Belum pernah",EDATE(J9,IF(E9="Tinggi",6,12)))</f>
        <v/>
      </c>
      <c r="L9" s="44" t="n"/>
    </row>
    <row r="10" ht="30" customHeight="1" s="28">
      <c r="A10" s="44" t="inlineStr">
        <is>
          <t>SUP-006</t>
        </is>
      </c>
      <c r="B10" s="44" t="inlineStr">
        <is>
          <t>Penyedia lisensi cPanel (Antmedia)</t>
        </is>
      </c>
      <c r="C10" s="44" t="inlineStr">
        <is>
          <t>Lisensi cPanel, CloudLinux, KernelCare</t>
        </is>
      </c>
      <c r="D10" s="44" t="inlineStr">
        <is>
          <t>Lisensi software</t>
        </is>
      </c>
      <c r="E10" s="44" t="inlineStr">
        <is>
          <t>Sedang</t>
        </is>
      </c>
      <c r="F10" s="44" t="inlineStr">
        <is>
          <t>Tidak</t>
        </is>
      </c>
      <c r="G10" s="44" t="inlineStr">
        <is>
          <t>Belum diketahui</t>
        </is>
      </c>
      <c r="H10" s="44" t="inlineStr">
        <is>
          <t>Belum diketahui</t>
        </is>
      </c>
      <c r="I10" s="44" t="inlineStr">
        <is>
          <t>Lead NOC</t>
        </is>
      </c>
      <c r="J10" s="45" t="n"/>
      <c r="K10" s="46">
        <f>IF(J10="","Belum pernah",EDATE(J10,IF(E10="Tinggi",6,12)))</f>
        <v/>
      </c>
      <c r="L10" s="44" t="n"/>
    </row>
    <row r="11" ht="30" customHeight="1" s="28">
      <c r="A11" s="44" t="inlineStr">
        <is>
          <t>SUP-007</t>
        </is>
      </c>
      <c r="B11" s="44" t="inlineStr">
        <is>
          <t>Reseller SSL (GoGetSSL dan CA Sectigo)</t>
        </is>
      </c>
      <c r="C11" s="44" t="inlineStr">
        <is>
          <t>Sertifikat SSL wildcard</t>
        </is>
      </c>
      <c r="D11" s="44" t="inlineStr">
        <is>
          <t>Sertifikat SSL</t>
        </is>
      </c>
      <c r="E11" s="44" t="inlineStr">
        <is>
          <t>Sedang</t>
        </is>
      </c>
      <c r="F11" s="44" t="inlineStr">
        <is>
          <t>Tidak</t>
        </is>
      </c>
      <c r="G11" s="44" t="inlineStr">
        <is>
          <t>Belum diketahui</t>
        </is>
      </c>
      <c r="H11" s="44" t="inlineStr">
        <is>
          <t>Belum diketahui</t>
        </is>
      </c>
      <c r="I11" s="44" t="inlineStr">
        <is>
          <t>Lead NOC</t>
        </is>
      </c>
      <c r="J11" s="45" t="n"/>
      <c r="K11" s="46">
        <f>IF(J11="","Belum pernah",EDATE(J11,IF(E11="Tinggi",6,12)))</f>
        <v/>
      </c>
      <c r="L11" s="44" t="n"/>
    </row>
    <row r="12" ht="30" customHeight="1" s="28">
      <c r="A12" s="44" t="inlineStr">
        <is>
          <t>SUP-008</t>
        </is>
      </c>
      <c r="B12" s="44" t="inlineStr">
        <is>
          <t>Google Workspace</t>
        </is>
      </c>
      <c r="C12" s="44" t="inlineStr">
        <is>
          <t>Email, Drive, dokumen</t>
        </is>
      </c>
      <c r="D12" s="44" t="inlineStr">
        <is>
          <t>SaaS kolaborasi</t>
        </is>
      </c>
      <c r="E12" s="44" t="inlineStr">
        <is>
          <t>Tinggi</t>
        </is>
      </c>
      <c r="F12" s="44" t="inlineStr">
        <is>
          <t>Ya</t>
        </is>
      </c>
      <c r="G12" s="44" t="inlineStr">
        <is>
          <t>Ya</t>
        </is>
      </c>
      <c r="H12" s="44" t="inlineStr">
        <is>
          <t>Belum diketahui</t>
        </is>
      </c>
      <c r="I12" s="44" t="inlineStr">
        <is>
          <t>Direktur (COO)</t>
        </is>
      </c>
      <c r="J12" s="45" t="n"/>
      <c r="K12" s="46">
        <f>IF(J12="","Belum pernah",EDATE(J12,IF(E12="Tinggi",6,12)))</f>
        <v/>
      </c>
      <c r="L12" s="44" t="n"/>
    </row>
    <row r="13" ht="23.85" customHeight="1" s="28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8" t="n"/>
      <c r="K13" s="46">
        <f>IF(J13="","Belum pernah",EDATE(J13,IF(E13="Tinggi",6,12)))</f>
        <v/>
      </c>
      <c r="L13" s="47" t="n"/>
    </row>
    <row r="14" ht="23.85" customHeight="1" s="28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8" t="n"/>
      <c r="K14" s="46">
        <f>IF(J14="","Belum pernah",EDATE(J14,IF(E14="Tinggi",6,12)))</f>
        <v/>
      </c>
      <c r="L14" s="47" t="n"/>
    </row>
    <row r="15" ht="23.85" customHeight="1" s="28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8" t="n"/>
      <c r="K15" s="46">
        <f>IF(J15="","Belum pernah",EDATE(J15,IF(E15="Tinggi",6,12)))</f>
        <v/>
      </c>
      <c r="L15" s="47" t="n"/>
    </row>
    <row r="16" ht="23.85" customHeight="1" s="28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8" t="n"/>
      <c r="K16" s="46">
        <f>IF(J16="","Belum pernah",EDATE(J16,IF(E16="Tinggi",6,12)))</f>
        <v/>
      </c>
      <c r="L16" s="47" t="n"/>
    </row>
    <row r="17" ht="23.85" customHeight="1" s="28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8" t="n"/>
      <c r="K17" s="46">
        <f>IF(J17="","Belum pernah",EDATE(J17,IF(E17="Tinggi",6,12)))</f>
        <v/>
      </c>
      <c r="L17" s="47" t="n"/>
    </row>
    <row r="18" ht="23.85" customHeight="1" s="2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8" t="n"/>
      <c r="K18" s="46">
        <f>IF(J18="","Belum pernah",EDATE(J18,IF(E18="Tinggi",6,12)))</f>
        <v/>
      </c>
      <c r="L18" s="47" t="n"/>
    </row>
    <row r="19" ht="23.85" customHeight="1" s="28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8" t="n"/>
      <c r="K19" s="46">
        <f>IF(J19="","Belum pernah",EDATE(J19,IF(E19="Tinggi",6,12)))</f>
        <v/>
      </c>
      <c r="L19" s="47" t="n"/>
    </row>
    <row r="20" ht="23.85" customHeight="1" s="28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8" t="n"/>
      <c r="K20" s="46">
        <f>IF(J20="","Belum pernah",EDATE(J20,IF(E20="Tinggi",6,12)))</f>
        <v/>
      </c>
      <c r="L20" s="47" t="n"/>
    </row>
    <row r="21" ht="23.85" customHeight="1" s="28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8" t="n"/>
      <c r="K21" s="46">
        <f>IF(J21="","Belum pernah",EDATE(J21,IF(E21="Tinggi",6,12)))</f>
        <v/>
      </c>
      <c r="L21" s="47" t="n"/>
    </row>
    <row r="22" ht="23.85" customHeight="1" s="28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8" t="n"/>
      <c r="K22" s="46">
        <f>IF(J22="","Belum pernah",EDATE(J22,IF(E22="Tinggi",6,12)))</f>
        <v/>
      </c>
      <c r="L22" s="47" t="n"/>
    </row>
    <row r="23" ht="23.85" customHeight="1" s="28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8" t="n"/>
      <c r="K23" s="46">
        <f>IF(J23="","Belum pernah",EDATE(J23,IF(E23="Tinggi",6,12)))</f>
        <v/>
      </c>
      <c r="L23" s="47" t="n"/>
    </row>
    <row r="24" ht="23.85" customHeight="1" s="28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8" t="n"/>
      <c r="K24" s="46">
        <f>IF(J24="","Belum pernah",EDATE(J24,IF(E24="Tinggi",6,12)))</f>
        <v/>
      </c>
      <c r="L24" s="47" t="n"/>
    </row>
    <row r="25" ht="23.85" customHeight="1" s="28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8" t="n"/>
      <c r="K25" s="46">
        <f>IF(J25="","Belum pernah",EDATE(J25,IF(E25="Tinggi",6,12)))</f>
        <v/>
      </c>
      <c r="L25" s="47" t="n"/>
    </row>
    <row r="26" ht="23.85" customHeight="1" s="28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8" t="n"/>
      <c r="K26" s="46">
        <f>IF(J26="","Belum pernah",EDATE(J26,IF(E26="Tinggi",6,12)))</f>
        <v/>
      </c>
      <c r="L26" s="47" t="n"/>
    </row>
    <row r="27" ht="23.85" customHeight="1" s="28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  <c r="K27" s="46">
        <f>IF(J27="","Belum pernah",EDATE(J27,IF(E27="Tinggi",6,12)))</f>
        <v/>
      </c>
      <c r="L27" s="47" t="n"/>
    </row>
    <row r="28" ht="23.85" customHeight="1" s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  <c r="K28" s="46">
        <f>IF(J28="","Belum pernah",EDATE(J28,IF(E28="Tinggi",6,12)))</f>
        <v/>
      </c>
      <c r="L28" s="47" t="n"/>
    </row>
    <row r="29" ht="23.85" customHeight="1" s="28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8" t="n"/>
      <c r="K29" s="46">
        <f>IF(J29="","Belum pernah",EDATE(J29,IF(E29="Tinggi",6,12)))</f>
        <v/>
      </c>
      <c r="L29" s="47" t="n"/>
    </row>
    <row r="30" ht="23.85" customHeight="1" s="28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8" t="n"/>
      <c r="K30" s="46">
        <f>IF(J30="","Belum pernah",EDATE(J30,IF(E30="Tinggi",6,12)))</f>
        <v/>
      </c>
      <c r="L30" s="47" t="n"/>
    </row>
    <row r="31" ht="23.85" customHeight="1" s="28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  <c r="J31" s="48" t="n"/>
      <c r="K31" s="46">
        <f>IF(J31="","Belum pernah",EDATE(J31,IF(E31="Tinggi",6,12)))</f>
        <v/>
      </c>
      <c r="L31" s="47" t="n"/>
    </row>
    <row r="32" ht="23.85" customHeight="1" s="28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8" t="n"/>
      <c r="K32" s="46">
        <f>IF(J32="","Belum pernah",EDATE(J32,IF(E32="Tinggi",6,12)))</f>
        <v/>
      </c>
      <c r="L32" s="47" t="n"/>
    </row>
    <row r="33" ht="23.85" customHeight="1" s="28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  <c r="J33" s="48" t="n"/>
      <c r="K33" s="46">
        <f>IF(J33="","Belum pernah",EDATE(J33,IF(E33="Tinggi",6,12)))</f>
        <v/>
      </c>
      <c r="L33" s="47" t="n"/>
    </row>
    <row r="34" ht="23.85" customHeight="1" s="28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8" t="n"/>
      <c r="K34" s="46">
        <f>IF(J34="","Belum pernah",EDATE(J34,IF(E34="Tinggi",6,12)))</f>
        <v/>
      </c>
      <c r="L34" s="47" t="n"/>
    </row>
    <row r="35" ht="23.85" customHeight="1" s="28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8" t="n"/>
      <c r="K35" s="46">
        <f>IF(J35="","Belum pernah",EDATE(J35,IF(E35="Tinggi",6,12)))</f>
        <v/>
      </c>
      <c r="L35" s="47" t="n"/>
    </row>
    <row r="36" ht="23.85" customHeight="1" s="28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8" t="n"/>
      <c r="K36" s="46">
        <f>IF(J36="","Belum pernah",EDATE(J36,IF(E36="Tinggi",6,12)))</f>
        <v/>
      </c>
      <c r="L36" s="47" t="n"/>
    </row>
    <row r="37" ht="23.85" customHeight="1" s="28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  <c r="J37" s="48" t="n"/>
      <c r="K37" s="46">
        <f>IF(J37="","Belum pernah",EDATE(J37,IF(E37="Tinggi",6,12)))</f>
        <v/>
      </c>
      <c r="L37" s="47" t="n"/>
    </row>
    <row r="38" ht="23.85" customHeight="1" s="2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8" t="n"/>
      <c r="K38" s="46">
        <f>IF(J38="","Belum pernah",EDATE(J38,IF(E38="Tinggi",6,12)))</f>
        <v/>
      </c>
      <c r="L38" s="47" t="n"/>
    </row>
    <row r="39" ht="23.85" customHeight="1" s="28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  <c r="J39" s="48" t="n"/>
      <c r="K39" s="46">
        <f>IF(J39="","Belum pernah",EDATE(J39,IF(E39="Tinggi",6,12)))</f>
        <v/>
      </c>
      <c r="L39" s="47" t="n"/>
    </row>
    <row r="40" ht="23.85" customHeight="1" s="28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8" t="n"/>
      <c r="K40" s="46">
        <f>IF(J40="","Belum pernah",EDATE(J40,IF(E40="Tinggi",6,12)))</f>
        <v/>
      </c>
      <c r="L40" s="47" t="n"/>
    </row>
    <row r="41" ht="23.85" customHeight="1" s="28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8" t="n"/>
      <c r="K41" s="46">
        <f>IF(J41="","Belum pernah",EDATE(J41,IF(E41="Tinggi",6,12)))</f>
        <v/>
      </c>
      <c r="L41" s="47" t="n"/>
    </row>
    <row r="42" ht="23.85" customHeight="1" s="28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8" t="n"/>
      <c r="K42" s="46">
        <f>IF(J42="","Belum pernah",EDATE(J42,IF(E42="Tinggi",6,12)))</f>
        <v/>
      </c>
      <c r="L42" s="47" t="n"/>
    </row>
    <row r="43" ht="23.85" customHeight="1" s="28">
      <c r="A43" s="47" t="n"/>
      <c r="B43" s="47" t="n"/>
      <c r="C43" s="47" t="n"/>
      <c r="D43" s="47" t="n"/>
      <c r="E43" s="47" t="n"/>
      <c r="F43" s="47" t="n"/>
      <c r="G43" s="47" t="n"/>
      <c r="H43" s="47" t="n"/>
      <c r="I43" s="47" t="n"/>
      <c r="J43" s="48" t="n"/>
      <c r="K43" s="46">
        <f>IF(J43="","Belum pernah",EDATE(J43,IF(E43="Tinggi",6,12)))</f>
        <v/>
      </c>
      <c r="L43" s="47" t="n"/>
    </row>
    <row r="44" ht="23.85" customHeight="1" s="28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8" t="n"/>
      <c r="K44" s="46">
        <f>IF(J44="","Belum pernah",EDATE(J44,IF(E44="Tinggi",6,12)))</f>
        <v/>
      </c>
      <c r="L44" s="47" t="n"/>
    </row>
    <row r="45" ht="23.85" customHeight="1" s="28">
      <c r="A45" s="47" t="n"/>
      <c r="B45" s="47" t="n"/>
      <c r="C45" s="47" t="n"/>
      <c r="D45" s="47" t="n"/>
      <c r="E45" s="47" t="n"/>
      <c r="F45" s="47" t="n"/>
      <c r="G45" s="47" t="n"/>
      <c r="H45" s="47" t="n"/>
      <c r="I45" s="47" t="n"/>
      <c r="J45" s="48" t="n"/>
      <c r="K45" s="46">
        <f>IF(J45="","Belum pernah",EDATE(J45,IF(E45="Tinggi",6,12)))</f>
        <v/>
      </c>
      <c r="L45" s="47" t="n"/>
    </row>
    <row r="46" ht="23.85" customHeight="1" s="28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8" t="n"/>
      <c r="K46" s="46">
        <f>IF(J46="","Belum pernah",EDATE(J46,IF(E46="Tinggi",6,12)))</f>
        <v/>
      </c>
      <c r="L46" s="47" t="n"/>
    </row>
    <row r="47" ht="23.85" customHeight="1" s="28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8" t="n"/>
      <c r="K47" s="46">
        <f>IF(J47="","Belum pernah",EDATE(J47,IF(E47="Tinggi",6,12)))</f>
        <v/>
      </c>
      <c r="L47" s="47" t="n"/>
    </row>
    <row r="48" ht="23.85" customHeight="1" s="2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8" t="n"/>
      <c r="K48" s="46">
        <f>IF(J48="","Belum pernah",EDATE(J48,IF(E48="Tinggi",6,12)))</f>
        <v/>
      </c>
      <c r="L48" s="47" t="n"/>
    </row>
    <row r="49" ht="23.85" customHeight="1" s="28">
      <c r="A49" s="47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8" t="n"/>
      <c r="K49" s="46">
        <f>IF(J49="","Belum pernah",EDATE(J49,IF(E49="Tinggi",6,12)))</f>
        <v/>
      </c>
      <c r="L49" s="47" t="n"/>
    </row>
    <row r="50" ht="23.85" customHeight="1" s="28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8" t="n"/>
      <c r="K50" s="46">
        <f>IF(J50="","Belum pernah",EDATE(J50,IF(E50="Tinggi",6,12)))</f>
        <v/>
      </c>
      <c r="L50" s="47" t="n"/>
    </row>
    <row r="51" ht="23.85" customHeight="1" s="28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8" t="n"/>
      <c r="K51" s="46">
        <f>IF(J51="","Belum pernah",EDATE(J51,IF(E51="Tinggi",6,12)))</f>
        <v/>
      </c>
      <c r="L51" s="47" t="n"/>
    </row>
    <row r="52" ht="23.85" customHeight="1" s="28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8" t="n"/>
      <c r="K52" s="46">
        <f>IF(J52="","Belum pernah",EDATE(J52,IF(E52="Tinggi",6,12)))</f>
        <v/>
      </c>
      <c r="L52" s="47" t="n"/>
    </row>
  </sheetData>
  <autoFilter ref="A4:L52"/>
  <conditionalFormatting sqref="E5:E52">
    <cfRule type="cellIs" rank="0" priority="2" equalAverage="0" operator="equal" aboveAverage="0" dxfId="7" text="" percent="0" bottom="0">
      <formula>"Tinggi"</formula>
    </cfRule>
    <cfRule type="cellIs" rank="0" priority="3" equalAverage="0" operator="equal" aboveAverage="0" dxfId="8" text="" percent="0" bottom="0">
      <formula>"Sedang"</formula>
    </cfRule>
  </conditionalFormatting>
  <conditionalFormatting sqref="K5:K52">
    <cfRule type="cellIs" rank="0" priority="4" equalAverage="0" operator="equal" aboveAverage="0" dxfId="8" text="" percent="0" bottom="0">
      <formula>"Belum pernah"</formula>
    </cfRule>
  </conditionalFormatting>
  <dataValidations count="5">
    <dataValidation sqref="D5:D52" showDropDown="0" showInputMessage="0" showErrorMessage="0" allowBlank="1" type="list" errorStyle="stop" operator="between">
      <formula1>Daftar!$A$2:$A$10</formula1>
      <formula2>0</formula2>
    </dataValidation>
    <dataValidation sqref="E5:E52" showDropDown="0" showInputMessage="0" showErrorMessage="0" allowBlank="1" type="list" errorStyle="stop" operator="between">
      <formula1>Daftar!$B$2:$B$4</formula1>
      <formula2>0</formula2>
    </dataValidation>
    <dataValidation sqref="F5:F52" showDropDown="0" showInputMessage="0" showErrorMessage="0" allowBlank="1" type="list" errorStyle="stop" operator="between">
      <formula1>Daftar!$C$2:$C$4</formula1>
      <formula2>0</formula2>
    </dataValidation>
    <dataValidation sqref="G5:G52" showDropDown="0" showInputMessage="0" showErrorMessage="0" allowBlank="1" type="list" errorStyle="stop" operator="between">
      <formula1>Daftar!$C$2:$C$4</formula1>
      <formula2>0</formula2>
    </dataValidation>
    <dataValidation sqref="H5:H52" showDropDown="0" showInputMessage="0" showErrorMessage="0" allowBlank="1" type="list" errorStyle="stop" operator="between">
      <formula1>Daftar!$C$2:$C$4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N1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Right"/>
      <selection pane="bottomLeft"/>
      <selection pane="bottomRigh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12" customWidth="1" style="27" min="2" max="2"/>
    <col width="26" customWidth="1" style="27" min="3" max="3"/>
    <col width="18" customWidth="1" style="27" min="4" max="9"/>
    <col width="20" customWidth="1" style="28" min="5" max="5"/>
    <col width="14" customWidth="1" style="28" min="6" max="6"/>
    <col width="17" customWidth="1" style="28" min="7" max="7"/>
    <col width="13" customWidth="1" style="28" min="8" max="8"/>
    <col width="20" customWidth="1" style="28" min="9" max="9"/>
    <col width="8" customWidth="1" style="27" min="10" max="10"/>
    <col width="14" customWidth="1" style="27" min="11" max="11"/>
    <col width="26" customWidth="1" style="27" min="12" max="12"/>
    <col width="14" customWidth="1" style="27" min="13" max="14"/>
    <col width="14" customWidth="1" style="28" min="14" max="14"/>
  </cols>
  <sheetData>
    <row r="1" ht="16.15" customHeight="1" s="28">
      <c r="A1" s="41" t="inlineStr">
        <is>
          <t>Evaluasi kinerja dan keamanan supplier</t>
        </is>
      </c>
    </row>
    <row r="2" ht="15" customHeight="1" s="28">
      <c r="A2" s="49" t="inlineStr">
        <is>
          <t>Skor 1 (sangat buruk) sampai 5 (sangat baik). Nilai = rata-rata tertimbang dikali 20 (skala 20 sampai 100). 80 ke atas Disetujui · 60 sampai 79 Disetujui bersyarat · di bawah 60 Tinjau ulang.</t>
        </is>
      </c>
    </row>
    <row r="3" ht="15" customHeight="1" s="28">
      <c r="A3" s="50" t="inlineStr">
        <is>
          <t>Bobot</t>
        </is>
      </c>
      <c r="D3" s="51" t="n">
        <v>0.25</v>
      </c>
      <c r="E3" s="51" t="n">
        <v>0.15</v>
      </c>
      <c r="F3" s="51" t="n">
        <v>0.25</v>
      </c>
      <c r="G3" s="51" t="n">
        <v>0.15</v>
      </c>
      <c r="H3" s="51" t="n">
        <v>0.1</v>
      </c>
      <c r="I3" s="51" t="n">
        <v>0.1</v>
      </c>
    </row>
    <row r="4" ht="111" customHeight="1" s="28">
      <c r="A4" s="43" t="inlineStr">
        <is>
          <t>Periode</t>
        </is>
      </c>
      <c r="B4" s="43" t="inlineStr">
        <is>
          <t>ID supplier</t>
        </is>
      </c>
      <c r="C4" s="43" t="inlineStr">
        <is>
          <t>Nama supplier</t>
        </is>
      </c>
      <c r="D4" s="43" t="inlineStr">
        <is>
          <t>Kinerja dan availability sesuai SLA</t>
        </is>
      </c>
      <c r="E4" s="43" t="inlineStr">
        <is>
          <t>Responsivitas dukungan dan eskalasi</t>
        </is>
      </c>
      <c r="F4" s="43" t="inlineStr">
        <is>
          <t>Kontrol keamanan informasi</t>
        </is>
      </c>
      <c r="G4" s="43" t="inlineStr">
        <is>
          <t>Kepatuhan kontrak, legal, dan pelindungan data</t>
        </is>
      </c>
      <c r="H4" s="43" t="inlineStr">
        <is>
          <t>Insiden atau breach terkait supplier (5 = tidak ada)</t>
        </is>
      </c>
      <c r="I4" s="43" t="inlineStr">
        <is>
          <t>Keberlanjutan dan kapasitas teknis</t>
        </is>
      </c>
      <c r="J4" s="43" t="inlineStr">
        <is>
          <t>Nilai</t>
        </is>
      </c>
      <c r="K4" s="43" t="inlineStr">
        <is>
          <t>Keputusan</t>
        </is>
      </c>
      <c r="L4" s="43" t="inlineStr">
        <is>
          <t>Tindak lanjut</t>
        </is>
      </c>
      <c r="M4" s="43" t="inlineStr">
        <is>
          <t>Evaluator</t>
        </is>
      </c>
      <c r="N4" s="43" t="inlineStr">
        <is>
          <t>Disetujui</t>
        </is>
      </c>
    </row>
    <row r="5" ht="15" customHeight="1" s="28">
      <c r="A5" s="52" t="n"/>
      <c r="B5" s="52" t="n"/>
      <c r="C5" s="53">
        <f>IF(B5="","",IFERROR(INDEX('Daftar Supplier'!$B$5:$B$52,MATCH(B5,'Daftar Supplier'!$A$5:$A$52,0)),"ID tidak ada"))</f>
        <v/>
      </c>
      <c r="D5" s="52" t="n"/>
      <c r="E5" s="52" t="n"/>
      <c r="F5" s="52" t="n"/>
      <c r="G5" s="52" t="n"/>
      <c r="H5" s="52" t="n"/>
      <c r="I5" s="52" t="n"/>
      <c r="J5" s="53">
        <f>IF(COUNT(D5:I5)&lt;6,"",ROUND(SUMPRODUCT(D5:I5,$D$3:$I$3)/SUM($D$3:$I$3)*20,0))</f>
        <v/>
      </c>
      <c r="K5" s="53">
        <f>IF(J5="","",IF(J5&gt;=80,"Disetujui",IF(J5&gt;=60,"Disetujui bersyarat","Tinjau ulang")))</f>
        <v/>
      </c>
      <c r="L5" s="52" t="n"/>
      <c r="M5" s="52" t="n"/>
      <c r="N5" s="52" t="n"/>
    </row>
    <row r="6" ht="15" customHeight="1" s="28">
      <c r="A6" s="52" t="n"/>
      <c r="B6" s="52" t="n"/>
      <c r="C6" s="53">
        <f>IF(B6="","",IFERROR(INDEX('Daftar Supplier'!$B$5:$B$52,MATCH(B6,'Daftar Supplier'!$A$5:$A$52,0)),"ID tidak ada"))</f>
        <v/>
      </c>
      <c r="D6" s="52" t="n"/>
      <c r="E6" s="52" t="n"/>
      <c r="F6" s="52" t="n"/>
      <c r="G6" s="52" t="n"/>
      <c r="H6" s="52" t="n"/>
      <c r="I6" s="52" t="n"/>
      <c r="J6" s="53">
        <f>IF(COUNT(D6:I6)&lt;6,"",ROUND(SUMPRODUCT(D6:I6,$D$3:$I$3)/SUM($D$3:$I$3)*20,0))</f>
        <v/>
      </c>
      <c r="K6" s="53">
        <f>IF(J6="","",IF(J6&gt;=80,"Disetujui",IF(J6&gt;=60,"Disetujui bersyarat","Tinjau ulang")))</f>
        <v/>
      </c>
      <c r="L6" s="52" t="n"/>
      <c r="M6" s="52" t="n"/>
      <c r="N6" s="52" t="n"/>
    </row>
    <row r="7" ht="15" customHeight="1" s="28">
      <c r="A7" s="52" t="n"/>
      <c r="B7" s="52" t="n"/>
      <c r="C7" s="53">
        <f>IF(B7="","",IFERROR(INDEX('Daftar Supplier'!$B$5:$B$52,MATCH(B7,'Daftar Supplier'!$A$5:$A$52,0)),"ID tidak ada"))</f>
        <v/>
      </c>
      <c r="D7" s="52" t="n"/>
      <c r="E7" s="52" t="n"/>
      <c r="F7" s="52" t="n"/>
      <c r="G7" s="52" t="n"/>
      <c r="H7" s="52" t="n"/>
      <c r="I7" s="52" t="n"/>
      <c r="J7" s="53">
        <f>IF(COUNT(D7:I7)&lt;6,"",ROUND(SUMPRODUCT(D7:I7,$D$3:$I$3)/SUM($D$3:$I$3)*20,0))</f>
        <v/>
      </c>
      <c r="K7" s="53">
        <f>IF(J7="","",IF(J7&gt;=80,"Disetujui",IF(J7&gt;=60,"Disetujui bersyarat","Tinjau ulang")))</f>
        <v/>
      </c>
      <c r="L7" s="52" t="n"/>
      <c r="M7" s="52" t="n"/>
      <c r="N7" s="52" t="n"/>
    </row>
    <row r="8" ht="15" customHeight="1" s="28">
      <c r="A8" s="52" t="n"/>
      <c r="B8" s="52" t="n"/>
      <c r="C8" s="53">
        <f>IF(B8="","",IFERROR(INDEX('Daftar Supplier'!$B$5:$B$52,MATCH(B8,'Daftar Supplier'!$A$5:$A$52,0)),"ID tidak ada"))</f>
        <v/>
      </c>
      <c r="D8" s="52" t="n"/>
      <c r="E8" s="52" t="n"/>
      <c r="F8" s="52" t="n"/>
      <c r="G8" s="52" t="n"/>
      <c r="H8" s="52" t="n"/>
      <c r="I8" s="52" t="n"/>
      <c r="J8" s="53">
        <f>IF(COUNT(D8:I8)&lt;6,"",ROUND(SUMPRODUCT(D8:I8,$D$3:$I$3)/SUM($D$3:$I$3)*20,0))</f>
        <v/>
      </c>
      <c r="K8" s="53">
        <f>IF(J8="","",IF(J8&gt;=80,"Disetujui",IF(J8&gt;=60,"Disetujui bersyarat","Tinjau ulang")))</f>
        <v/>
      </c>
      <c r="L8" s="52" t="n"/>
      <c r="M8" s="52" t="n"/>
      <c r="N8" s="52" t="n"/>
    </row>
    <row r="9" ht="15" customHeight="1" s="28">
      <c r="A9" s="52" t="n"/>
      <c r="B9" s="52" t="n"/>
      <c r="C9" s="53">
        <f>IF(B9="","",IFERROR(INDEX('Daftar Supplier'!$B$5:$B$52,MATCH(B9,'Daftar Supplier'!$A$5:$A$52,0)),"ID tidak ada"))</f>
        <v/>
      </c>
      <c r="D9" s="52" t="n"/>
      <c r="E9" s="52" t="n"/>
      <c r="F9" s="52" t="n"/>
      <c r="G9" s="52" t="n"/>
      <c r="H9" s="52" t="n"/>
      <c r="I9" s="52" t="n"/>
      <c r="J9" s="53">
        <f>IF(COUNT(D9:I9)&lt;6,"",ROUND(SUMPRODUCT(D9:I9,$D$3:$I$3)/SUM($D$3:$I$3)*20,0))</f>
        <v/>
      </c>
      <c r="K9" s="53">
        <f>IF(J9="","",IF(J9&gt;=80,"Disetujui",IF(J9&gt;=60,"Disetujui bersyarat","Tinjau ulang")))</f>
        <v/>
      </c>
      <c r="L9" s="52" t="n"/>
      <c r="M9" s="52" t="n"/>
      <c r="N9" s="52" t="n"/>
    </row>
    <row r="10" ht="15" customHeight="1" s="28">
      <c r="A10" s="52" t="n"/>
      <c r="B10" s="52" t="n"/>
      <c r="C10" s="53">
        <f>IF(B10="","",IFERROR(INDEX('Daftar Supplier'!$B$5:$B$52,MATCH(B10,'Daftar Supplier'!$A$5:$A$52,0)),"ID tidak ada"))</f>
        <v/>
      </c>
      <c r="D10" s="52" t="n"/>
      <c r="E10" s="52" t="n"/>
      <c r="F10" s="52" t="n"/>
      <c r="G10" s="52" t="n"/>
      <c r="H10" s="52" t="n"/>
      <c r="I10" s="52" t="n"/>
      <c r="J10" s="53">
        <f>IF(COUNT(D10:I10)&lt;6,"",ROUND(SUMPRODUCT(D10:I10,$D$3:$I$3)/SUM($D$3:$I$3)*20,0))</f>
        <v/>
      </c>
      <c r="K10" s="53">
        <f>IF(J10="","",IF(J10&gt;=80,"Disetujui",IF(J10&gt;=60,"Disetujui bersyarat","Tinjau ulang")))</f>
        <v/>
      </c>
      <c r="L10" s="52" t="n"/>
      <c r="M10" s="52" t="n"/>
      <c r="N10" s="52" t="n"/>
    </row>
    <row r="11" ht="15" customHeight="1" s="28">
      <c r="A11" s="52" t="n"/>
      <c r="B11" s="52" t="n"/>
      <c r="C11" s="53">
        <f>IF(B11="","",IFERROR(INDEX('Daftar Supplier'!$B$5:$B$52,MATCH(B11,'Daftar Supplier'!$A$5:$A$52,0)),"ID tidak ada"))</f>
        <v/>
      </c>
      <c r="D11" s="52" t="n"/>
      <c r="E11" s="52" t="n"/>
      <c r="F11" s="52" t="n"/>
      <c r="G11" s="52" t="n"/>
      <c r="H11" s="52" t="n"/>
      <c r="I11" s="52" t="n"/>
      <c r="J11" s="53">
        <f>IF(COUNT(D11:I11)&lt;6,"",ROUND(SUMPRODUCT(D11:I11,$D$3:$I$3)/SUM($D$3:$I$3)*20,0))</f>
        <v/>
      </c>
      <c r="K11" s="53">
        <f>IF(J11="","",IF(J11&gt;=80,"Disetujui",IF(J11&gt;=60,"Disetujui bersyarat","Tinjau ulang")))</f>
        <v/>
      </c>
      <c r="L11" s="52" t="n"/>
      <c r="M11" s="52" t="n"/>
      <c r="N11" s="52" t="n"/>
    </row>
    <row r="12" ht="15" customHeight="1" s="28">
      <c r="A12" s="52" t="n"/>
      <c r="B12" s="52" t="n"/>
      <c r="C12" s="53">
        <f>IF(B12="","",IFERROR(INDEX('Daftar Supplier'!$B$5:$B$52,MATCH(B12,'Daftar Supplier'!$A$5:$A$52,0)),"ID tidak ada"))</f>
        <v/>
      </c>
      <c r="D12" s="52" t="n"/>
      <c r="E12" s="52" t="n"/>
      <c r="F12" s="52" t="n"/>
      <c r="G12" s="52" t="n"/>
      <c r="H12" s="52" t="n"/>
      <c r="I12" s="52" t="n"/>
      <c r="J12" s="53">
        <f>IF(COUNT(D12:I12)&lt;6,"",ROUND(SUMPRODUCT(D12:I12,$D$3:$I$3)/SUM($D$3:$I$3)*20,0))</f>
        <v/>
      </c>
      <c r="K12" s="53">
        <f>IF(J12="","",IF(J12&gt;=80,"Disetujui",IF(J12&gt;=60,"Disetujui bersyarat","Tinjau ulang")))</f>
        <v/>
      </c>
      <c r="L12" s="52" t="n"/>
      <c r="M12" s="52" t="n"/>
      <c r="N12" s="52" t="n"/>
    </row>
    <row r="13" ht="15" customHeight="1" s="28">
      <c r="A13" s="52" t="n"/>
      <c r="B13" s="52" t="n"/>
      <c r="C13" s="53">
        <f>IF(B13="","",IFERROR(INDEX('Daftar Supplier'!$B$5:$B$52,MATCH(B13,'Daftar Supplier'!$A$5:$A$52,0)),"ID tidak ada"))</f>
        <v/>
      </c>
      <c r="D13" s="52" t="n"/>
      <c r="E13" s="52" t="n"/>
      <c r="F13" s="52" t="n"/>
      <c r="G13" s="52" t="n"/>
      <c r="H13" s="52" t="n"/>
      <c r="I13" s="52" t="n"/>
      <c r="J13" s="53">
        <f>IF(COUNT(D13:I13)&lt;6,"",ROUND(SUMPRODUCT(D13:I13,$D$3:$I$3)/SUM($D$3:$I$3)*20,0))</f>
        <v/>
      </c>
      <c r="K13" s="53">
        <f>IF(J13="","",IF(J13&gt;=80,"Disetujui",IF(J13&gt;=60,"Disetujui bersyarat","Tinjau ulang")))</f>
        <v/>
      </c>
      <c r="L13" s="52" t="n"/>
      <c r="M13" s="52" t="n"/>
      <c r="N13" s="52" t="n"/>
    </row>
    <row r="14" ht="15" customHeight="1" s="28">
      <c r="A14" s="52" t="n"/>
      <c r="B14" s="52" t="n"/>
      <c r="C14" s="53">
        <f>IF(B14="","",IFERROR(INDEX('Daftar Supplier'!$B$5:$B$52,MATCH(B14,'Daftar Supplier'!$A$5:$A$52,0)),"ID tidak ada"))</f>
        <v/>
      </c>
      <c r="D14" s="52" t="n"/>
      <c r="E14" s="52" t="n"/>
      <c r="F14" s="52" t="n"/>
      <c r="G14" s="52" t="n"/>
      <c r="H14" s="52" t="n"/>
      <c r="I14" s="52" t="n"/>
      <c r="J14" s="53">
        <f>IF(COUNT(D14:I14)&lt;6,"",ROUND(SUMPRODUCT(D14:I14,$D$3:$I$3)/SUM($D$3:$I$3)*20,0))</f>
        <v/>
      </c>
      <c r="K14" s="53">
        <f>IF(J14="","",IF(J14&gt;=80,"Disetujui",IF(J14&gt;=60,"Disetujui bersyarat","Tinjau ulang")))</f>
        <v/>
      </c>
      <c r="L14" s="52" t="n"/>
      <c r="M14" s="52" t="n"/>
      <c r="N14" s="52" t="n"/>
    </row>
    <row r="15" ht="15" customHeight="1" s="28">
      <c r="A15" s="52" t="n"/>
      <c r="B15" s="52" t="n"/>
      <c r="C15" s="53">
        <f>IF(B15="","",IFERROR(INDEX('Daftar Supplier'!$B$5:$B$52,MATCH(B15,'Daftar Supplier'!$A$5:$A$52,0)),"ID tidak ada"))</f>
        <v/>
      </c>
      <c r="D15" s="52" t="n"/>
      <c r="E15" s="52" t="n"/>
      <c r="F15" s="52" t="n"/>
      <c r="G15" s="52" t="n"/>
      <c r="H15" s="52" t="n"/>
      <c r="I15" s="52" t="n"/>
      <c r="J15" s="53">
        <f>IF(COUNT(D15:I15)&lt;6,"",ROUND(SUMPRODUCT(D15:I15,$D$3:$I$3)/SUM($D$3:$I$3)*20,0))</f>
        <v/>
      </c>
      <c r="K15" s="53">
        <f>IF(J15="","",IF(J15&gt;=80,"Disetujui",IF(J15&gt;=60,"Disetujui bersyarat","Tinjau ulang")))</f>
        <v/>
      </c>
      <c r="L15" s="52" t="n"/>
      <c r="M15" s="52" t="n"/>
      <c r="N15" s="52" t="n"/>
    </row>
    <row r="16" ht="15" customHeight="1" s="28">
      <c r="A16" s="52" t="n"/>
      <c r="B16" s="52" t="n"/>
      <c r="C16" s="53">
        <f>IF(B16="","",IFERROR(INDEX('Daftar Supplier'!$B$5:$B$52,MATCH(B16,'Daftar Supplier'!$A$5:$A$52,0)),"ID tidak ada"))</f>
        <v/>
      </c>
      <c r="D16" s="52" t="n"/>
      <c r="E16" s="52" t="n"/>
      <c r="F16" s="52" t="n"/>
      <c r="G16" s="52" t="n"/>
      <c r="H16" s="52" t="n"/>
      <c r="I16" s="52" t="n"/>
      <c r="J16" s="53">
        <f>IF(COUNT(D16:I16)&lt;6,"",ROUND(SUMPRODUCT(D16:I16,$D$3:$I$3)/SUM($D$3:$I$3)*20,0))</f>
        <v/>
      </c>
      <c r="K16" s="53">
        <f>IF(J16="","",IF(J16&gt;=80,"Disetujui",IF(J16&gt;=60,"Disetujui bersyarat","Tinjau ulang")))</f>
        <v/>
      </c>
      <c r="L16" s="52" t="n"/>
      <c r="M16" s="52" t="n"/>
      <c r="N16" s="52" t="n"/>
    </row>
    <row r="17" ht="15" customHeight="1" s="28">
      <c r="A17" s="52" t="n"/>
      <c r="B17" s="52" t="n"/>
      <c r="C17" s="53">
        <f>IF(B17="","",IFERROR(INDEX('Daftar Supplier'!$B$5:$B$52,MATCH(B17,'Daftar Supplier'!$A$5:$A$52,0)),"ID tidak ada"))</f>
        <v/>
      </c>
      <c r="D17" s="52" t="n"/>
      <c r="E17" s="52" t="n"/>
      <c r="F17" s="52" t="n"/>
      <c r="G17" s="52" t="n"/>
      <c r="H17" s="52" t="n"/>
      <c r="I17" s="52" t="n"/>
      <c r="J17" s="53">
        <f>IF(COUNT(D17:I17)&lt;6,"",ROUND(SUMPRODUCT(D17:I17,$D$3:$I$3)/SUM($D$3:$I$3)*20,0))</f>
        <v/>
      </c>
      <c r="K17" s="53">
        <f>IF(J17="","",IF(J17&gt;=80,"Disetujui",IF(J17&gt;=60,"Disetujui bersyarat","Tinjau ulang")))</f>
        <v/>
      </c>
      <c r="L17" s="52" t="n"/>
      <c r="M17" s="52" t="n"/>
      <c r="N17" s="52" t="n"/>
    </row>
    <row r="18" ht="15" customHeight="1" s="28">
      <c r="A18" s="52" t="n"/>
      <c r="B18" s="52" t="n"/>
      <c r="C18" s="53">
        <f>IF(B18="","",IFERROR(INDEX('Daftar Supplier'!$B$5:$B$52,MATCH(B18,'Daftar Supplier'!$A$5:$A$52,0)),"ID tidak ada"))</f>
        <v/>
      </c>
      <c r="D18" s="52" t="n"/>
      <c r="E18" s="52" t="n"/>
      <c r="F18" s="52" t="n"/>
      <c r="G18" s="52" t="n"/>
      <c r="H18" s="52" t="n"/>
      <c r="I18" s="52" t="n"/>
      <c r="J18" s="53">
        <f>IF(COUNT(D18:I18)&lt;6,"",ROUND(SUMPRODUCT(D18:I18,$D$3:$I$3)/SUM($D$3:$I$3)*20,0))</f>
        <v/>
      </c>
      <c r="K18" s="53">
        <f>IF(J18="","",IF(J18&gt;=80,"Disetujui",IF(J18&gt;=60,"Disetujui bersyarat","Tinjau ulang")))</f>
        <v/>
      </c>
      <c r="L18" s="52" t="n"/>
      <c r="M18" s="52" t="n"/>
      <c r="N18" s="52" t="n"/>
    </row>
    <row r="19" ht="15" customHeight="1" s="28">
      <c r="A19" s="52" t="n"/>
      <c r="B19" s="52" t="n"/>
      <c r="C19" s="53">
        <f>IF(B19="","",IFERROR(INDEX('Daftar Supplier'!$B$5:$B$52,MATCH(B19,'Daftar Supplier'!$A$5:$A$52,0)),"ID tidak ada"))</f>
        <v/>
      </c>
      <c r="D19" s="52" t="n"/>
      <c r="E19" s="52" t="n"/>
      <c r="F19" s="52" t="n"/>
      <c r="G19" s="52" t="n"/>
      <c r="H19" s="52" t="n"/>
      <c r="I19" s="52" t="n"/>
      <c r="J19" s="53">
        <f>IF(COUNT(D19:I19)&lt;6,"",ROUND(SUMPRODUCT(D19:I19,$D$3:$I$3)/SUM($D$3:$I$3)*20,0))</f>
        <v/>
      </c>
      <c r="K19" s="53">
        <f>IF(J19="","",IF(J19&gt;=80,"Disetujui",IF(J19&gt;=60,"Disetujui bersyarat","Tinjau ulang")))</f>
        <v/>
      </c>
      <c r="L19" s="52" t="n"/>
      <c r="M19" s="52" t="n"/>
      <c r="N19" s="52" t="n"/>
    </row>
    <row r="20" ht="15" customHeight="1" s="28">
      <c r="A20" s="52" t="n"/>
      <c r="B20" s="52" t="n"/>
      <c r="C20" s="53">
        <f>IF(B20="","",IFERROR(INDEX('Daftar Supplier'!$B$5:$B$52,MATCH(B20,'Daftar Supplier'!$A$5:$A$52,0)),"ID tidak ada"))</f>
        <v/>
      </c>
      <c r="D20" s="52" t="n"/>
      <c r="E20" s="52" t="n"/>
      <c r="F20" s="52" t="n"/>
      <c r="G20" s="52" t="n"/>
      <c r="H20" s="52" t="n"/>
      <c r="I20" s="52" t="n"/>
      <c r="J20" s="53">
        <f>IF(COUNT(D20:I20)&lt;6,"",ROUND(SUMPRODUCT(D20:I20,$D$3:$I$3)/SUM($D$3:$I$3)*20,0))</f>
        <v/>
      </c>
      <c r="K20" s="53">
        <f>IF(J20="","",IF(J20&gt;=80,"Disetujui",IF(J20&gt;=60,"Disetujui bersyarat","Tinjau ulang")))</f>
        <v/>
      </c>
      <c r="L20" s="52" t="n"/>
      <c r="M20" s="52" t="n"/>
      <c r="N20" s="52" t="n"/>
    </row>
    <row r="21" ht="15" customHeight="1" s="28">
      <c r="A21" s="52" t="n"/>
      <c r="B21" s="52" t="n"/>
      <c r="C21" s="53">
        <f>IF(B21="","",IFERROR(INDEX('Daftar Supplier'!$B$5:$B$52,MATCH(B21,'Daftar Supplier'!$A$5:$A$52,0)),"ID tidak ada"))</f>
        <v/>
      </c>
      <c r="D21" s="52" t="n"/>
      <c r="E21" s="52" t="n"/>
      <c r="F21" s="52" t="n"/>
      <c r="G21" s="52" t="n"/>
      <c r="H21" s="52" t="n"/>
      <c r="I21" s="52" t="n"/>
      <c r="J21" s="53">
        <f>IF(COUNT(D21:I21)&lt;6,"",ROUND(SUMPRODUCT(D21:I21,$D$3:$I$3)/SUM($D$3:$I$3)*20,0))</f>
        <v/>
      </c>
      <c r="K21" s="53">
        <f>IF(J21="","",IF(J21&gt;=80,"Disetujui",IF(J21&gt;=60,"Disetujui bersyarat","Tinjau ulang")))</f>
        <v/>
      </c>
      <c r="L21" s="52" t="n"/>
      <c r="M21" s="52" t="n"/>
      <c r="N21" s="52" t="n"/>
    </row>
    <row r="22" ht="15" customHeight="1" s="28">
      <c r="A22" s="52" t="n"/>
      <c r="B22" s="52" t="n"/>
      <c r="C22" s="53">
        <f>IF(B22="","",IFERROR(INDEX('Daftar Supplier'!$B$5:$B$52,MATCH(B22,'Daftar Supplier'!$A$5:$A$52,0)),"ID tidak ada"))</f>
        <v/>
      </c>
      <c r="D22" s="52" t="n"/>
      <c r="E22" s="52" t="n"/>
      <c r="F22" s="52" t="n"/>
      <c r="G22" s="52" t="n"/>
      <c r="H22" s="52" t="n"/>
      <c r="I22" s="52" t="n"/>
      <c r="J22" s="53">
        <f>IF(COUNT(D22:I22)&lt;6,"",ROUND(SUMPRODUCT(D22:I22,$D$3:$I$3)/SUM($D$3:$I$3)*20,0))</f>
        <v/>
      </c>
      <c r="K22" s="53">
        <f>IF(J22="","",IF(J22&gt;=80,"Disetujui",IF(J22&gt;=60,"Disetujui bersyarat","Tinjau ulang")))</f>
        <v/>
      </c>
      <c r="L22" s="52" t="n"/>
      <c r="M22" s="52" t="n"/>
      <c r="N22" s="52" t="n"/>
    </row>
    <row r="23" ht="15" customHeight="1" s="28">
      <c r="A23" s="52" t="n"/>
      <c r="B23" s="52" t="n"/>
      <c r="C23" s="53">
        <f>IF(B23="","",IFERROR(INDEX('Daftar Supplier'!$B$5:$B$52,MATCH(B23,'Daftar Supplier'!$A$5:$A$52,0)),"ID tidak ada"))</f>
        <v/>
      </c>
      <c r="D23" s="52" t="n"/>
      <c r="E23" s="52" t="n"/>
      <c r="F23" s="52" t="n"/>
      <c r="G23" s="52" t="n"/>
      <c r="H23" s="52" t="n"/>
      <c r="I23" s="52" t="n"/>
      <c r="J23" s="53">
        <f>IF(COUNT(D23:I23)&lt;6,"",ROUND(SUMPRODUCT(D23:I23,$D$3:$I$3)/SUM($D$3:$I$3)*20,0))</f>
        <v/>
      </c>
      <c r="K23" s="53">
        <f>IF(J23="","",IF(J23&gt;=80,"Disetujui",IF(J23&gt;=60,"Disetujui bersyarat","Tinjau ulang")))</f>
        <v/>
      </c>
      <c r="L23" s="52" t="n"/>
      <c r="M23" s="52" t="n"/>
      <c r="N23" s="52" t="n"/>
    </row>
    <row r="24" ht="15" customHeight="1" s="28">
      <c r="A24" s="52" t="n"/>
      <c r="B24" s="52" t="n"/>
      <c r="C24" s="53">
        <f>IF(B24="","",IFERROR(INDEX('Daftar Supplier'!$B$5:$B$52,MATCH(B24,'Daftar Supplier'!$A$5:$A$52,0)),"ID tidak ada"))</f>
        <v/>
      </c>
      <c r="D24" s="52" t="n"/>
      <c r="E24" s="52" t="n"/>
      <c r="F24" s="52" t="n"/>
      <c r="G24" s="52" t="n"/>
      <c r="H24" s="52" t="n"/>
      <c r="I24" s="52" t="n"/>
      <c r="J24" s="53">
        <f>IF(COUNT(D24:I24)&lt;6,"",ROUND(SUMPRODUCT(D24:I24,$D$3:$I$3)/SUM($D$3:$I$3)*20,0))</f>
        <v/>
      </c>
      <c r="K24" s="53">
        <f>IF(J24="","",IF(J24&gt;=80,"Disetujui",IF(J24&gt;=60,"Disetujui bersyarat","Tinjau ulang")))</f>
        <v/>
      </c>
      <c r="L24" s="52" t="n"/>
      <c r="M24" s="52" t="n"/>
      <c r="N24" s="52" t="n"/>
    </row>
    <row r="25" ht="15" customHeight="1" s="28">
      <c r="A25" s="52" t="n"/>
      <c r="B25" s="52" t="n"/>
      <c r="C25" s="53">
        <f>IF(B25="","",IFERROR(INDEX('Daftar Supplier'!$B$5:$B$52,MATCH(B25,'Daftar Supplier'!$A$5:$A$52,0)),"ID tidak ada"))</f>
        <v/>
      </c>
      <c r="D25" s="52" t="n"/>
      <c r="E25" s="52" t="n"/>
      <c r="F25" s="52" t="n"/>
      <c r="G25" s="52" t="n"/>
      <c r="H25" s="52" t="n"/>
      <c r="I25" s="52" t="n"/>
      <c r="J25" s="53">
        <f>IF(COUNT(D25:I25)&lt;6,"",ROUND(SUMPRODUCT(D25:I25,$D$3:$I$3)/SUM($D$3:$I$3)*20,0))</f>
        <v/>
      </c>
      <c r="K25" s="53">
        <f>IF(J25="","",IF(J25&gt;=80,"Disetujui",IF(J25&gt;=60,"Disetujui bersyarat","Tinjau ulang")))</f>
        <v/>
      </c>
      <c r="L25" s="52" t="n"/>
      <c r="M25" s="52" t="n"/>
      <c r="N25" s="52" t="n"/>
    </row>
    <row r="26" ht="15" customHeight="1" s="28">
      <c r="A26" s="52" t="n"/>
      <c r="B26" s="52" t="n"/>
      <c r="C26" s="53">
        <f>IF(B26="","",IFERROR(INDEX('Daftar Supplier'!$B$5:$B$52,MATCH(B26,'Daftar Supplier'!$A$5:$A$52,0)),"ID tidak ada"))</f>
        <v/>
      </c>
      <c r="D26" s="52" t="n"/>
      <c r="E26" s="52" t="n"/>
      <c r="F26" s="52" t="n"/>
      <c r="G26" s="52" t="n"/>
      <c r="H26" s="52" t="n"/>
      <c r="I26" s="52" t="n"/>
      <c r="J26" s="53">
        <f>IF(COUNT(D26:I26)&lt;6,"",ROUND(SUMPRODUCT(D26:I26,$D$3:$I$3)/SUM($D$3:$I$3)*20,0))</f>
        <v/>
      </c>
      <c r="K26" s="53">
        <f>IF(J26="","",IF(J26&gt;=80,"Disetujui",IF(J26&gt;=60,"Disetujui bersyarat","Tinjau ulang")))</f>
        <v/>
      </c>
      <c r="L26" s="52" t="n"/>
      <c r="M26" s="52" t="n"/>
      <c r="N26" s="52" t="n"/>
    </row>
    <row r="27" ht="15" customHeight="1" s="28">
      <c r="A27" s="52" t="n"/>
      <c r="B27" s="52" t="n"/>
      <c r="C27" s="53">
        <f>IF(B27="","",IFERROR(INDEX('Daftar Supplier'!$B$5:$B$52,MATCH(B27,'Daftar Supplier'!$A$5:$A$52,0)),"ID tidak ada"))</f>
        <v/>
      </c>
      <c r="D27" s="52" t="n"/>
      <c r="E27" s="52" t="n"/>
      <c r="F27" s="52" t="n"/>
      <c r="G27" s="52" t="n"/>
      <c r="H27" s="52" t="n"/>
      <c r="I27" s="52" t="n"/>
      <c r="J27" s="53">
        <f>IF(COUNT(D27:I27)&lt;6,"",ROUND(SUMPRODUCT(D27:I27,$D$3:$I$3)/SUM($D$3:$I$3)*20,0))</f>
        <v/>
      </c>
      <c r="K27" s="53">
        <f>IF(J27="","",IF(J27&gt;=80,"Disetujui",IF(J27&gt;=60,"Disetujui bersyarat","Tinjau ulang")))</f>
        <v/>
      </c>
      <c r="L27" s="52" t="n"/>
      <c r="M27" s="52" t="n"/>
      <c r="N27" s="52" t="n"/>
    </row>
    <row r="28" ht="15" customHeight="1" s="28">
      <c r="A28" s="52" t="n"/>
      <c r="B28" s="52" t="n"/>
      <c r="C28" s="53">
        <f>IF(B28="","",IFERROR(INDEX('Daftar Supplier'!$B$5:$B$52,MATCH(B28,'Daftar Supplier'!$A$5:$A$52,0)),"ID tidak ada"))</f>
        <v/>
      </c>
      <c r="D28" s="52" t="n"/>
      <c r="E28" s="52" t="n"/>
      <c r="F28" s="52" t="n"/>
      <c r="G28" s="52" t="n"/>
      <c r="H28" s="52" t="n"/>
      <c r="I28" s="52" t="n"/>
      <c r="J28" s="53">
        <f>IF(COUNT(D28:I28)&lt;6,"",ROUND(SUMPRODUCT(D28:I28,$D$3:$I$3)/SUM($D$3:$I$3)*20,0))</f>
        <v/>
      </c>
      <c r="K28" s="53">
        <f>IF(J28="","",IF(J28&gt;=80,"Disetujui",IF(J28&gt;=60,"Disetujui bersyarat","Tinjau ulang")))</f>
        <v/>
      </c>
      <c r="L28" s="52" t="n"/>
      <c r="M28" s="52" t="n"/>
      <c r="N28" s="52" t="n"/>
    </row>
    <row r="29" ht="15" customHeight="1" s="28">
      <c r="A29" s="52" t="n"/>
      <c r="B29" s="52" t="n"/>
      <c r="C29" s="53">
        <f>IF(B29="","",IFERROR(INDEX('Daftar Supplier'!$B$5:$B$52,MATCH(B29,'Daftar Supplier'!$A$5:$A$52,0)),"ID tidak ada"))</f>
        <v/>
      </c>
      <c r="D29" s="52" t="n"/>
      <c r="E29" s="52" t="n"/>
      <c r="F29" s="52" t="n"/>
      <c r="G29" s="52" t="n"/>
      <c r="H29" s="52" t="n"/>
      <c r="I29" s="52" t="n"/>
      <c r="J29" s="53">
        <f>IF(COUNT(D29:I29)&lt;6,"",ROUND(SUMPRODUCT(D29:I29,$D$3:$I$3)/SUM($D$3:$I$3)*20,0))</f>
        <v/>
      </c>
      <c r="K29" s="53">
        <f>IF(J29="","",IF(J29&gt;=80,"Disetujui",IF(J29&gt;=60,"Disetujui bersyarat","Tinjau ulang")))</f>
        <v/>
      </c>
      <c r="L29" s="52" t="n"/>
      <c r="M29" s="52" t="n"/>
      <c r="N29" s="52" t="n"/>
    </row>
    <row r="30" ht="15" customHeight="1" s="28">
      <c r="A30" s="52" t="n"/>
      <c r="B30" s="52" t="n"/>
      <c r="C30" s="53">
        <f>IF(B30="","",IFERROR(INDEX('Daftar Supplier'!$B$5:$B$52,MATCH(B30,'Daftar Supplier'!$A$5:$A$52,0)),"ID tidak ada"))</f>
        <v/>
      </c>
      <c r="D30" s="52" t="n"/>
      <c r="E30" s="52" t="n"/>
      <c r="F30" s="52" t="n"/>
      <c r="G30" s="52" t="n"/>
      <c r="H30" s="52" t="n"/>
      <c r="I30" s="52" t="n"/>
      <c r="J30" s="53">
        <f>IF(COUNT(D30:I30)&lt;6,"",ROUND(SUMPRODUCT(D30:I30,$D$3:$I$3)/SUM($D$3:$I$3)*20,0))</f>
        <v/>
      </c>
      <c r="K30" s="53">
        <f>IF(J30="","",IF(J30&gt;=80,"Disetujui",IF(J30&gt;=60,"Disetujui bersyarat","Tinjau ulang")))</f>
        <v/>
      </c>
      <c r="L30" s="52" t="n"/>
      <c r="M30" s="52" t="n"/>
      <c r="N30" s="52" t="n"/>
    </row>
    <row r="31" ht="15" customHeight="1" s="28">
      <c r="A31" s="52" t="n"/>
      <c r="B31" s="52" t="n"/>
      <c r="C31" s="53">
        <f>IF(B31="","",IFERROR(INDEX('Daftar Supplier'!$B$5:$B$52,MATCH(B31,'Daftar Supplier'!$A$5:$A$52,0)),"ID tidak ada"))</f>
        <v/>
      </c>
      <c r="D31" s="52" t="n"/>
      <c r="E31" s="52" t="n"/>
      <c r="F31" s="52" t="n"/>
      <c r="G31" s="52" t="n"/>
      <c r="H31" s="52" t="n"/>
      <c r="I31" s="52" t="n"/>
      <c r="J31" s="53">
        <f>IF(COUNT(D31:I31)&lt;6,"",ROUND(SUMPRODUCT(D31:I31,$D$3:$I$3)/SUM($D$3:$I$3)*20,0))</f>
        <v/>
      </c>
      <c r="K31" s="53">
        <f>IF(J31="","",IF(J31&gt;=80,"Disetujui",IF(J31&gt;=60,"Disetujui bersyarat","Tinjau ulang")))</f>
        <v/>
      </c>
      <c r="L31" s="52" t="n"/>
      <c r="M31" s="52" t="n"/>
      <c r="N31" s="52" t="n"/>
    </row>
    <row r="32" ht="15" customHeight="1" s="28">
      <c r="A32" s="52" t="n"/>
      <c r="B32" s="52" t="n"/>
      <c r="C32" s="53">
        <f>IF(B32="","",IFERROR(INDEX('Daftar Supplier'!$B$5:$B$52,MATCH(B32,'Daftar Supplier'!$A$5:$A$52,0)),"ID tidak ada"))</f>
        <v/>
      </c>
      <c r="D32" s="52" t="n"/>
      <c r="E32" s="52" t="n"/>
      <c r="F32" s="52" t="n"/>
      <c r="G32" s="52" t="n"/>
      <c r="H32" s="52" t="n"/>
      <c r="I32" s="52" t="n"/>
      <c r="J32" s="53">
        <f>IF(COUNT(D32:I32)&lt;6,"",ROUND(SUMPRODUCT(D32:I32,$D$3:$I$3)/SUM($D$3:$I$3)*20,0))</f>
        <v/>
      </c>
      <c r="K32" s="53">
        <f>IF(J32="","",IF(J32&gt;=80,"Disetujui",IF(J32&gt;=60,"Disetujui bersyarat","Tinjau ulang")))</f>
        <v/>
      </c>
      <c r="L32" s="52" t="n"/>
      <c r="M32" s="52" t="n"/>
      <c r="N32" s="52" t="n"/>
    </row>
    <row r="33" ht="15" customHeight="1" s="28">
      <c r="A33" s="52" t="n"/>
      <c r="B33" s="52" t="n"/>
      <c r="C33" s="53">
        <f>IF(B33="","",IFERROR(INDEX('Daftar Supplier'!$B$5:$B$52,MATCH(B33,'Daftar Supplier'!$A$5:$A$52,0)),"ID tidak ada"))</f>
        <v/>
      </c>
      <c r="D33" s="52" t="n"/>
      <c r="E33" s="52" t="n"/>
      <c r="F33" s="52" t="n"/>
      <c r="G33" s="52" t="n"/>
      <c r="H33" s="52" t="n"/>
      <c r="I33" s="52" t="n"/>
      <c r="J33" s="53">
        <f>IF(COUNT(D33:I33)&lt;6,"",ROUND(SUMPRODUCT(D33:I33,$D$3:$I$3)/SUM($D$3:$I$3)*20,0))</f>
        <v/>
      </c>
      <c r="K33" s="53">
        <f>IF(J33="","",IF(J33&gt;=80,"Disetujui",IF(J33&gt;=60,"Disetujui bersyarat","Tinjau ulang")))</f>
        <v/>
      </c>
      <c r="L33" s="52" t="n"/>
      <c r="M33" s="52" t="n"/>
      <c r="N33" s="52" t="n"/>
    </row>
    <row r="34" ht="15" customHeight="1" s="28">
      <c r="A34" s="52" t="n"/>
      <c r="B34" s="52" t="n"/>
      <c r="C34" s="53">
        <f>IF(B34="","",IFERROR(INDEX('Daftar Supplier'!$B$5:$B$52,MATCH(B34,'Daftar Supplier'!$A$5:$A$52,0)),"ID tidak ada"))</f>
        <v/>
      </c>
      <c r="D34" s="52" t="n"/>
      <c r="E34" s="52" t="n"/>
      <c r="F34" s="52" t="n"/>
      <c r="G34" s="52" t="n"/>
      <c r="H34" s="52" t="n"/>
      <c r="I34" s="52" t="n"/>
      <c r="J34" s="53">
        <f>IF(COUNT(D34:I34)&lt;6,"",ROUND(SUMPRODUCT(D34:I34,$D$3:$I$3)/SUM($D$3:$I$3)*20,0))</f>
        <v/>
      </c>
      <c r="K34" s="53">
        <f>IF(J34="","",IF(J34&gt;=80,"Disetujui",IF(J34&gt;=60,"Disetujui bersyarat","Tinjau ulang")))</f>
        <v/>
      </c>
      <c r="L34" s="52" t="n"/>
      <c r="M34" s="52" t="n"/>
      <c r="N34" s="52" t="n"/>
    </row>
    <row r="35" ht="15" customHeight="1" s="28">
      <c r="A35" s="52" t="n"/>
      <c r="B35" s="52" t="n"/>
      <c r="C35" s="53">
        <f>IF(B35="","",IFERROR(INDEX('Daftar Supplier'!$B$5:$B$52,MATCH(B35,'Daftar Supplier'!$A$5:$A$52,0)),"ID tidak ada"))</f>
        <v/>
      </c>
      <c r="D35" s="52" t="n"/>
      <c r="E35" s="52" t="n"/>
      <c r="F35" s="52" t="n"/>
      <c r="G35" s="52" t="n"/>
      <c r="H35" s="52" t="n"/>
      <c r="I35" s="52" t="n"/>
      <c r="J35" s="53">
        <f>IF(COUNT(D35:I35)&lt;6,"",ROUND(SUMPRODUCT(D35:I35,$D$3:$I$3)/SUM($D$3:$I$3)*20,0))</f>
        <v/>
      </c>
      <c r="K35" s="53">
        <f>IF(J35="","",IF(J35&gt;=80,"Disetujui",IF(J35&gt;=60,"Disetujui bersyarat","Tinjau ulang")))</f>
        <v/>
      </c>
      <c r="L35" s="52" t="n"/>
      <c r="M35" s="52" t="n"/>
      <c r="N35" s="52" t="n"/>
    </row>
    <row r="36" ht="15" customHeight="1" s="28">
      <c r="A36" s="52" t="n"/>
      <c r="B36" s="52" t="n"/>
      <c r="C36" s="53">
        <f>IF(B36="","",IFERROR(INDEX('Daftar Supplier'!$B$5:$B$52,MATCH(B36,'Daftar Supplier'!$A$5:$A$52,0)),"ID tidak ada"))</f>
        <v/>
      </c>
      <c r="D36" s="52" t="n"/>
      <c r="E36" s="52" t="n"/>
      <c r="F36" s="52" t="n"/>
      <c r="G36" s="52" t="n"/>
      <c r="H36" s="52" t="n"/>
      <c r="I36" s="52" t="n"/>
      <c r="J36" s="53">
        <f>IF(COUNT(D36:I36)&lt;6,"",ROUND(SUMPRODUCT(D36:I36,$D$3:$I$3)/SUM($D$3:$I$3)*20,0))</f>
        <v/>
      </c>
      <c r="K36" s="53">
        <f>IF(J36="","",IF(J36&gt;=80,"Disetujui",IF(J36&gt;=60,"Disetujui bersyarat","Tinjau ulang")))</f>
        <v/>
      </c>
      <c r="L36" s="52" t="n"/>
      <c r="M36" s="52" t="n"/>
      <c r="N36" s="52" t="n"/>
    </row>
    <row r="37" ht="15" customHeight="1" s="28">
      <c r="A37" s="52" t="n"/>
      <c r="B37" s="52" t="n"/>
      <c r="C37" s="53">
        <f>IF(B37="","",IFERROR(INDEX('Daftar Supplier'!$B$5:$B$52,MATCH(B37,'Daftar Supplier'!$A$5:$A$52,0)),"ID tidak ada"))</f>
        <v/>
      </c>
      <c r="D37" s="52" t="n"/>
      <c r="E37" s="52" t="n"/>
      <c r="F37" s="52" t="n"/>
      <c r="G37" s="52" t="n"/>
      <c r="H37" s="52" t="n"/>
      <c r="I37" s="52" t="n"/>
      <c r="J37" s="53">
        <f>IF(COUNT(D37:I37)&lt;6,"",ROUND(SUMPRODUCT(D37:I37,$D$3:$I$3)/SUM($D$3:$I$3)*20,0))</f>
        <v/>
      </c>
      <c r="K37" s="53">
        <f>IF(J37="","",IF(J37&gt;=80,"Disetujui",IF(J37&gt;=60,"Disetujui bersyarat","Tinjau ulang")))</f>
        <v/>
      </c>
      <c r="L37" s="52" t="n"/>
      <c r="M37" s="52" t="n"/>
      <c r="N37" s="52" t="n"/>
    </row>
    <row r="38" ht="15" customHeight="1" s="28">
      <c r="A38" s="52" t="n"/>
      <c r="B38" s="52" t="n"/>
      <c r="C38" s="53">
        <f>IF(B38="","",IFERROR(INDEX('Daftar Supplier'!$B$5:$B$52,MATCH(B38,'Daftar Supplier'!$A$5:$A$52,0)),"ID tidak ada"))</f>
        <v/>
      </c>
      <c r="D38" s="52" t="n"/>
      <c r="E38" s="52" t="n"/>
      <c r="F38" s="52" t="n"/>
      <c r="G38" s="52" t="n"/>
      <c r="H38" s="52" t="n"/>
      <c r="I38" s="52" t="n"/>
      <c r="J38" s="53">
        <f>IF(COUNT(D38:I38)&lt;6,"",ROUND(SUMPRODUCT(D38:I38,$D$3:$I$3)/SUM($D$3:$I$3)*20,0))</f>
        <v/>
      </c>
      <c r="K38" s="53">
        <f>IF(J38="","",IF(J38&gt;=80,"Disetujui",IF(J38&gt;=60,"Disetujui bersyarat","Tinjau ulang")))</f>
        <v/>
      </c>
      <c r="L38" s="52" t="n"/>
      <c r="M38" s="52" t="n"/>
      <c r="N38" s="52" t="n"/>
    </row>
    <row r="39" ht="15" customHeight="1" s="28">
      <c r="A39" s="52" t="n"/>
      <c r="B39" s="52" t="n"/>
      <c r="C39" s="53">
        <f>IF(B39="","",IFERROR(INDEX('Daftar Supplier'!$B$5:$B$52,MATCH(B39,'Daftar Supplier'!$A$5:$A$52,0)),"ID tidak ada"))</f>
        <v/>
      </c>
      <c r="D39" s="52" t="n"/>
      <c r="E39" s="52" t="n"/>
      <c r="F39" s="52" t="n"/>
      <c r="G39" s="52" t="n"/>
      <c r="H39" s="52" t="n"/>
      <c r="I39" s="52" t="n"/>
      <c r="J39" s="53">
        <f>IF(COUNT(D39:I39)&lt;6,"",ROUND(SUMPRODUCT(D39:I39,$D$3:$I$3)/SUM($D$3:$I$3)*20,0))</f>
        <v/>
      </c>
      <c r="K39" s="53">
        <f>IF(J39="","",IF(J39&gt;=80,"Disetujui",IF(J39&gt;=60,"Disetujui bersyarat","Tinjau ulang")))</f>
        <v/>
      </c>
      <c r="L39" s="52" t="n"/>
      <c r="M39" s="52" t="n"/>
      <c r="N39" s="52" t="n"/>
    </row>
    <row r="40" ht="15" customHeight="1" s="28">
      <c r="A40" s="52" t="n"/>
      <c r="B40" s="52" t="n"/>
      <c r="C40" s="53">
        <f>IF(B40="","",IFERROR(INDEX('Daftar Supplier'!$B$5:$B$52,MATCH(B40,'Daftar Supplier'!$A$5:$A$52,0)),"ID tidak ada"))</f>
        <v/>
      </c>
      <c r="D40" s="52" t="n"/>
      <c r="E40" s="52" t="n"/>
      <c r="F40" s="52" t="n"/>
      <c r="G40" s="52" t="n"/>
      <c r="H40" s="52" t="n"/>
      <c r="I40" s="52" t="n"/>
      <c r="J40" s="53">
        <f>IF(COUNT(D40:I40)&lt;6,"",ROUND(SUMPRODUCT(D40:I40,$D$3:$I$3)/SUM($D$3:$I$3)*20,0))</f>
        <v/>
      </c>
      <c r="K40" s="53">
        <f>IF(J40="","",IF(J40&gt;=80,"Disetujui",IF(J40&gt;=60,"Disetujui bersyarat","Tinjau ulang")))</f>
        <v/>
      </c>
      <c r="L40" s="52" t="n"/>
      <c r="M40" s="52" t="n"/>
      <c r="N40" s="52" t="n"/>
    </row>
    <row r="41" ht="15" customHeight="1" s="28">
      <c r="A41" s="52" t="n"/>
      <c r="B41" s="52" t="n"/>
      <c r="C41" s="53">
        <f>IF(B41="","",IFERROR(INDEX('Daftar Supplier'!$B$5:$B$52,MATCH(B41,'Daftar Supplier'!$A$5:$A$52,0)),"ID tidak ada"))</f>
        <v/>
      </c>
      <c r="D41" s="52" t="n"/>
      <c r="E41" s="52" t="n"/>
      <c r="F41" s="52" t="n"/>
      <c r="G41" s="52" t="n"/>
      <c r="H41" s="52" t="n"/>
      <c r="I41" s="52" t="n"/>
      <c r="J41" s="53">
        <f>IF(COUNT(D41:I41)&lt;6,"",ROUND(SUMPRODUCT(D41:I41,$D$3:$I$3)/SUM($D$3:$I$3)*20,0))</f>
        <v/>
      </c>
      <c r="K41" s="53">
        <f>IF(J41="","",IF(J41&gt;=80,"Disetujui",IF(J41&gt;=60,"Disetujui bersyarat","Tinjau ulang")))</f>
        <v/>
      </c>
      <c r="L41" s="52" t="n"/>
      <c r="M41" s="52" t="n"/>
      <c r="N41" s="52" t="n"/>
    </row>
    <row r="42" ht="15" customHeight="1" s="28">
      <c r="A42" s="52" t="n"/>
      <c r="B42" s="52" t="n"/>
      <c r="C42" s="53">
        <f>IF(B42="","",IFERROR(INDEX('Daftar Supplier'!$B$5:$B$52,MATCH(B42,'Daftar Supplier'!$A$5:$A$52,0)),"ID tidak ada"))</f>
        <v/>
      </c>
      <c r="D42" s="52" t="n"/>
      <c r="E42" s="52" t="n"/>
      <c r="F42" s="52" t="n"/>
      <c r="G42" s="52" t="n"/>
      <c r="H42" s="52" t="n"/>
      <c r="I42" s="52" t="n"/>
      <c r="J42" s="53">
        <f>IF(COUNT(D42:I42)&lt;6,"",ROUND(SUMPRODUCT(D42:I42,$D$3:$I$3)/SUM($D$3:$I$3)*20,0))</f>
        <v/>
      </c>
      <c r="K42" s="53">
        <f>IF(J42="","",IF(J42&gt;=80,"Disetujui",IF(J42&gt;=60,"Disetujui bersyarat","Tinjau ulang")))</f>
        <v/>
      </c>
      <c r="L42" s="52" t="n"/>
      <c r="M42" s="52" t="n"/>
      <c r="N42" s="52" t="n"/>
    </row>
    <row r="43" ht="15" customHeight="1" s="28">
      <c r="A43" s="52" t="n"/>
      <c r="B43" s="52" t="n"/>
      <c r="C43" s="53">
        <f>IF(B43="","",IFERROR(INDEX('Daftar Supplier'!$B$5:$B$52,MATCH(B43,'Daftar Supplier'!$A$5:$A$52,0)),"ID tidak ada"))</f>
        <v/>
      </c>
      <c r="D43" s="52" t="n"/>
      <c r="E43" s="52" t="n"/>
      <c r="F43" s="52" t="n"/>
      <c r="G43" s="52" t="n"/>
      <c r="H43" s="52" t="n"/>
      <c r="I43" s="52" t="n"/>
      <c r="J43" s="53">
        <f>IF(COUNT(D43:I43)&lt;6,"",ROUND(SUMPRODUCT(D43:I43,$D$3:$I$3)/SUM($D$3:$I$3)*20,0))</f>
        <v/>
      </c>
      <c r="K43" s="53">
        <f>IF(J43="","",IF(J43&gt;=80,"Disetujui",IF(J43&gt;=60,"Disetujui bersyarat","Tinjau ulang")))</f>
        <v/>
      </c>
      <c r="L43" s="52" t="n"/>
      <c r="M43" s="52" t="n"/>
      <c r="N43" s="52" t="n"/>
    </row>
    <row r="44" ht="15" customHeight="1" s="28">
      <c r="A44" s="52" t="n"/>
      <c r="B44" s="52" t="n"/>
      <c r="C44" s="53">
        <f>IF(B44="","",IFERROR(INDEX('Daftar Supplier'!$B$5:$B$52,MATCH(B44,'Daftar Supplier'!$A$5:$A$52,0)),"ID tidak ada"))</f>
        <v/>
      </c>
      <c r="D44" s="52" t="n"/>
      <c r="E44" s="52" t="n"/>
      <c r="F44" s="52" t="n"/>
      <c r="G44" s="52" t="n"/>
      <c r="H44" s="52" t="n"/>
      <c r="I44" s="52" t="n"/>
      <c r="J44" s="53">
        <f>IF(COUNT(D44:I44)&lt;6,"",ROUND(SUMPRODUCT(D44:I44,$D$3:$I$3)/SUM($D$3:$I$3)*20,0))</f>
        <v/>
      </c>
      <c r="K44" s="53">
        <f>IF(J44="","",IF(J44&gt;=80,"Disetujui",IF(J44&gt;=60,"Disetujui bersyarat","Tinjau ulang")))</f>
        <v/>
      </c>
      <c r="L44" s="52" t="n"/>
      <c r="M44" s="52" t="n"/>
      <c r="N44" s="52" t="n"/>
    </row>
    <row r="45" ht="15" customHeight="1" s="28">
      <c r="A45" s="52" t="n"/>
      <c r="B45" s="52" t="n"/>
      <c r="C45" s="53">
        <f>IF(B45="","",IFERROR(INDEX('Daftar Supplier'!$B$5:$B$52,MATCH(B45,'Daftar Supplier'!$A$5:$A$52,0)),"ID tidak ada"))</f>
        <v/>
      </c>
      <c r="D45" s="52" t="n"/>
      <c r="E45" s="52" t="n"/>
      <c r="F45" s="52" t="n"/>
      <c r="G45" s="52" t="n"/>
      <c r="H45" s="52" t="n"/>
      <c r="I45" s="52" t="n"/>
      <c r="J45" s="53">
        <f>IF(COUNT(D45:I45)&lt;6,"",ROUND(SUMPRODUCT(D45:I45,$D$3:$I$3)/SUM($D$3:$I$3)*20,0))</f>
        <v/>
      </c>
      <c r="K45" s="53">
        <f>IF(J45="","",IF(J45&gt;=80,"Disetujui",IF(J45&gt;=60,"Disetujui bersyarat","Tinjau ulang")))</f>
        <v/>
      </c>
      <c r="L45" s="52" t="n"/>
      <c r="M45" s="52" t="n"/>
      <c r="N45" s="52" t="n"/>
    </row>
    <row r="46" ht="15" customHeight="1" s="28">
      <c r="A46" s="52" t="n"/>
      <c r="B46" s="52" t="n"/>
      <c r="C46" s="53">
        <f>IF(B46="","",IFERROR(INDEX('Daftar Supplier'!$B$5:$B$52,MATCH(B46,'Daftar Supplier'!$A$5:$A$52,0)),"ID tidak ada"))</f>
        <v/>
      </c>
      <c r="D46" s="52" t="n"/>
      <c r="E46" s="52" t="n"/>
      <c r="F46" s="52" t="n"/>
      <c r="G46" s="52" t="n"/>
      <c r="H46" s="52" t="n"/>
      <c r="I46" s="52" t="n"/>
      <c r="J46" s="53">
        <f>IF(COUNT(D46:I46)&lt;6,"",ROUND(SUMPRODUCT(D46:I46,$D$3:$I$3)/SUM($D$3:$I$3)*20,0))</f>
        <v/>
      </c>
      <c r="K46" s="53">
        <f>IF(J46="","",IF(J46&gt;=80,"Disetujui",IF(J46&gt;=60,"Disetujui bersyarat","Tinjau ulang")))</f>
        <v/>
      </c>
      <c r="L46" s="52" t="n"/>
      <c r="M46" s="52" t="n"/>
      <c r="N46" s="52" t="n"/>
    </row>
    <row r="47" ht="15" customHeight="1" s="28">
      <c r="A47" s="52" t="n"/>
      <c r="B47" s="52" t="n"/>
      <c r="C47" s="53">
        <f>IF(B47="","",IFERROR(INDEX('Daftar Supplier'!$B$5:$B$52,MATCH(B47,'Daftar Supplier'!$A$5:$A$52,0)),"ID tidak ada"))</f>
        <v/>
      </c>
      <c r="D47" s="52" t="n"/>
      <c r="E47" s="52" t="n"/>
      <c r="F47" s="52" t="n"/>
      <c r="G47" s="52" t="n"/>
      <c r="H47" s="52" t="n"/>
      <c r="I47" s="52" t="n"/>
      <c r="J47" s="53">
        <f>IF(COUNT(D47:I47)&lt;6,"",ROUND(SUMPRODUCT(D47:I47,$D$3:$I$3)/SUM($D$3:$I$3)*20,0))</f>
        <v/>
      </c>
      <c r="K47" s="53">
        <f>IF(J47="","",IF(J47&gt;=80,"Disetujui",IF(J47&gt;=60,"Disetujui bersyarat","Tinjau ulang")))</f>
        <v/>
      </c>
      <c r="L47" s="52" t="n"/>
      <c r="M47" s="52" t="n"/>
      <c r="N47" s="52" t="n"/>
    </row>
    <row r="48" ht="15" customHeight="1" s="28">
      <c r="A48" s="52" t="n"/>
      <c r="B48" s="52" t="n"/>
      <c r="C48" s="53">
        <f>IF(B48="","",IFERROR(INDEX('Daftar Supplier'!$B$5:$B$52,MATCH(B48,'Daftar Supplier'!$A$5:$A$52,0)),"ID tidak ada"))</f>
        <v/>
      </c>
      <c r="D48" s="52" t="n"/>
      <c r="E48" s="52" t="n"/>
      <c r="F48" s="52" t="n"/>
      <c r="G48" s="52" t="n"/>
      <c r="H48" s="52" t="n"/>
      <c r="I48" s="52" t="n"/>
      <c r="J48" s="53">
        <f>IF(COUNT(D48:I48)&lt;6,"",ROUND(SUMPRODUCT(D48:I48,$D$3:$I$3)/SUM($D$3:$I$3)*20,0))</f>
        <v/>
      </c>
      <c r="K48" s="53">
        <f>IF(J48="","",IF(J48&gt;=80,"Disetujui",IF(J48&gt;=60,"Disetujui bersyarat","Tinjau ulang")))</f>
        <v/>
      </c>
      <c r="L48" s="52" t="n"/>
      <c r="M48" s="52" t="n"/>
      <c r="N48" s="52" t="n"/>
    </row>
    <row r="49" ht="15" customHeight="1" s="28">
      <c r="A49" s="52" t="n"/>
      <c r="B49" s="52" t="n"/>
      <c r="C49" s="53">
        <f>IF(B49="","",IFERROR(INDEX('Daftar Supplier'!$B$5:$B$52,MATCH(B49,'Daftar Supplier'!$A$5:$A$52,0)),"ID tidak ada"))</f>
        <v/>
      </c>
      <c r="D49" s="52" t="n"/>
      <c r="E49" s="52" t="n"/>
      <c r="F49" s="52" t="n"/>
      <c r="G49" s="52" t="n"/>
      <c r="H49" s="52" t="n"/>
      <c r="I49" s="52" t="n"/>
      <c r="J49" s="53">
        <f>IF(COUNT(D49:I49)&lt;6,"",ROUND(SUMPRODUCT(D49:I49,$D$3:$I$3)/SUM($D$3:$I$3)*20,0))</f>
        <v/>
      </c>
      <c r="K49" s="53">
        <f>IF(J49="","",IF(J49&gt;=80,"Disetujui",IF(J49&gt;=60,"Disetujui bersyarat","Tinjau ulang")))</f>
        <v/>
      </c>
      <c r="L49" s="52" t="n"/>
      <c r="M49" s="52" t="n"/>
      <c r="N49" s="52" t="n"/>
    </row>
    <row r="50" ht="15" customHeight="1" s="28">
      <c r="A50" s="52" t="n"/>
      <c r="B50" s="52" t="n"/>
      <c r="C50" s="53">
        <f>IF(B50="","",IFERROR(INDEX('Daftar Supplier'!$B$5:$B$52,MATCH(B50,'Daftar Supplier'!$A$5:$A$52,0)),"ID tidak ada"))</f>
        <v/>
      </c>
      <c r="D50" s="52" t="n"/>
      <c r="E50" s="52" t="n"/>
      <c r="F50" s="52" t="n"/>
      <c r="G50" s="52" t="n"/>
      <c r="H50" s="52" t="n"/>
      <c r="I50" s="52" t="n"/>
      <c r="J50" s="53">
        <f>IF(COUNT(D50:I50)&lt;6,"",ROUND(SUMPRODUCT(D50:I50,$D$3:$I$3)/SUM($D$3:$I$3)*20,0))</f>
        <v/>
      </c>
      <c r="K50" s="53">
        <f>IF(J50="","",IF(J50&gt;=80,"Disetujui",IF(J50&gt;=60,"Disetujui bersyarat","Tinjau ulang")))</f>
        <v/>
      </c>
      <c r="L50" s="52" t="n"/>
      <c r="M50" s="52" t="n"/>
      <c r="N50" s="52" t="n"/>
    </row>
    <row r="51" ht="15" customHeight="1" s="28">
      <c r="A51" s="52" t="n"/>
      <c r="B51" s="52" t="n"/>
      <c r="C51" s="53">
        <f>IF(B51="","",IFERROR(INDEX('Daftar Supplier'!$B$5:$B$52,MATCH(B51,'Daftar Supplier'!$A$5:$A$52,0)),"ID tidak ada"))</f>
        <v/>
      </c>
      <c r="D51" s="52" t="n"/>
      <c r="E51" s="52" t="n"/>
      <c r="F51" s="52" t="n"/>
      <c r="G51" s="52" t="n"/>
      <c r="H51" s="52" t="n"/>
      <c r="I51" s="52" t="n"/>
      <c r="J51" s="53">
        <f>IF(COUNT(D51:I51)&lt;6,"",ROUND(SUMPRODUCT(D51:I51,$D$3:$I$3)/SUM($D$3:$I$3)*20,0))</f>
        <v/>
      </c>
      <c r="K51" s="53">
        <f>IF(J51="","",IF(J51&gt;=80,"Disetujui",IF(J51&gt;=60,"Disetujui bersyarat","Tinjau ulang")))</f>
        <v/>
      </c>
      <c r="L51" s="52" t="n"/>
      <c r="M51" s="52" t="n"/>
      <c r="N51" s="52" t="n"/>
    </row>
    <row r="52" ht="15" customHeight="1" s="28">
      <c r="A52" s="52" t="n"/>
      <c r="B52" s="52" t="n"/>
      <c r="C52" s="53">
        <f>IF(B52="","",IFERROR(INDEX('Daftar Supplier'!$B$5:$B$52,MATCH(B52,'Daftar Supplier'!$A$5:$A$52,0)),"ID tidak ada"))</f>
        <v/>
      </c>
      <c r="D52" s="52" t="n"/>
      <c r="E52" s="52" t="n"/>
      <c r="F52" s="52" t="n"/>
      <c r="G52" s="52" t="n"/>
      <c r="H52" s="52" t="n"/>
      <c r="I52" s="52" t="n"/>
      <c r="J52" s="53">
        <f>IF(COUNT(D52:I52)&lt;6,"",ROUND(SUMPRODUCT(D52:I52,$D$3:$I$3)/SUM($D$3:$I$3)*20,0))</f>
        <v/>
      </c>
      <c r="K52" s="53">
        <f>IF(J52="","",IF(J52&gt;=80,"Disetujui",IF(J52&gt;=60,"Disetujui bersyarat","Tinjau ulang")))</f>
        <v/>
      </c>
      <c r="L52" s="52" t="n"/>
      <c r="M52" s="52" t="n"/>
      <c r="N52" s="52" t="n"/>
    </row>
    <row r="53" ht="15" customHeight="1" s="28">
      <c r="A53" s="52" t="n"/>
      <c r="B53" s="52" t="n"/>
      <c r="C53" s="53">
        <f>IF(B53="","",IFERROR(INDEX('Daftar Supplier'!$B$5:$B$52,MATCH(B53,'Daftar Supplier'!$A$5:$A$52,0)),"ID tidak ada"))</f>
        <v/>
      </c>
      <c r="D53" s="52" t="n"/>
      <c r="E53" s="52" t="n"/>
      <c r="F53" s="52" t="n"/>
      <c r="G53" s="52" t="n"/>
      <c r="H53" s="52" t="n"/>
      <c r="I53" s="52" t="n"/>
      <c r="J53" s="53">
        <f>IF(COUNT(D53:I53)&lt;6,"",ROUND(SUMPRODUCT(D53:I53,$D$3:$I$3)/SUM($D$3:$I$3)*20,0))</f>
        <v/>
      </c>
      <c r="K53" s="53">
        <f>IF(J53="","",IF(J53&gt;=80,"Disetujui",IF(J53&gt;=60,"Disetujui bersyarat","Tinjau ulang")))</f>
        <v/>
      </c>
      <c r="L53" s="52" t="n"/>
      <c r="M53" s="52" t="n"/>
      <c r="N53" s="52" t="n"/>
    </row>
    <row r="54" ht="15" customHeight="1" s="28">
      <c r="A54" s="52" t="n"/>
      <c r="B54" s="52" t="n"/>
      <c r="C54" s="53">
        <f>IF(B54="","",IFERROR(INDEX('Daftar Supplier'!$B$5:$B$52,MATCH(B54,'Daftar Supplier'!$A$5:$A$52,0)),"ID tidak ada"))</f>
        <v/>
      </c>
      <c r="D54" s="52" t="n"/>
      <c r="E54" s="52" t="n"/>
      <c r="F54" s="52" t="n"/>
      <c r="G54" s="52" t="n"/>
      <c r="H54" s="52" t="n"/>
      <c r="I54" s="52" t="n"/>
      <c r="J54" s="53">
        <f>IF(COUNT(D54:I54)&lt;6,"",ROUND(SUMPRODUCT(D54:I54,$D$3:$I$3)/SUM($D$3:$I$3)*20,0))</f>
        <v/>
      </c>
      <c r="K54" s="53">
        <f>IF(J54="","",IF(J54&gt;=80,"Disetujui",IF(J54&gt;=60,"Disetujui bersyarat","Tinjau ulang")))</f>
        <v/>
      </c>
      <c r="L54" s="52" t="n"/>
      <c r="M54" s="52" t="n"/>
      <c r="N54" s="52" t="n"/>
    </row>
    <row r="55" ht="15" customHeight="1" s="28">
      <c r="A55" s="52" t="n"/>
      <c r="B55" s="52" t="n"/>
      <c r="C55" s="53">
        <f>IF(B55="","",IFERROR(INDEX('Daftar Supplier'!$B$5:$B$52,MATCH(B55,'Daftar Supplier'!$A$5:$A$52,0)),"ID tidak ada"))</f>
        <v/>
      </c>
      <c r="D55" s="52" t="n"/>
      <c r="E55" s="52" t="n"/>
      <c r="F55" s="52" t="n"/>
      <c r="G55" s="52" t="n"/>
      <c r="H55" s="52" t="n"/>
      <c r="I55" s="52" t="n"/>
      <c r="J55" s="53">
        <f>IF(COUNT(D55:I55)&lt;6,"",ROUND(SUMPRODUCT(D55:I55,$D$3:$I$3)/SUM($D$3:$I$3)*20,0))</f>
        <v/>
      </c>
      <c r="K55" s="53">
        <f>IF(J55="","",IF(J55&gt;=80,"Disetujui",IF(J55&gt;=60,"Disetujui bersyarat","Tinjau ulang")))</f>
        <v/>
      </c>
      <c r="L55" s="52" t="n"/>
      <c r="M55" s="52" t="n"/>
      <c r="N55" s="52" t="n"/>
    </row>
    <row r="56" ht="15" customHeight="1" s="28">
      <c r="A56" s="52" t="n"/>
      <c r="B56" s="52" t="n"/>
      <c r="C56" s="53">
        <f>IF(B56="","",IFERROR(INDEX('Daftar Supplier'!$B$5:$B$52,MATCH(B56,'Daftar Supplier'!$A$5:$A$52,0)),"ID tidak ada"))</f>
        <v/>
      </c>
      <c r="D56" s="52" t="n"/>
      <c r="E56" s="52" t="n"/>
      <c r="F56" s="52" t="n"/>
      <c r="G56" s="52" t="n"/>
      <c r="H56" s="52" t="n"/>
      <c r="I56" s="52" t="n"/>
      <c r="J56" s="53">
        <f>IF(COUNT(D56:I56)&lt;6,"",ROUND(SUMPRODUCT(D56:I56,$D$3:$I$3)/SUM($D$3:$I$3)*20,0))</f>
        <v/>
      </c>
      <c r="K56" s="53">
        <f>IF(J56="","",IF(J56&gt;=80,"Disetujui",IF(J56&gt;=60,"Disetujui bersyarat","Tinjau ulang")))</f>
        <v/>
      </c>
      <c r="L56" s="52" t="n"/>
      <c r="M56" s="52" t="n"/>
      <c r="N56" s="52" t="n"/>
    </row>
    <row r="57" ht="15" customHeight="1" s="28">
      <c r="A57" s="52" t="n"/>
      <c r="B57" s="52" t="n"/>
      <c r="C57" s="53">
        <f>IF(B57="","",IFERROR(INDEX('Daftar Supplier'!$B$5:$B$52,MATCH(B57,'Daftar Supplier'!$A$5:$A$52,0)),"ID tidak ada"))</f>
        <v/>
      </c>
      <c r="D57" s="52" t="n"/>
      <c r="E57" s="52" t="n"/>
      <c r="F57" s="52" t="n"/>
      <c r="G57" s="52" t="n"/>
      <c r="H57" s="52" t="n"/>
      <c r="I57" s="52" t="n"/>
      <c r="J57" s="53">
        <f>IF(COUNT(D57:I57)&lt;6,"",ROUND(SUMPRODUCT(D57:I57,$D$3:$I$3)/SUM($D$3:$I$3)*20,0))</f>
        <v/>
      </c>
      <c r="K57" s="53">
        <f>IF(J57="","",IF(J57&gt;=80,"Disetujui",IF(J57&gt;=60,"Disetujui bersyarat","Tinjau ulang")))</f>
        <v/>
      </c>
      <c r="L57" s="52" t="n"/>
      <c r="M57" s="52" t="n"/>
      <c r="N57" s="52" t="n"/>
    </row>
    <row r="58" ht="15" customHeight="1" s="28">
      <c r="A58" s="52" t="n"/>
      <c r="B58" s="52" t="n"/>
      <c r="C58" s="53">
        <f>IF(B58="","",IFERROR(INDEX('Daftar Supplier'!$B$5:$B$52,MATCH(B58,'Daftar Supplier'!$A$5:$A$52,0)),"ID tidak ada"))</f>
        <v/>
      </c>
      <c r="D58" s="52" t="n"/>
      <c r="E58" s="52" t="n"/>
      <c r="F58" s="52" t="n"/>
      <c r="G58" s="52" t="n"/>
      <c r="H58" s="52" t="n"/>
      <c r="I58" s="52" t="n"/>
      <c r="J58" s="53">
        <f>IF(COUNT(D58:I58)&lt;6,"",ROUND(SUMPRODUCT(D58:I58,$D$3:$I$3)/SUM($D$3:$I$3)*20,0))</f>
        <v/>
      </c>
      <c r="K58" s="53">
        <f>IF(J58="","",IF(J58&gt;=80,"Disetujui",IF(J58&gt;=60,"Disetujui bersyarat","Tinjau ulang")))</f>
        <v/>
      </c>
      <c r="L58" s="52" t="n"/>
      <c r="M58" s="52" t="n"/>
      <c r="N58" s="52" t="n"/>
    </row>
    <row r="59" ht="15" customHeight="1" s="28">
      <c r="A59" s="52" t="n"/>
      <c r="B59" s="52" t="n"/>
      <c r="C59" s="53">
        <f>IF(B59="","",IFERROR(INDEX('Daftar Supplier'!$B$5:$B$52,MATCH(B59,'Daftar Supplier'!$A$5:$A$52,0)),"ID tidak ada"))</f>
        <v/>
      </c>
      <c r="D59" s="52" t="n"/>
      <c r="E59" s="52" t="n"/>
      <c r="F59" s="52" t="n"/>
      <c r="G59" s="52" t="n"/>
      <c r="H59" s="52" t="n"/>
      <c r="I59" s="52" t="n"/>
      <c r="J59" s="53">
        <f>IF(COUNT(D59:I59)&lt;6,"",ROUND(SUMPRODUCT(D59:I59,$D$3:$I$3)/SUM($D$3:$I$3)*20,0))</f>
        <v/>
      </c>
      <c r="K59" s="53">
        <f>IF(J59="","",IF(J59&gt;=80,"Disetujui",IF(J59&gt;=60,"Disetujui bersyarat","Tinjau ulang")))</f>
        <v/>
      </c>
      <c r="L59" s="52" t="n"/>
      <c r="M59" s="52" t="n"/>
      <c r="N59" s="52" t="n"/>
    </row>
    <row r="60" ht="15" customHeight="1" s="28">
      <c r="A60" s="52" t="n"/>
      <c r="B60" s="52" t="n"/>
      <c r="C60" s="53">
        <f>IF(B60="","",IFERROR(INDEX('Daftar Supplier'!$B$5:$B$52,MATCH(B60,'Daftar Supplier'!$A$5:$A$52,0)),"ID tidak ada"))</f>
        <v/>
      </c>
      <c r="D60" s="52" t="n"/>
      <c r="E60" s="52" t="n"/>
      <c r="F60" s="52" t="n"/>
      <c r="G60" s="52" t="n"/>
      <c r="H60" s="52" t="n"/>
      <c r="I60" s="52" t="n"/>
      <c r="J60" s="53">
        <f>IF(COUNT(D60:I60)&lt;6,"",ROUND(SUMPRODUCT(D60:I60,$D$3:$I$3)/SUM($D$3:$I$3)*20,0))</f>
        <v/>
      </c>
      <c r="K60" s="53">
        <f>IF(J60="","",IF(J60&gt;=80,"Disetujui",IF(J60&gt;=60,"Disetujui bersyarat","Tinjau ulang")))</f>
        <v/>
      </c>
      <c r="L60" s="52" t="n"/>
      <c r="M60" s="52" t="n"/>
      <c r="N60" s="52" t="n"/>
    </row>
    <row r="61" ht="15" customHeight="1" s="28">
      <c r="A61" s="52" t="n"/>
      <c r="B61" s="52" t="n"/>
      <c r="C61" s="53">
        <f>IF(B61="","",IFERROR(INDEX('Daftar Supplier'!$B$5:$B$52,MATCH(B61,'Daftar Supplier'!$A$5:$A$52,0)),"ID tidak ada"))</f>
        <v/>
      </c>
      <c r="D61" s="52" t="n"/>
      <c r="E61" s="52" t="n"/>
      <c r="F61" s="52" t="n"/>
      <c r="G61" s="52" t="n"/>
      <c r="H61" s="52" t="n"/>
      <c r="I61" s="52" t="n"/>
      <c r="J61" s="53">
        <f>IF(COUNT(D61:I61)&lt;6,"",ROUND(SUMPRODUCT(D61:I61,$D$3:$I$3)/SUM($D$3:$I$3)*20,0))</f>
        <v/>
      </c>
      <c r="K61" s="53">
        <f>IF(J61="","",IF(J61&gt;=80,"Disetujui",IF(J61&gt;=60,"Disetujui bersyarat","Tinjau ulang")))</f>
        <v/>
      </c>
      <c r="L61" s="52" t="n"/>
      <c r="M61" s="52" t="n"/>
      <c r="N61" s="52" t="n"/>
    </row>
    <row r="62" ht="15" customHeight="1" s="28">
      <c r="A62" s="52" t="n"/>
      <c r="B62" s="52" t="n"/>
      <c r="C62" s="53">
        <f>IF(B62="","",IFERROR(INDEX('Daftar Supplier'!$B$5:$B$52,MATCH(B62,'Daftar Supplier'!$A$5:$A$52,0)),"ID tidak ada"))</f>
        <v/>
      </c>
      <c r="D62" s="52" t="n"/>
      <c r="E62" s="52" t="n"/>
      <c r="F62" s="52" t="n"/>
      <c r="G62" s="52" t="n"/>
      <c r="H62" s="52" t="n"/>
      <c r="I62" s="52" t="n"/>
      <c r="J62" s="53">
        <f>IF(COUNT(D62:I62)&lt;6,"",ROUND(SUMPRODUCT(D62:I62,$D$3:$I$3)/SUM($D$3:$I$3)*20,0))</f>
        <v/>
      </c>
      <c r="K62" s="53">
        <f>IF(J62="","",IF(J62&gt;=80,"Disetujui",IF(J62&gt;=60,"Disetujui bersyarat","Tinjau ulang")))</f>
        <v/>
      </c>
      <c r="L62" s="52" t="n"/>
      <c r="M62" s="52" t="n"/>
      <c r="N62" s="52" t="n"/>
    </row>
    <row r="63" ht="15" customHeight="1" s="28">
      <c r="A63" s="52" t="n"/>
      <c r="B63" s="52" t="n"/>
      <c r="C63" s="53">
        <f>IF(B63="","",IFERROR(INDEX('Daftar Supplier'!$B$5:$B$52,MATCH(B63,'Daftar Supplier'!$A$5:$A$52,0)),"ID tidak ada"))</f>
        <v/>
      </c>
      <c r="D63" s="52" t="n"/>
      <c r="E63" s="52" t="n"/>
      <c r="F63" s="52" t="n"/>
      <c r="G63" s="52" t="n"/>
      <c r="H63" s="52" t="n"/>
      <c r="I63" s="52" t="n"/>
      <c r="J63" s="53">
        <f>IF(COUNT(D63:I63)&lt;6,"",ROUND(SUMPRODUCT(D63:I63,$D$3:$I$3)/SUM($D$3:$I$3)*20,0))</f>
        <v/>
      </c>
      <c r="K63" s="53">
        <f>IF(J63="","",IF(J63&gt;=80,"Disetujui",IF(J63&gt;=60,"Disetujui bersyarat","Tinjau ulang")))</f>
        <v/>
      </c>
      <c r="L63" s="52" t="n"/>
      <c r="M63" s="52" t="n"/>
      <c r="N63" s="52" t="n"/>
    </row>
    <row r="64" ht="15" customHeight="1" s="28">
      <c r="A64" s="52" t="n"/>
      <c r="B64" s="52" t="n"/>
      <c r="C64" s="53">
        <f>IF(B64="","",IFERROR(INDEX('Daftar Supplier'!$B$5:$B$52,MATCH(B64,'Daftar Supplier'!$A$5:$A$52,0)),"ID tidak ada"))</f>
        <v/>
      </c>
      <c r="D64" s="52" t="n"/>
      <c r="E64" s="52" t="n"/>
      <c r="F64" s="52" t="n"/>
      <c r="G64" s="52" t="n"/>
      <c r="H64" s="52" t="n"/>
      <c r="I64" s="52" t="n"/>
      <c r="J64" s="53">
        <f>IF(COUNT(D64:I64)&lt;6,"",ROUND(SUMPRODUCT(D64:I64,$D$3:$I$3)/SUM($D$3:$I$3)*20,0))</f>
        <v/>
      </c>
      <c r="K64" s="53">
        <f>IF(J64="","",IF(J64&gt;=80,"Disetujui",IF(J64&gt;=60,"Disetujui bersyarat","Tinjau ulang")))</f>
        <v/>
      </c>
      <c r="L64" s="52" t="n"/>
      <c r="M64" s="52" t="n"/>
      <c r="N64" s="52" t="n"/>
    </row>
    <row r="65" ht="15" customHeight="1" s="28">
      <c r="A65" s="52" t="n"/>
      <c r="B65" s="52" t="n"/>
      <c r="C65" s="53">
        <f>IF(B65="","",IFERROR(INDEX('Daftar Supplier'!$B$5:$B$52,MATCH(B65,'Daftar Supplier'!$A$5:$A$52,0)),"ID tidak ada"))</f>
        <v/>
      </c>
      <c r="D65" s="52" t="n"/>
      <c r="E65" s="52" t="n"/>
      <c r="F65" s="52" t="n"/>
      <c r="G65" s="52" t="n"/>
      <c r="H65" s="52" t="n"/>
      <c r="I65" s="52" t="n"/>
      <c r="J65" s="53">
        <f>IF(COUNT(D65:I65)&lt;6,"",ROUND(SUMPRODUCT(D65:I65,$D$3:$I$3)/SUM($D$3:$I$3)*20,0))</f>
        <v/>
      </c>
      <c r="K65" s="53">
        <f>IF(J65="","",IF(J65&gt;=80,"Disetujui",IF(J65&gt;=60,"Disetujui bersyarat","Tinjau ulang")))</f>
        <v/>
      </c>
      <c r="L65" s="52" t="n"/>
      <c r="M65" s="52" t="n"/>
      <c r="N65" s="52" t="n"/>
    </row>
    <row r="66" ht="15" customHeight="1" s="28">
      <c r="A66" s="52" t="n"/>
      <c r="B66" s="52" t="n"/>
      <c r="C66" s="53">
        <f>IF(B66="","",IFERROR(INDEX('Daftar Supplier'!$B$5:$B$52,MATCH(B66,'Daftar Supplier'!$A$5:$A$52,0)),"ID tidak ada"))</f>
        <v/>
      </c>
      <c r="D66" s="52" t="n"/>
      <c r="E66" s="52" t="n"/>
      <c r="F66" s="52" t="n"/>
      <c r="G66" s="52" t="n"/>
      <c r="H66" s="52" t="n"/>
      <c r="I66" s="52" t="n"/>
      <c r="J66" s="53">
        <f>IF(COUNT(D66:I66)&lt;6,"",ROUND(SUMPRODUCT(D66:I66,$D$3:$I$3)/SUM($D$3:$I$3)*20,0))</f>
        <v/>
      </c>
      <c r="K66" s="53">
        <f>IF(J66="","",IF(J66&gt;=80,"Disetujui",IF(J66&gt;=60,"Disetujui bersyarat","Tinjau ulang")))</f>
        <v/>
      </c>
      <c r="L66" s="52" t="n"/>
      <c r="M66" s="52" t="n"/>
      <c r="N66" s="52" t="n"/>
    </row>
    <row r="67" ht="15" customHeight="1" s="28">
      <c r="A67" s="52" t="n"/>
      <c r="B67" s="52" t="n"/>
      <c r="C67" s="53">
        <f>IF(B67="","",IFERROR(INDEX('Daftar Supplier'!$B$5:$B$52,MATCH(B67,'Daftar Supplier'!$A$5:$A$52,0)),"ID tidak ada"))</f>
        <v/>
      </c>
      <c r="D67" s="52" t="n"/>
      <c r="E67" s="52" t="n"/>
      <c r="F67" s="52" t="n"/>
      <c r="G67" s="52" t="n"/>
      <c r="H67" s="52" t="n"/>
      <c r="I67" s="52" t="n"/>
      <c r="J67" s="53">
        <f>IF(COUNT(D67:I67)&lt;6,"",ROUND(SUMPRODUCT(D67:I67,$D$3:$I$3)/SUM($D$3:$I$3)*20,0))</f>
        <v/>
      </c>
      <c r="K67" s="53">
        <f>IF(J67="","",IF(J67&gt;=80,"Disetujui",IF(J67&gt;=60,"Disetujui bersyarat","Tinjau ulang")))</f>
        <v/>
      </c>
      <c r="L67" s="52" t="n"/>
      <c r="M67" s="52" t="n"/>
      <c r="N67" s="52" t="n"/>
    </row>
    <row r="68" ht="15" customHeight="1" s="28">
      <c r="A68" s="52" t="n"/>
      <c r="B68" s="52" t="n"/>
      <c r="C68" s="53">
        <f>IF(B68="","",IFERROR(INDEX('Daftar Supplier'!$B$5:$B$52,MATCH(B68,'Daftar Supplier'!$A$5:$A$52,0)),"ID tidak ada"))</f>
        <v/>
      </c>
      <c r="D68" s="52" t="n"/>
      <c r="E68" s="52" t="n"/>
      <c r="F68" s="52" t="n"/>
      <c r="G68" s="52" t="n"/>
      <c r="H68" s="52" t="n"/>
      <c r="I68" s="52" t="n"/>
      <c r="J68" s="53">
        <f>IF(COUNT(D68:I68)&lt;6,"",ROUND(SUMPRODUCT(D68:I68,$D$3:$I$3)/SUM($D$3:$I$3)*20,0))</f>
        <v/>
      </c>
      <c r="K68" s="53">
        <f>IF(J68="","",IF(J68&gt;=80,"Disetujui",IF(J68&gt;=60,"Disetujui bersyarat","Tinjau ulang")))</f>
        <v/>
      </c>
      <c r="L68" s="52" t="n"/>
      <c r="M68" s="52" t="n"/>
      <c r="N68" s="52" t="n"/>
    </row>
    <row r="69" ht="15" customHeight="1" s="28">
      <c r="A69" s="52" t="n"/>
      <c r="B69" s="52" t="n"/>
      <c r="C69" s="53">
        <f>IF(B69="","",IFERROR(INDEX('Daftar Supplier'!$B$5:$B$52,MATCH(B69,'Daftar Supplier'!$A$5:$A$52,0)),"ID tidak ada"))</f>
        <v/>
      </c>
      <c r="D69" s="52" t="n"/>
      <c r="E69" s="52" t="n"/>
      <c r="F69" s="52" t="n"/>
      <c r="G69" s="52" t="n"/>
      <c r="H69" s="52" t="n"/>
      <c r="I69" s="52" t="n"/>
      <c r="J69" s="53">
        <f>IF(COUNT(D69:I69)&lt;6,"",ROUND(SUMPRODUCT(D69:I69,$D$3:$I$3)/SUM($D$3:$I$3)*20,0))</f>
        <v/>
      </c>
      <c r="K69" s="53">
        <f>IF(J69="","",IF(J69&gt;=80,"Disetujui",IF(J69&gt;=60,"Disetujui bersyarat","Tinjau ulang")))</f>
        <v/>
      </c>
      <c r="L69" s="52" t="n"/>
      <c r="M69" s="52" t="n"/>
      <c r="N69" s="52" t="n"/>
    </row>
    <row r="70" ht="15" customHeight="1" s="28">
      <c r="A70" s="52" t="n"/>
      <c r="B70" s="52" t="n"/>
      <c r="C70" s="53">
        <f>IF(B70="","",IFERROR(INDEX('Daftar Supplier'!$B$5:$B$52,MATCH(B70,'Daftar Supplier'!$A$5:$A$52,0)),"ID tidak ada"))</f>
        <v/>
      </c>
      <c r="D70" s="52" t="n"/>
      <c r="E70" s="52" t="n"/>
      <c r="F70" s="52" t="n"/>
      <c r="G70" s="52" t="n"/>
      <c r="H70" s="52" t="n"/>
      <c r="I70" s="52" t="n"/>
      <c r="J70" s="53">
        <f>IF(COUNT(D70:I70)&lt;6,"",ROUND(SUMPRODUCT(D70:I70,$D$3:$I$3)/SUM($D$3:$I$3)*20,0))</f>
        <v/>
      </c>
      <c r="K70" s="53">
        <f>IF(J70="","",IF(J70&gt;=80,"Disetujui",IF(J70&gt;=60,"Disetujui bersyarat","Tinjau ulang")))</f>
        <v/>
      </c>
      <c r="L70" s="52" t="n"/>
      <c r="M70" s="52" t="n"/>
      <c r="N70" s="52" t="n"/>
    </row>
    <row r="71" ht="15" customHeight="1" s="28">
      <c r="A71" s="52" t="n"/>
      <c r="B71" s="52" t="n"/>
      <c r="C71" s="53">
        <f>IF(B71="","",IFERROR(INDEX('Daftar Supplier'!$B$5:$B$52,MATCH(B71,'Daftar Supplier'!$A$5:$A$52,0)),"ID tidak ada"))</f>
        <v/>
      </c>
      <c r="D71" s="52" t="n"/>
      <c r="E71" s="52" t="n"/>
      <c r="F71" s="52" t="n"/>
      <c r="G71" s="52" t="n"/>
      <c r="H71" s="52" t="n"/>
      <c r="I71" s="52" t="n"/>
      <c r="J71" s="53">
        <f>IF(COUNT(D71:I71)&lt;6,"",ROUND(SUMPRODUCT(D71:I71,$D$3:$I$3)/SUM($D$3:$I$3)*20,0))</f>
        <v/>
      </c>
      <c r="K71" s="53">
        <f>IF(J71="","",IF(J71&gt;=80,"Disetujui",IF(J71&gt;=60,"Disetujui bersyarat","Tinjau ulang")))</f>
        <v/>
      </c>
      <c r="L71" s="52" t="n"/>
      <c r="M71" s="52" t="n"/>
      <c r="N71" s="52" t="n"/>
    </row>
    <row r="72" ht="15" customHeight="1" s="28">
      <c r="A72" s="52" t="n"/>
      <c r="B72" s="52" t="n"/>
      <c r="C72" s="53">
        <f>IF(B72="","",IFERROR(INDEX('Daftar Supplier'!$B$5:$B$52,MATCH(B72,'Daftar Supplier'!$A$5:$A$52,0)),"ID tidak ada"))</f>
        <v/>
      </c>
      <c r="D72" s="52" t="n"/>
      <c r="E72" s="52" t="n"/>
      <c r="F72" s="52" t="n"/>
      <c r="G72" s="52" t="n"/>
      <c r="H72" s="52" t="n"/>
      <c r="I72" s="52" t="n"/>
      <c r="J72" s="53">
        <f>IF(COUNT(D72:I72)&lt;6,"",ROUND(SUMPRODUCT(D72:I72,$D$3:$I$3)/SUM($D$3:$I$3)*20,0))</f>
        <v/>
      </c>
      <c r="K72" s="53">
        <f>IF(J72="","",IF(J72&gt;=80,"Disetujui",IF(J72&gt;=60,"Disetujui bersyarat","Tinjau ulang")))</f>
        <v/>
      </c>
      <c r="L72" s="52" t="n"/>
      <c r="M72" s="52" t="n"/>
      <c r="N72" s="52" t="n"/>
    </row>
    <row r="73" ht="15" customHeight="1" s="28">
      <c r="A73" s="52" t="n"/>
      <c r="B73" s="52" t="n"/>
      <c r="C73" s="53">
        <f>IF(B73="","",IFERROR(INDEX('Daftar Supplier'!$B$5:$B$52,MATCH(B73,'Daftar Supplier'!$A$5:$A$52,0)),"ID tidak ada"))</f>
        <v/>
      </c>
      <c r="D73" s="52" t="n"/>
      <c r="E73" s="52" t="n"/>
      <c r="F73" s="52" t="n"/>
      <c r="G73" s="52" t="n"/>
      <c r="H73" s="52" t="n"/>
      <c r="I73" s="52" t="n"/>
      <c r="J73" s="53">
        <f>IF(COUNT(D73:I73)&lt;6,"",ROUND(SUMPRODUCT(D73:I73,$D$3:$I$3)/SUM($D$3:$I$3)*20,0))</f>
        <v/>
      </c>
      <c r="K73" s="53">
        <f>IF(J73="","",IF(J73&gt;=80,"Disetujui",IF(J73&gt;=60,"Disetujui bersyarat","Tinjau ulang")))</f>
        <v/>
      </c>
      <c r="L73" s="52" t="n"/>
      <c r="M73" s="52" t="n"/>
      <c r="N73" s="52" t="n"/>
    </row>
    <row r="74" ht="15" customHeight="1" s="28">
      <c r="A74" s="52" t="n"/>
      <c r="B74" s="52" t="n"/>
      <c r="C74" s="53">
        <f>IF(B74="","",IFERROR(INDEX('Daftar Supplier'!$B$5:$B$52,MATCH(B74,'Daftar Supplier'!$A$5:$A$52,0)),"ID tidak ada"))</f>
        <v/>
      </c>
      <c r="D74" s="52" t="n"/>
      <c r="E74" s="52" t="n"/>
      <c r="F74" s="52" t="n"/>
      <c r="G74" s="52" t="n"/>
      <c r="H74" s="52" t="n"/>
      <c r="I74" s="52" t="n"/>
      <c r="J74" s="53">
        <f>IF(COUNT(D74:I74)&lt;6,"",ROUND(SUMPRODUCT(D74:I74,$D$3:$I$3)/SUM($D$3:$I$3)*20,0))</f>
        <v/>
      </c>
      <c r="K74" s="53">
        <f>IF(J74="","",IF(J74&gt;=80,"Disetujui",IF(J74&gt;=60,"Disetujui bersyarat","Tinjau ulang")))</f>
        <v/>
      </c>
      <c r="L74" s="52" t="n"/>
      <c r="M74" s="52" t="n"/>
      <c r="N74" s="52" t="n"/>
    </row>
    <row r="75" ht="15" customHeight="1" s="28">
      <c r="A75" s="52" t="n"/>
      <c r="B75" s="52" t="n"/>
      <c r="C75" s="53">
        <f>IF(B75="","",IFERROR(INDEX('Daftar Supplier'!$B$5:$B$52,MATCH(B75,'Daftar Supplier'!$A$5:$A$52,0)),"ID tidak ada"))</f>
        <v/>
      </c>
      <c r="D75" s="52" t="n"/>
      <c r="E75" s="52" t="n"/>
      <c r="F75" s="52" t="n"/>
      <c r="G75" s="52" t="n"/>
      <c r="H75" s="52" t="n"/>
      <c r="I75" s="52" t="n"/>
      <c r="J75" s="53">
        <f>IF(COUNT(D75:I75)&lt;6,"",ROUND(SUMPRODUCT(D75:I75,$D$3:$I$3)/SUM($D$3:$I$3)*20,0))</f>
        <v/>
      </c>
      <c r="K75" s="53">
        <f>IF(J75="","",IF(J75&gt;=80,"Disetujui",IF(J75&gt;=60,"Disetujui bersyarat","Tinjau ulang")))</f>
        <v/>
      </c>
      <c r="L75" s="52" t="n"/>
      <c r="M75" s="52" t="n"/>
      <c r="N75" s="52" t="n"/>
    </row>
    <row r="76" ht="15" customHeight="1" s="28">
      <c r="A76" s="52" t="n"/>
      <c r="B76" s="52" t="n"/>
      <c r="C76" s="53">
        <f>IF(B76="","",IFERROR(INDEX('Daftar Supplier'!$B$5:$B$52,MATCH(B76,'Daftar Supplier'!$A$5:$A$52,0)),"ID tidak ada"))</f>
        <v/>
      </c>
      <c r="D76" s="52" t="n"/>
      <c r="E76" s="52" t="n"/>
      <c r="F76" s="52" t="n"/>
      <c r="G76" s="52" t="n"/>
      <c r="H76" s="52" t="n"/>
      <c r="I76" s="52" t="n"/>
      <c r="J76" s="53">
        <f>IF(COUNT(D76:I76)&lt;6,"",ROUND(SUMPRODUCT(D76:I76,$D$3:$I$3)/SUM($D$3:$I$3)*20,0))</f>
        <v/>
      </c>
      <c r="K76" s="53">
        <f>IF(J76="","",IF(J76&gt;=80,"Disetujui",IF(J76&gt;=60,"Disetujui bersyarat","Tinjau ulang")))</f>
        <v/>
      </c>
      <c r="L76" s="52" t="n"/>
      <c r="M76" s="52" t="n"/>
      <c r="N76" s="52" t="n"/>
    </row>
    <row r="77" ht="15" customHeight="1" s="28">
      <c r="A77" s="52" t="n"/>
      <c r="B77" s="52" t="n"/>
      <c r="C77" s="53">
        <f>IF(B77="","",IFERROR(INDEX('Daftar Supplier'!$B$5:$B$52,MATCH(B77,'Daftar Supplier'!$A$5:$A$52,0)),"ID tidak ada"))</f>
        <v/>
      </c>
      <c r="D77" s="52" t="n"/>
      <c r="E77" s="52" t="n"/>
      <c r="F77" s="52" t="n"/>
      <c r="G77" s="52" t="n"/>
      <c r="H77" s="52" t="n"/>
      <c r="I77" s="52" t="n"/>
      <c r="J77" s="53">
        <f>IF(COUNT(D77:I77)&lt;6,"",ROUND(SUMPRODUCT(D77:I77,$D$3:$I$3)/SUM($D$3:$I$3)*20,0))</f>
        <v/>
      </c>
      <c r="K77" s="53">
        <f>IF(J77="","",IF(J77&gt;=80,"Disetujui",IF(J77&gt;=60,"Disetujui bersyarat","Tinjau ulang")))</f>
        <v/>
      </c>
      <c r="L77" s="52" t="n"/>
      <c r="M77" s="52" t="n"/>
      <c r="N77" s="52" t="n"/>
    </row>
    <row r="78" ht="15" customHeight="1" s="28">
      <c r="A78" s="52" t="n"/>
      <c r="B78" s="52" t="n"/>
      <c r="C78" s="53">
        <f>IF(B78="","",IFERROR(INDEX('Daftar Supplier'!$B$5:$B$52,MATCH(B78,'Daftar Supplier'!$A$5:$A$52,0)),"ID tidak ada"))</f>
        <v/>
      </c>
      <c r="D78" s="52" t="n"/>
      <c r="E78" s="52" t="n"/>
      <c r="F78" s="52" t="n"/>
      <c r="G78" s="52" t="n"/>
      <c r="H78" s="52" t="n"/>
      <c r="I78" s="52" t="n"/>
      <c r="J78" s="53">
        <f>IF(COUNT(D78:I78)&lt;6,"",ROUND(SUMPRODUCT(D78:I78,$D$3:$I$3)/SUM($D$3:$I$3)*20,0))</f>
        <v/>
      </c>
      <c r="K78" s="53">
        <f>IF(J78="","",IF(J78&gt;=80,"Disetujui",IF(J78&gt;=60,"Disetujui bersyarat","Tinjau ulang")))</f>
        <v/>
      </c>
      <c r="L78" s="52" t="n"/>
      <c r="M78" s="52" t="n"/>
      <c r="N78" s="52" t="n"/>
    </row>
    <row r="79" ht="15" customHeight="1" s="28">
      <c r="A79" s="52" t="n"/>
      <c r="B79" s="52" t="n"/>
      <c r="C79" s="53">
        <f>IF(B79="","",IFERROR(INDEX('Daftar Supplier'!$B$5:$B$52,MATCH(B79,'Daftar Supplier'!$A$5:$A$52,0)),"ID tidak ada"))</f>
        <v/>
      </c>
      <c r="D79" s="52" t="n"/>
      <c r="E79" s="52" t="n"/>
      <c r="F79" s="52" t="n"/>
      <c r="G79" s="52" t="n"/>
      <c r="H79" s="52" t="n"/>
      <c r="I79" s="52" t="n"/>
      <c r="J79" s="53">
        <f>IF(COUNT(D79:I79)&lt;6,"",ROUND(SUMPRODUCT(D79:I79,$D$3:$I$3)/SUM($D$3:$I$3)*20,0))</f>
        <v/>
      </c>
      <c r="K79" s="53">
        <f>IF(J79="","",IF(J79&gt;=80,"Disetujui",IF(J79&gt;=60,"Disetujui bersyarat","Tinjau ulang")))</f>
        <v/>
      </c>
      <c r="L79" s="52" t="n"/>
      <c r="M79" s="52" t="n"/>
      <c r="N79" s="52" t="n"/>
    </row>
    <row r="80" ht="15" customHeight="1" s="28">
      <c r="A80" s="52" t="n"/>
      <c r="B80" s="52" t="n"/>
      <c r="C80" s="53">
        <f>IF(B80="","",IFERROR(INDEX('Daftar Supplier'!$B$5:$B$52,MATCH(B80,'Daftar Supplier'!$A$5:$A$52,0)),"ID tidak ada"))</f>
        <v/>
      </c>
      <c r="D80" s="52" t="n"/>
      <c r="E80" s="52" t="n"/>
      <c r="F80" s="52" t="n"/>
      <c r="G80" s="52" t="n"/>
      <c r="H80" s="52" t="n"/>
      <c r="I80" s="52" t="n"/>
      <c r="J80" s="53">
        <f>IF(COUNT(D80:I80)&lt;6,"",ROUND(SUMPRODUCT(D80:I80,$D$3:$I$3)/SUM($D$3:$I$3)*20,0))</f>
        <v/>
      </c>
      <c r="K80" s="53">
        <f>IF(J80="","",IF(J80&gt;=80,"Disetujui",IF(J80&gt;=60,"Disetujui bersyarat","Tinjau ulang")))</f>
        <v/>
      </c>
      <c r="L80" s="52" t="n"/>
      <c r="M80" s="52" t="n"/>
      <c r="N80" s="52" t="n"/>
    </row>
    <row r="81" ht="15" customHeight="1" s="28">
      <c r="A81" s="52" t="n"/>
      <c r="B81" s="52" t="n"/>
      <c r="C81" s="53">
        <f>IF(B81="","",IFERROR(INDEX('Daftar Supplier'!$B$5:$B$52,MATCH(B81,'Daftar Supplier'!$A$5:$A$52,0)),"ID tidak ada"))</f>
        <v/>
      </c>
      <c r="D81" s="52" t="n"/>
      <c r="E81" s="52" t="n"/>
      <c r="F81" s="52" t="n"/>
      <c r="G81" s="52" t="n"/>
      <c r="H81" s="52" t="n"/>
      <c r="I81" s="52" t="n"/>
      <c r="J81" s="53">
        <f>IF(COUNT(D81:I81)&lt;6,"",ROUND(SUMPRODUCT(D81:I81,$D$3:$I$3)/SUM($D$3:$I$3)*20,0))</f>
        <v/>
      </c>
      <c r="K81" s="53">
        <f>IF(J81="","",IF(J81&gt;=80,"Disetujui",IF(J81&gt;=60,"Disetujui bersyarat","Tinjau ulang")))</f>
        <v/>
      </c>
      <c r="L81" s="52" t="n"/>
      <c r="M81" s="52" t="n"/>
      <c r="N81" s="52" t="n"/>
    </row>
    <row r="82" ht="15" customHeight="1" s="28">
      <c r="A82" s="52" t="n"/>
      <c r="B82" s="52" t="n"/>
      <c r="C82" s="53">
        <f>IF(B82="","",IFERROR(INDEX('Daftar Supplier'!$B$5:$B$52,MATCH(B82,'Daftar Supplier'!$A$5:$A$52,0)),"ID tidak ada"))</f>
        <v/>
      </c>
      <c r="D82" s="52" t="n"/>
      <c r="E82" s="52" t="n"/>
      <c r="F82" s="52" t="n"/>
      <c r="G82" s="52" t="n"/>
      <c r="H82" s="52" t="n"/>
      <c r="I82" s="52" t="n"/>
      <c r="J82" s="53">
        <f>IF(COUNT(D82:I82)&lt;6,"",ROUND(SUMPRODUCT(D82:I82,$D$3:$I$3)/SUM($D$3:$I$3)*20,0))</f>
        <v/>
      </c>
      <c r="K82" s="53">
        <f>IF(J82="","",IF(J82&gt;=80,"Disetujui",IF(J82&gt;=60,"Disetujui bersyarat","Tinjau ulang")))</f>
        <v/>
      </c>
      <c r="L82" s="52" t="n"/>
      <c r="M82" s="52" t="n"/>
      <c r="N82" s="52" t="n"/>
    </row>
    <row r="83" ht="15" customHeight="1" s="28">
      <c r="A83" s="52" t="n"/>
      <c r="B83" s="52" t="n"/>
      <c r="C83" s="53">
        <f>IF(B83="","",IFERROR(INDEX('Daftar Supplier'!$B$5:$B$52,MATCH(B83,'Daftar Supplier'!$A$5:$A$52,0)),"ID tidak ada"))</f>
        <v/>
      </c>
      <c r="D83" s="52" t="n"/>
      <c r="E83" s="52" t="n"/>
      <c r="F83" s="52" t="n"/>
      <c r="G83" s="52" t="n"/>
      <c r="H83" s="52" t="n"/>
      <c r="I83" s="52" t="n"/>
      <c r="J83" s="53">
        <f>IF(COUNT(D83:I83)&lt;6,"",ROUND(SUMPRODUCT(D83:I83,$D$3:$I$3)/SUM($D$3:$I$3)*20,0))</f>
        <v/>
      </c>
      <c r="K83" s="53">
        <f>IF(J83="","",IF(J83&gt;=80,"Disetujui",IF(J83&gt;=60,"Disetujui bersyarat","Tinjau ulang")))</f>
        <v/>
      </c>
      <c r="L83" s="52" t="n"/>
      <c r="M83" s="52" t="n"/>
      <c r="N83" s="52" t="n"/>
    </row>
    <row r="84" ht="15" customHeight="1" s="28">
      <c r="A84" s="52" t="n"/>
      <c r="B84" s="52" t="n"/>
      <c r="C84" s="53">
        <f>IF(B84="","",IFERROR(INDEX('Daftar Supplier'!$B$5:$B$52,MATCH(B84,'Daftar Supplier'!$A$5:$A$52,0)),"ID tidak ada"))</f>
        <v/>
      </c>
      <c r="D84" s="52" t="n"/>
      <c r="E84" s="52" t="n"/>
      <c r="F84" s="52" t="n"/>
      <c r="G84" s="52" t="n"/>
      <c r="H84" s="52" t="n"/>
      <c r="I84" s="52" t="n"/>
      <c r="J84" s="53">
        <f>IF(COUNT(D84:I84)&lt;6,"",ROUND(SUMPRODUCT(D84:I84,$D$3:$I$3)/SUM($D$3:$I$3)*20,0))</f>
        <v/>
      </c>
      <c r="K84" s="53">
        <f>IF(J84="","",IF(J84&gt;=80,"Disetujui",IF(J84&gt;=60,"Disetujui bersyarat","Tinjau ulang")))</f>
        <v/>
      </c>
      <c r="L84" s="52" t="n"/>
      <c r="M84" s="52" t="n"/>
      <c r="N84" s="52" t="n"/>
    </row>
    <row r="85" ht="15" customHeight="1" s="28">
      <c r="A85" s="52" t="n"/>
      <c r="B85" s="52" t="n"/>
      <c r="C85" s="53">
        <f>IF(B85="","",IFERROR(INDEX('Daftar Supplier'!$B$5:$B$52,MATCH(B85,'Daftar Supplier'!$A$5:$A$52,0)),"ID tidak ada"))</f>
        <v/>
      </c>
      <c r="D85" s="52" t="n"/>
      <c r="E85" s="52" t="n"/>
      <c r="F85" s="52" t="n"/>
      <c r="G85" s="52" t="n"/>
      <c r="H85" s="52" t="n"/>
      <c r="I85" s="52" t="n"/>
      <c r="J85" s="53">
        <f>IF(COUNT(D85:I85)&lt;6,"",ROUND(SUMPRODUCT(D85:I85,$D$3:$I$3)/SUM($D$3:$I$3)*20,0))</f>
        <v/>
      </c>
      <c r="K85" s="53">
        <f>IF(J85="","",IF(J85&gt;=80,"Disetujui",IF(J85&gt;=60,"Disetujui bersyarat","Tinjau ulang")))</f>
        <v/>
      </c>
      <c r="L85" s="52" t="n"/>
      <c r="M85" s="52" t="n"/>
      <c r="N85" s="52" t="n"/>
    </row>
    <row r="86" ht="15" customHeight="1" s="28">
      <c r="A86" s="52" t="n"/>
      <c r="B86" s="52" t="n"/>
      <c r="C86" s="53">
        <f>IF(B86="","",IFERROR(INDEX('Daftar Supplier'!$B$5:$B$52,MATCH(B86,'Daftar Supplier'!$A$5:$A$52,0)),"ID tidak ada"))</f>
        <v/>
      </c>
      <c r="D86" s="52" t="n"/>
      <c r="E86" s="52" t="n"/>
      <c r="F86" s="52" t="n"/>
      <c r="G86" s="52" t="n"/>
      <c r="H86" s="52" t="n"/>
      <c r="I86" s="52" t="n"/>
      <c r="J86" s="53">
        <f>IF(COUNT(D86:I86)&lt;6,"",ROUND(SUMPRODUCT(D86:I86,$D$3:$I$3)/SUM($D$3:$I$3)*20,0))</f>
        <v/>
      </c>
      <c r="K86" s="53">
        <f>IF(J86="","",IF(J86&gt;=80,"Disetujui",IF(J86&gt;=60,"Disetujui bersyarat","Tinjau ulang")))</f>
        <v/>
      </c>
      <c r="L86" s="52" t="n"/>
      <c r="M86" s="52" t="n"/>
      <c r="N86" s="52" t="n"/>
    </row>
    <row r="87" ht="15" customHeight="1" s="28">
      <c r="A87" s="52" t="n"/>
      <c r="B87" s="52" t="n"/>
      <c r="C87" s="53">
        <f>IF(B87="","",IFERROR(INDEX('Daftar Supplier'!$B$5:$B$52,MATCH(B87,'Daftar Supplier'!$A$5:$A$52,0)),"ID tidak ada"))</f>
        <v/>
      </c>
      <c r="D87" s="52" t="n"/>
      <c r="E87" s="52" t="n"/>
      <c r="F87" s="52" t="n"/>
      <c r="G87" s="52" t="n"/>
      <c r="H87" s="52" t="n"/>
      <c r="I87" s="52" t="n"/>
      <c r="J87" s="53">
        <f>IF(COUNT(D87:I87)&lt;6,"",ROUND(SUMPRODUCT(D87:I87,$D$3:$I$3)/SUM($D$3:$I$3)*20,0))</f>
        <v/>
      </c>
      <c r="K87" s="53">
        <f>IF(J87="","",IF(J87&gt;=80,"Disetujui",IF(J87&gt;=60,"Disetujui bersyarat","Tinjau ulang")))</f>
        <v/>
      </c>
      <c r="L87" s="52" t="n"/>
      <c r="M87" s="52" t="n"/>
      <c r="N87" s="52" t="n"/>
    </row>
    <row r="88" ht="15" customHeight="1" s="28">
      <c r="A88" s="52" t="n"/>
      <c r="B88" s="52" t="n"/>
      <c r="C88" s="53">
        <f>IF(B88="","",IFERROR(INDEX('Daftar Supplier'!$B$5:$B$52,MATCH(B88,'Daftar Supplier'!$A$5:$A$52,0)),"ID tidak ada"))</f>
        <v/>
      </c>
      <c r="D88" s="52" t="n"/>
      <c r="E88" s="52" t="n"/>
      <c r="F88" s="52" t="n"/>
      <c r="G88" s="52" t="n"/>
      <c r="H88" s="52" t="n"/>
      <c r="I88" s="52" t="n"/>
      <c r="J88" s="53">
        <f>IF(COUNT(D88:I88)&lt;6,"",ROUND(SUMPRODUCT(D88:I88,$D$3:$I$3)/SUM($D$3:$I$3)*20,0))</f>
        <v/>
      </c>
      <c r="K88" s="53">
        <f>IF(J88="","",IF(J88&gt;=80,"Disetujui",IF(J88&gt;=60,"Disetujui bersyarat","Tinjau ulang")))</f>
        <v/>
      </c>
      <c r="L88" s="52" t="n"/>
      <c r="M88" s="52" t="n"/>
      <c r="N88" s="52" t="n"/>
    </row>
    <row r="89" ht="15" customHeight="1" s="28">
      <c r="A89" s="52" t="n"/>
      <c r="B89" s="52" t="n"/>
      <c r="C89" s="53">
        <f>IF(B89="","",IFERROR(INDEX('Daftar Supplier'!$B$5:$B$52,MATCH(B89,'Daftar Supplier'!$A$5:$A$52,0)),"ID tidak ada"))</f>
        <v/>
      </c>
      <c r="D89" s="52" t="n"/>
      <c r="E89" s="52" t="n"/>
      <c r="F89" s="52" t="n"/>
      <c r="G89" s="52" t="n"/>
      <c r="H89" s="52" t="n"/>
      <c r="I89" s="52" t="n"/>
      <c r="J89" s="53">
        <f>IF(COUNT(D89:I89)&lt;6,"",ROUND(SUMPRODUCT(D89:I89,$D$3:$I$3)/SUM($D$3:$I$3)*20,0))</f>
        <v/>
      </c>
      <c r="K89" s="53">
        <f>IF(J89="","",IF(J89&gt;=80,"Disetujui",IF(J89&gt;=60,"Disetujui bersyarat","Tinjau ulang")))</f>
        <v/>
      </c>
      <c r="L89" s="52" t="n"/>
      <c r="M89" s="52" t="n"/>
      <c r="N89" s="52" t="n"/>
    </row>
    <row r="90" ht="15" customHeight="1" s="28">
      <c r="A90" s="52" t="n"/>
      <c r="B90" s="52" t="n"/>
      <c r="C90" s="53">
        <f>IF(B90="","",IFERROR(INDEX('Daftar Supplier'!$B$5:$B$52,MATCH(B90,'Daftar Supplier'!$A$5:$A$52,0)),"ID tidak ada"))</f>
        <v/>
      </c>
      <c r="D90" s="52" t="n"/>
      <c r="E90" s="52" t="n"/>
      <c r="F90" s="52" t="n"/>
      <c r="G90" s="52" t="n"/>
      <c r="H90" s="52" t="n"/>
      <c r="I90" s="52" t="n"/>
      <c r="J90" s="53">
        <f>IF(COUNT(D90:I90)&lt;6,"",ROUND(SUMPRODUCT(D90:I90,$D$3:$I$3)/SUM($D$3:$I$3)*20,0))</f>
        <v/>
      </c>
      <c r="K90" s="53">
        <f>IF(J90="","",IF(J90&gt;=80,"Disetujui",IF(J90&gt;=60,"Disetujui bersyarat","Tinjau ulang")))</f>
        <v/>
      </c>
      <c r="L90" s="52" t="n"/>
      <c r="M90" s="52" t="n"/>
      <c r="N90" s="52" t="n"/>
    </row>
    <row r="91" ht="15" customHeight="1" s="28">
      <c r="A91" s="52" t="n"/>
      <c r="B91" s="52" t="n"/>
      <c r="C91" s="53">
        <f>IF(B91="","",IFERROR(INDEX('Daftar Supplier'!$B$5:$B$52,MATCH(B91,'Daftar Supplier'!$A$5:$A$52,0)),"ID tidak ada"))</f>
        <v/>
      </c>
      <c r="D91" s="52" t="n"/>
      <c r="E91" s="52" t="n"/>
      <c r="F91" s="52" t="n"/>
      <c r="G91" s="52" t="n"/>
      <c r="H91" s="52" t="n"/>
      <c r="I91" s="52" t="n"/>
      <c r="J91" s="53">
        <f>IF(COUNT(D91:I91)&lt;6,"",ROUND(SUMPRODUCT(D91:I91,$D$3:$I$3)/SUM($D$3:$I$3)*20,0))</f>
        <v/>
      </c>
      <c r="K91" s="53">
        <f>IF(J91="","",IF(J91&gt;=80,"Disetujui",IF(J91&gt;=60,"Disetujui bersyarat","Tinjau ulang")))</f>
        <v/>
      </c>
      <c r="L91" s="52" t="n"/>
      <c r="M91" s="52" t="n"/>
      <c r="N91" s="52" t="n"/>
    </row>
    <row r="92" ht="15" customHeight="1" s="28">
      <c r="A92" s="52" t="n"/>
      <c r="B92" s="52" t="n"/>
      <c r="C92" s="53">
        <f>IF(B92="","",IFERROR(INDEX('Daftar Supplier'!$B$5:$B$52,MATCH(B92,'Daftar Supplier'!$A$5:$A$52,0)),"ID tidak ada"))</f>
        <v/>
      </c>
      <c r="D92" s="52" t="n"/>
      <c r="E92" s="52" t="n"/>
      <c r="F92" s="52" t="n"/>
      <c r="G92" s="52" t="n"/>
      <c r="H92" s="52" t="n"/>
      <c r="I92" s="52" t="n"/>
      <c r="J92" s="53">
        <f>IF(COUNT(D92:I92)&lt;6,"",ROUND(SUMPRODUCT(D92:I92,$D$3:$I$3)/SUM($D$3:$I$3)*20,0))</f>
        <v/>
      </c>
      <c r="K92" s="53">
        <f>IF(J92="","",IF(J92&gt;=80,"Disetujui",IF(J92&gt;=60,"Disetujui bersyarat","Tinjau ulang")))</f>
        <v/>
      </c>
      <c r="L92" s="52" t="n"/>
      <c r="M92" s="52" t="n"/>
      <c r="N92" s="52" t="n"/>
    </row>
    <row r="93" ht="15" customHeight="1" s="28">
      <c r="A93" s="52" t="n"/>
      <c r="B93" s="52" t="n"/>
      <c r="C93" s="53">
        <f>IF(B93="","",IFERROR(INDEX('Daftar Supplier'!$B$5:$B$52,MATCH(B93,'Daftar Supplier'!$A$5:$A$52,0)),"ID tidak ada"))</f>
        <v/>
      </c>
      <c r="D93" s="52" t="n"/>
      <c r="E93" s="52" t="n"/>
      <c r="F93" s="52" t="n"/>
      <c r="G93" s="52" t="n"/>
      <c r="H93" s="52" t="n"/>
      <c r="I93" s="52" t="n"/>
      <c r="J93" s="53">
        <f>IF(COUNT(D93:I93)&lt;6,"",ROUND(SUMPRODUCT(D93:I93,$D$3:$I$3)/SUM($D$3:$I$3)*20,0))</f>
        <v/>
      </c>
      <c r="K93" s="53">
        <f>IF(J93="","",IF(J93&gt;=80,"Disetujui",IF(J93&gt;=60,"Disetujui bersyarat","Tinjau ulang")))</f>
        <v/>
      </c>
      <c r="L93" s="52" t="n"/>
      <c r="M93" s="52" t="n"/>
      <c r="N93" s="52" t="n"/>
    </row>
    <row r="94" ht="15" customHeight="1" s="28">
      <c r="A94" s="52" t="n"/>
      <c r="B94" s="52" t="n"/>
      <c r="C94" s="53">
        <f>IF(B94="","",IFERROR(INDEX('Daftar Supplier'!$B$5:$B$52,MATCH(B94,'Daftar Supplier'!$A$5:$A$52,0)),"ID tidak ada"))</f>
        <v/>
      </c>
      <c r="D94" s="52" t="n"/>
      <c r="E94" s="52" t="n"/>
      <c r="F94" s="52" t="n"/>
      <c r="G94" s="52" t="n"/>
      <c r="H94" s="52" t="n"/>
      <c r="I94" s="52" t="n"/>
      <c r="J94" s="53">
        <f>IF(COUNT(D94:I94)&lt;6,"",ROUND(SUMPRODUCT(D94:I94,$D$3:$I$3)/SUM($D$3:$I$3)*20,0))</f>
        <v/>
      </c>
      <c r="K94" s="53">
        <f>IF(J94="","",IF(J94&gt;=80,"Disetujui",IF(J94&gt;=60,"Disetujui bersyarat","Tinjau ulang")))</f>
        <v/>
      </c>
      <c r="L94" s="52" t="n"/>
      <c r="M94" s="52" t="n"/>
      <c r="N94" s="52" t="n"/>
    </row>
    <row r="95" ht="15" customHeight="1" s="28">
      <c r="A95" s="52" t="n"/>
      <c r="B95" s="52" t="n"/>
      <c r="C95" s="53">
        <f>IF(B95="","",IFERROR(INDEX('Daftar Supplier'!$B$5:$B$52,MATCH(B95,'Daftar Supplier'!$A$5:$A$52,0)),"ID tidak ada"))</f>
        <v/>
      </c>
      <c r="D95" s="52" t="n"/>
      <c r="E95" s="52" t="n"/>
      <c r="F95" s="52" t="n"/>
      <c r="G95" s="52" t="n"/>
      <c r="H95" s="52" t="n"/>
      <c r="I95" s="52" t="n"/>
      <c r="J95" s="53">
        <f>IF(COUNT(D95:I95)&lt;6,"",ROUND(SUMPRODUCT(D95:I95,$D$3:$I$3)/SUM($D$3:$I$3)*20,0))</f>
        <v/>
      </c>
      <c r="K95" s="53">
        <f>IF(J95="","",IF(J95&gt;=80,"Disetujui",IF(J95&gt;=60,"Disetujui bersyarat","Tinjau ulang")))</f>
        <v/>
      </c>
      <c r="L95" s="52" t="n"/>
      <c r="M95" s="52" t="n"/>
      <c r="N95" s="52" t="n"/>
    </row>
    <row r="96" ht="15" customHeight="1" s="28">
      <c r="A96" s="52" t="n"/>
      <c r="B96" s="52" t="n"/>
      <c r="C96" s="53">
        <f>IF(B96="","",IFERROR(INDEX('Daftar Supplier'!$B$5:$B$52,MATCH(B96,'Daftar Supplier'!$A$5:$A$52,0)),"ID tidak ada"))</f>
        <v/>
      </c>
      <c r="D96" s="52" t="n"/>
      <c r="E96" s="52" t="n"/>
      <c r="F96" s="52" t="n"/>
      <c r="G96" s="52" t="n"/>
      <c r="H96" s="52" t="n"/>
      <c r="I96" s="52" t="n"/>
      <c r="J96" s="53">
        <f>IF(COUNT(D96:I96)&lt;6,"",ROUND(SUMPRODUCT(D96:I96,$D$3:$I$3)/SUM($D$3:$I$3)*20,0))</f>
        <v/>
      </c>
      <c r="K96" s="53">
        <f>IF(J96="","",IF(J96&gt;=80,"Disetujui",IF(J96&gt;=60,"Disetujui bersyarat","Tinjau ulang")))</f>
        <v/>
      </c>
      <c r="L96" s="52" t="n"/>
      <c r="M96" s="52" t="n"/>
      <c r="N96" s="52" t="n"/>
    </row>
    <row r="97" ht="15" customHeight="1" s="28">
      <c r="A97" s="52" t="n"/>
      <c r="B97" s="52" t="n"/>
      <c r="C97" s="53">
        <f>IF(B97="","",IFERROR(INDEX('Daftar Supplier'!$B$5:$B$52,MATCH(B97,'Daftar Supplier'!$A$5:$A$52,0)),"ID tidak ada"))</f>
        <v/>
      </c>
      <c r="D97" s="52" t="n"/>
      <c r="E97" s="52" t="n"/>
      <c r="F97" s="52" t="n"/>
      <c r="G97" s="52" t="n"/>
      <c r="H97" s="52" t="n"/>
      <c r="I97" s="52" t="n"/>
      <c r="J97" s="53">
        <f>IF(COUNT(D97:I97)&lt;6,"",ROUND(SUMPRODUCT(D97:I97,$D$3:$I$3)/SUM($D$3:$I$3)*20,0))</f>
        <v/>
      </c>
      <c r="K97" s="53">
        <f>IF(J97="","",IF(J97&gt;=80,"Disetujui",IF(J97&gt;=60,"Disetujui bersyarat","Tinjau ulang")))</f>
        <v/>
      </c>
      <c r="L97" s="52" t="n"/>
      <c r="M97" s="52" t="n"/>
      <c r="N97" s="52" t="n"/>
    </row>
    <row r="98" ht="15" customHeight="1" s="28">
      <c r="A98" s="52" t="n"/>
      <c r="B98" s="52" t="n"/>
      <c r="C98" s="53">
        <f>IF(B98="","",IFERROR(INDEX('Daftar Supplier'!$B$5:$B$52,MATCH(B98,'Daftar Supplier'!$A$5:$A$52,0)),"ID tidak ada"))</f>
        <v/>
      </c>
      <c r="D98" s="52" t="n"/>
      <c r="E98" s="52" t="n"/>
      <c r="F98" s="52" t="n"/>
      <c r="G98" s="52" t="n"/>
      <c r="H98" s="52" t="n"/>
      <c r="I98" s="52" t="n"/>
      <c r="J98" s="53">
        <f>IF(COUNT(D98:I98)&lt;6,"",ROUND(SUMPRODUCT(D98:I98,$D$3:$I$3)/SUM($D$3:$I$3)*20,0))</f>
        <v/>
      </c>
      <c r="K98" s="53">
        <f>IF(J98="","",IF(J98&gt;=80,"Disetujui",IF(J98&gt;=60,"Disetujui bersyarat","Tinjau ulang")))</f>
        <v/>
      </c>
      <c r="L98" s="52" t="n"/>
      <c r="M98" s="52" t="n"/>
      <c r="N98" s="52" t="n"/>
    </row>
    <row r="99" ht="15" customHeight="1" s="28">
      <c r="A99" s="52" t="n"/>
      <c r="B99" s="52" t="n"/>
      <c r="C99" s="53">
        <f>IF(B99="","",IFERROR(INDEX('Daftar Supplier'!$B$5:$B$52,MATCH(B99,'Daftar Supplier'!$A$5:$A$52,0)),"ID tidak ada"))</f>
        <v/>
      </c>
      <c r="D99" s="52" t="n"/>
      <c r="E99" s="52" t="n"/>
      <c r="F99" s="52" t="n"/>
      <c r="G99" s="52" t="n"/>
      <c r="H99" s="52" t="n"/>
      <c r="I99" s="52" t="n"/>
      <c r="J99" s="53">
        <f>IF(COUNT(D99:I99)&lt;6,"",ROUND(SUMPRODUCT(D99:I99,$D$3:$I$3)/SUM($D$3:$I$3)*20,0))</f>
        <v/>
      </c>
      <c r="K99" s="53">
        <f>IF(J99="","",IF(J99&gt;=80,"Disetujui",IF(J99&gt;=60,"Disetujui bersyarat","Tinjau ulang")))</f>
        <v/>
      </c>
      <c r="L99" s="52" t="n"/>
      <c r="M99" s="52" t="n"/>
      <c r="N99" s="52" t="n"/>
    </row>
    <row r="100" ht="15" customHeight="1" s="28">
      <c r="A100" s="52" t="n"/>
      <c r="B100" s="52" t="n"/>
      <c r="C100" s="53">
        <f>IF(B100="","",IFERROR(INDEX('Daftar Supplier'!$B$5:$B$52,MATCH(B100,'Daftar Supplier'!$A$5:$A$52,0)),"ID tidak ada"))</f>
        <v/>
      </c>
      <c r="D100" s="52" t="n"/>
      <c r="E100" s="52" t="n"/>
      <c r="F100" s="52" t="n"/>
      <c r="G100" s="52" t="n"/>
      <c r="H100" s="52" t="n"/>
      <c r="I100" s="52" t="n"/>
      <c r="J100" s="53">
        <f>IF(COUNT(D100:I100)&lt;6,"",ROUND(SUMPRODUCT(D100:I100,$D$3:$I$3)/SUM($D$3:$I$3)*20,0))</f>
        <v/>
      </c>
      <c r="K100" s="53">
        <f>IF(J100="","",IF(J100&gt;=80,"Disetujui",IF(J100&gt;=60,"Disetujui bersyarat","Tinjau ulang")))</f>
        <v/>
      </c>
      <c r="L100" s="52" t="n"/>
      <c r="M100" s="52" t="n"/>
      <c r="N100" s="52" t="n"/>
    </row>
    <row r="101" ht="15" customHeight="1" s="28">
      <c r="A101" s="52" t="n"/>
      <c r="B101" s="52" t="n"/>
      <c r="C101" s="53">
        <f>IF(B101="","",IFERROR(INDEX('Daftar Supplier'!$B$5:$B$52,MATCH(B101,'Daftar Supplier'!$A$5:$A$52,0)),"ID tidak ada"))</f>
        <v/>
      </c>
      <c r="D101" s="52" t="n"/>
      <c r="E101" s="52" t="n"/>
      <c r="F101" s="52" t="n"/>
      <c r="G101" s="52" t="n"/>
      <c r="H101" s="52" t="n"/>
      <c r="I101" s="52" t="n"/>
      <c r="J101" s="53">
        <f>IF(COUNT(D101:I101)&lt;6,"",ROUND(SUMPRODUCT(D101:I101,$D$3:$I$3)/SUM($D$3:$I$3)*20,0))</f>
        <v/>
      </c>
      <c r="K101" s="53">
        <f>IF(J101="","",IF(J101&gt;=80,"Disetujui",IF(J101&gt;=60,"Disetujui bersyarat","Tinjau ulang")))</f>
        <v/>
      </c>
      <c r="L101" s="52" t="n"/>
      <c r="M101" s="52" t="n"/>
      <c r="N101" s="52" t="n"/>
    </row>
    <row r="102" ht="15" customHeight="1" s="28">
      <c r="A102" s="52" t="n"/>
      <c r="B102" s="52" t="n"/>
      <c r="C102" s="53">
        <f>IF(B102="","",IFERROR(INDEX('Daftar Supplier'!$B$5:$B$52,MATCH(B102,'Daftar Supplier'!$A$5:$A$52,0)),"ID tidak ada"))</f>
        <v/>
      </c>
      <c r="D102" s="52" t="n"/>
      <c r="E102" s="52" t="n"/>
      <c r="F102" s="52" t="n"/>
      <c r="G102" s="52" t="n"/>
      <c r="H102" s="52" t="n"/>
      <c r="I102" s="52" t="n"/>
      <c r="J102" s="53">
        <f>IF(COUNT(D102:I102)&lt;6,"",ROUND(SUMPRODUCT(D102:I102,$D$3:$I$3)/SUM($D$3:$I$3)*20,0))</f>
        <v/>
      </c>
      <c r="K102" s="53">
        <f>IF(J102="","",IF(J102&gt;=80,"Disetujui",IF(J102&gt;=60,"Disetujui bersyarat","Tinjau ulang")))</f>
        <v/>
      </c>
      <c r="L102" s="52" t="n"/>
      <c r="M102" s="52" t="n"/>
      <c r="N102" s="52" t="n"/>
    </row>
    <row r="103" ht="15" customHeight="1" s="28">
      <c r="A103" s="52" t="n"/>
      <c r="B103" s="52" t="n"/>
      <c r="C103" s="53">
        <f>IF(B103="","",IFERROR(INDEX('Daftar Supplier'!$B$5:$B$52,MATCH(B103,'Daftar Supplier'!$A$5:$A$52,0)),"ID tidak ada"))</f>
        <v/>
      </c>
      <c r="D103" s="52" t="n"/>
      <c r="E103" s="52" t="n"/>
      <c r="F103" s="52" t="n"/>
      <c r="G103" s="52" t="n"/>
      <c r="H103" s="52" t="n"/>
      <c r="I103" s="52" t="n"/>
      <c r="J103" s="53">
        <f>IF(COUNT(D103:I103)&lt;6,"",ROUND(SUMPRODUCT(D103:I103,$D$3:$I$3)/SUM($D$3:$I$3)*20,0))</f>
        <v/>
      </c>
      <c r="K103" s="53">
        <f>IF(J103="","",IF(J103&gt;=80,"Disetujui",IF(J103&gt;=60,"Disetujui bersyarat","Tinjau ulang")))</f>
        <v/>
      </c>
      <c r="L103" s="52" t="n"/>
      <c r="M103" s="52" t="n"/>
      <c r="N103" s="52" t="n"/>
    </row>
    <row r="104" ht="15" customHeight="1" s="28">
      <c r="A104" s="52" t="n"/>
      <c r="B104" s="52" t="n"/>
      <c r="C104" s="53">
        <f>IF(B104="","",IFERROR(INDEX('Daftar Supplier'!$B$5:$B$52,MATCH(B104,'Daftar Supplier'!$A$5:$A$52,0)),"ID tidak ada"))</f>
        <v/>
      </c>
      <c r="D104" s="52" t="n"/>
      <c r="E104" s="52" t="n"/>
      <c r="F104" s="52" t="n"/>
      <c r="G104" s="52" t="n"/>
      <c r="H104" s="52" t="n"/>
      <c r="I104" s="52" t="n"/>
      <c r="J104" s="53">
        <f>IF(COUNT(D104:I104)&lt;6,"",ROUND(SUMPRODUCT(D104:I104,$D$3:$I$3)/SUM($D$3:$I$3)*20,0))</f>
        <v/>
      </c>
      <c r="K104" s="53">
        <f>IF(J104="","",IF(J104&gt;=80,"Disetujui",IF(J104&gt;=60,"Disetujui bersyarat","Tinjau ulang")))</f>
        <v/>
      </c>
      <c r="L104" s="52" t="n"/>
      <c r="M104" s="52" t="n"/>
      <c r="N104" s="52" t="n"/>
    </row>
  </sheetData>
  <conditionalFormatting sqref="K5:K104">
    <cfRule type="cellIs" rank="0" priority="2" equalAverage="0" operator="equal" aboveAverage="0" dxfId="9" text="" percent="0" bottom="0">
      <formula>"Disetujui"</formula>
    </cfRule>
    <cfRule type="cellIs" rank="0" priority="3" equalAverage="0" operator="equal" aboveAverage="0" dxfId="7" text="" percent="0" bottom="0">
      <formula>"Tinjau ulang"</formula>
    </cfRule>
    <cfRule type="cellIs" rank="0" priority="4" equalAverage="0" operator="equal" aboveAverage="0" dxfId="8" text="" percent="0" bottom="0">
      <formula>"Disetujui bersyarat"</formula>
    </cfRule>
  </conditionalFormatting>
  <dataValidations count="1">
    <dataValidation sqref="D5:I104" showDropDown="0" showInputMessage="0" showErrorMessage="0" allowBlank="1" type="list" errorStyle="stop" operator="between">
      <formula1>Daftar!$D$2:$D$6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7" min="1" max="1"/>
    <col width="70" customWidth="1" style="27" min="2" max="2"/>
    <col width="40" customWidth="1" style="27" min="3" max="3"/>
    <col width="22" customWidth="1" style="27" min="4" max="4"/>
    <col width="16" customWidth="1" style="27" min="5" max="5"/>
  </cols>
  <sheetData>
    <row r="1" ht="16.15" customHeight="1" s="28">
      <c r="A1" s="41" t="inlineStr">
        <is>
          <t>Kuesioner keamanan supplier</t>
        </is>
      </c>
    </row>
    <row r="2" ht="15" customHeight="1" s="28">
      <c r="A2" s="30" t="inlineStr">
        <is>
          <t>Gunakan satu set jawaban untuk satu supplier, dan salin sheet ini jika perlu. Hasilnya dipakai untuk kriteria Kontrol keamanan informasi di sheet Evaluasi.</t>
        </is>
      </c>
    </row>
    <row r="3" ht="15" customHeight="1" s="28">
      <c r="D3" s="27" t="inlineStr">
        <is>
          <t>ID supplier:</t>
        </is>
      </c>
      <c r="E3" s="54" t="n"/>
    </row>
    <row r="4" ht="70.5" customHeight="1" s="28">
      <c r="A4" s="43" t="inlineStr">
        <is>
          <t>No</t>
        </is>
      </c>
      <c r="B4" s="43" t="inlineStr">
        <is>
          <t>Pertanyaan</t>
        </is>
      </c>
      <c r="C4" s="43" t="inlineStr">
        <is>
          <t>Jawaban supplier</t>
        </is>
      </c>
      <c r="D4" s="43" t="inlineStr">
        <is>
          <t>Bukti</t>
        </is>
      </c>
      <c r="E4" s="43" t="inlineStr">
        <is>
          <t>Penilaian SINUX (Memadai, Kurang, Tidak ada)</t>
        </is>
      </c>
    </row>
    <row r="5" ht="43.5" customHeight="1" s="28">
      <c r="A5" s="44" t="n">
        <v>1</v>
      </c>
      <c r="B5" s="32" t="inlineStr">
        <is>
          <t>Apakah supplier memiliki sertifikasi keamanan informasi yang masih berlaku (ISO/IEC 27001, SOC 2)? Lampirkan sertifikat dan ruang lingkupnya.</t>
        </is>
      </c>
      <c r="C5" s="47" t="n"/>
      <c r="D5" s="47" t="n"/>
      <c r="E5" s="47" t="n"/>
    </row>
    <row r="6" ht="30" customHeight="1" s="28">
      <c r="A6" s="44" t="n">
        <v>2</v>
      </c>
      <c r="B6" s="32" t="inlineStr">
        <is>
          <t>Di negara dan lokasi mana data SINUX atau pelanggan disimpan dan diproses?</t>
        </is>
      </c>
      <c r="C6" s="47" t="n"/>
      <c r="D6" s="47" t="n"/>
      <c r="E6" s="47" t="n"/>
    </row>
    <row r="7" ht="30" customHeight="1" s="28">
      <c r="A7" s="44" t="n">
        <v>3</v>
      </c>
      <c r="B7" s="32" t="inlineStr">
        <is>
          <t>Apakah supplier memakai subkontraktor atau sub-processor untuk layanan ini? Sebutkan.</t>
        </is>
      </c>
      <c r="C7" s="47" t="n"/>
      <c r="D7" s="47" t="n"/>
      <c r="E7" s="47" t="n"/>
    </row>
    <row r="8" ht="30" customHeight="1" s="28">
      <c r="A8" s="44" t="n">
        <v>4</v>
      </c>
      <c r="B8" s="32" t="inlineStr">
        <is>
          <t>Bagaimana kontrol akses dan MFA untuk personel supplier yang mengakses sistem atau data?</t>
        </is>
      </c>
      <c r="C8" s="47" t="n"/>
      <c r="D8" s="47" t="n"/>
      <c r="E8" s="47" t="n"/>
    </row>
    <row r="9" ht="30" customHeight="1" s="28">
      <c r="A9" s="44" t="n">
        <v>5</v>
      </c>
      <c r="B9" s="32" t="inlineStr">
        <is>
          <t>Apakah data di-encrypt saat in transit dan at rest? Siapa yang memegang kunci?</t>
        </is>
      </c>
      <c r="C9" s="47" t="n"/>
      <c r="D9" s="47" t="n"/>
      <c r="E9" s="47" t="n"/>
    </row>
    <row r="10" ht="30" customHeight="1" s="28">
      <c r="A10" s="44" t="n">
        <v>6</v>
      </c>
      <c r="B10" s="32" t="inlineStr">
        <is>
          <t>Berapa lama dan melalui kanal apa supplier memberi tahu insiden keamanan yang berdampak ke SINUX?</t>
        </is>
      </c>
      <c r="C10" s="47" t="n"/>
      <c r="D10" s="47" t="n"/>
      <c r="E10" s="47" t="n"/>
    </row>
    <row r="11" ht="30" customHeight="1" s="28">
      <c r="A11" s="44" t="n">
        <v>7</v>
      </c>
      <c r="B11" s="32" t="inlineStr">
        <is>
          <t>Bagaimana backup, redundansi, dan rencana kelangsungan layanan supplier? Kapan terakhir diuji?</t>
        </is>
      </c>
      <c r="C11" s="47" t="n"/>
      <c r="D11" s="47" t="n"/>
      <c r="E11" s="47" t="n"/>
    </row>
    <row r="12" ht="30" customHeight="1" s="28">
      <c r="A12" s="44" t="n">
        <v>8</v>
      </c>
      <c r="B12" s="32" t="inlineStr">
        <is>
          <t>Apakah SLA tertulis dan bagaimana kompensasi bila SLA tidak tercapai?</t>
        </is>
      </c>
      <c r="C12" s="47" t="n"/>
      <c r="D12" s="47" t="n"/>
      <c r="E12" s="47" t="n"/>
    </row>
    <row r="13" ht="30" customHeight="1" s="28">
      <c r="A13" s="44" t="n">
        <v>9</v>
      </c>
      <c r="B13" s="32" t="inlineStr">
        <is>
          <t>Apakah kontrak memuat klausul kerahasiaan, hak audit, dan kepatuhan UU PDP?</t>
        </is>
      </c>
      <c r="C13" s="47" t="n"/>
      <c r="D13" s="47" t="n"/>
      <c r="E13" s="47" t="n"/>
    </row>
    <row r="14" ht="30" customHeight="1" s="28">
      <c r="A14" s="44" t="n">
        <v>10</v>
      </c>
      <c r="B14" s="32" t="inlineStr">
        <is>
          <t>Bagaimana proses pengembalian dan penghapusan data saat kontrak berakhir?</t>
        </is>
      </c>
      <c r="C14" s="47" t="n"/>
      <c r="D14" s="47" t="n"/>
      <c r="E14" s="47" t="n"/>
    </row>
    <row r="15" ht="30" customHeight="1" s="28">
      <c r="A15" s="44" t="n">
        <v>11</v>
      </c>
      <c r="B15" s="32" t="inlineStr">
        <is>
          <t>Bagaimana vulnerability management dan patch pada platform yang dipakai SINUX?</t>
        </is>
      </c>
      <c r="C15" s="47" t="n"/>
      <c r="D15" s="47" t="n"/>
      <c r="E15" s="47" t="n"/>
    </row>
    <row r="16" ht="16.5" customHeight="1" s="28">
      <c r="A16" s="44" t="n">
        <v>12</v>
      </c>
      <c r="B16" s="32" t="inlineStr">
        <is>
          <t>Siapa kontak eskalasi teknis dan keamanan 24x7?</t>
        </is>
      </c>
      <c r="C16" s="47" t="n"/>
      <c r="D16" s="47" t="n"/>
      <c r="E16" s="47" t="n"/>
    </row>
  </sheetData>
  <autoFilter ref="A4:E16"/>
  <conditionalFormatting sqref="E5:E16">
    <cfRule type="cellIs" rank="0" priority="2" equalAverage="0" operator="equal" aboveAverage="0" dxfId="9" text="" percent="0" bottom="0">
      <formula>"Memadai"</formula>
    </cfRule>
    <cfRule type="cellIs" rank="0" priority="3" equalAverage="0" operator="equal" aboveAverage="0" dxfId="7" text="" percent="0" bottom="0">
      <formula>"Tidak ada"</formula>
    </cfRule>
    <cfRule type="cellIs" rank="0" priority="4" equalAverage="0" operator="equal" aboveAverage="0" dxfId="8" text="" percent="0" bottom="0">
      <formula>"Kurang"</formula>
    </cfRule>
  </conditionalFormatting>
  <dataValidations count="1">
    <dataValidation sqref="E5:E16" showDropDown="0" showInputMessage="0" showErrorMessage="0" allowBlank="1" type="list" errorStyle="stop" operator="between">
      <formula1>"Memadai,Kurang,Tidak ada"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2026-10-13T06:09:09Z</dcterms:created>
  <dcterms:modified xmlns:dcterms="http://purl.org/dc/terms/" xmlns:xsi="http://www.w3.org/2001/XMLSchema-instance" xsi:type="dcterms:W3CDTF">2026-10-15T07:24:18Z</dcterms:modified>
  <cp:revision>0</cp:revision>
</cp:coreProperties>
</file>