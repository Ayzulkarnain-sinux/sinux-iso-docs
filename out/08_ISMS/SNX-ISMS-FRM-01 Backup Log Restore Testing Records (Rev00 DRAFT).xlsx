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Daftar Job" sheetId="4" state="visible" r:id="rId4"/>
    <sheet xmlns:r="http://schemas.openxmlformats.org/officeDocument/2006/relationships" name="Backup Log" sheetId="5" state="visible" r:id="rId5"/>
    <sheet xmlns:r="http://schemas.openxmlformats.org/officeDocument/2006/relationships" name="Restore Record" sheetId="6" state="visible" r:id="rId6"/>
    <sheet xmlns:r="http://schemas.openxmlformats.org/officeDocument/2006/relationships" name="Ringkasan" sheetId="7" state="visible" r:id="rId7"/>
  </sheets>
  <definedNames>
    <definedName name="_xlnm._FilterDatabase" localSheetId="3" hidden="1">'Daftar Job'!$A$4:$L$86</definedName>
    <definedName name="_xlnm._FilterDatabase" localSheetId="4" hidden="1">'Backup Log'!$A$4:$I$606</definedName>
    <definedName name="_xlnm._FilterDatabase" localSheetId="5" hidden="1">'Restore Record'!$A$4:$Q$155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dd\-mmm\-yyyy\ hh:mm"/>
    <numFmt numFmtId="166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164" fontId="0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6" fontId="0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164" fontId="0" fillId="2" borderId="0" applyAlignment="1" pivotButton="0" quotePrefix="0" xfId="0">
      <alignment horizontal="general" vertical="bottom"/>
    </xf>
    <xf numFmtId="166" fontId="0" fillId="4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70920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27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70" customWidth="1" style="27" min="2" max="2"/>
    <col width="30" customWidth="1" style="27" min="3" max="3"/>
    <col width="22" customWidth="1" style="27" min="4" max="4"/>
    <col width="14" customWidth="1" style="27" min="5" max="5"/>
  </cols>
  <sheetData>
    <row r="1" ht="18.55" customHeight="1" s="28">
      <c r="A1" s="29" t="inlineStr">
        <is>
          <t>Backup Log &amp; Restore Testing Records</t>
        </is>
      </c>
    </row>
    <row r="2" ht="15" customHeight="1" s="28">
      <c r="A2" s="30" t="inlineStr">
        <is>
          <t>PT Strategi Integrasi Nusantara (SINUX) · Divisi Operation</t>
        </is>
      </c>
    </row>
    <row r="4" ht="15" customHeight="1" s="28">
      <c r="A4" s="31" t="inlineStr">
        <is>
          <t>Nomor dokumen</t>
        </is>
      </c>
      <c r="B4" s="32" t="inlineStr">
        <is>
          <t>SNX-ISMS-FRM-01</t>
        </is>
      </c>
    </row>
    <row r="5" ht="15" customHeight="1" s="28">
      <c r="A5" s="31" t="inlineStr">
        <is>
          <t>Judul</t>
        </is>
      </c>
      <c r="B5" s="32" t="inlineStr">
        <is>
          <t>Backup Log &amp; Restore Testing Records</t>
        </is>
      </c>
    </row>
    <row r="6" ht="15" customHeight="1" s="28">
      <c r="A6" s="31" t="inlineStr">
        <is>
          <t>Revisi</t>
        </is>
      </c>
      <c r="B6" s="32" t="inlineStr">
        <is>
          <t>00 (DRAFT)</t>
        </is>
      </c>
    </row>
    <row r="7" ht="15" customHeight="1" s="28">
      <c r="A7" s="31" t="inlineStr">
        <is>
          <t>Tanggal draft</t>
        </is>
      </c>
      <c r="B7" s="32" t="inlineStr">
        <is>
          <t>13 Oktober 2026</t>
        </is>
      </c>
    </row>
    <row r="8" ht="15" customHeight="1" s="28">
      <c r="A8" s="31" t="inlineStr">
        <is>
          <t>Tanggal efektif</t>
        </is>
      </c>
      <c r="B8" s="32" t="inlineStr">
        <is>
          <t>Ditetapkan saat pengesahan</t>
        </is>
      </c>
    </row>
    <row r="9" ht="15" customHeight="1" s="28">
      <c r="A9" s="31" t="inlineStr">
        <is>
          <t>Klasifikasi</t>
        </is>
      </c>
      <c r="B9" s="32" t="inlineStr">
        <is>
          <t>RESTRICTED (Internal)</t>
        </is>
      </c>
    </row>
    <row r="10" ht="15" customHeight="1" s="28">
      <c r="A10" s="31" t="inlineStr">
        <is>
          <t>Pemilik dokumen</t>
        </is>
      </c>
      <c r="B10" s="32" t="inlineStr">
        <is>
          <t>Lead NOC</t>
        </is>
      </c>
    </row>
    <row r="11" ht="15" customHeight="1" s="28">
      <c r="A11" s="31" t="inlineStr">
        <is>
          <t>Disetujui oleh</t>
        </is>
      </c>
      <c r="B11" s="32" t="inlineStr">
        <is>
          <t>Samuel Kristanto Utomo / President Director</t>
        </is>
      </c>
    </row>
    <row r="12" ht="15" customHeight="1" s="28">
      <c r="A12" s="31" t="inlineStr">
        <is>
          <t>Acuan ISO 9001:2015</t>
        </is>
      </c>
      <c r="B12" s="32" t="inlineStr">
        <is>
          <t>Klausul 8.5.3</t>
        </is>
      </c>
    </row>
    <row r="13" ht="15" customHeight="1" s="28">
      <c r="A13" s="31" t="inlineStr">
        <is>
          <t>Acuan ISO/IEC 27001:2022</t>
        </is>
      </c>
      <c r="B13" s="32" t="inlineStr">
        <is>
          <t>Kontrol Annex A 8.13</t>
        </is>
      </c>
    </row>
    <row r="14" ht="15" customHeight="1" s="28">
      <c r="A14" s="31" t="inlineStr">
        <is>
          <t>Masa simpan record</t>
        </is>
      </c>
      <c r="B14" s="32" t="inlineStr">
        <is>
          <t>3 tahun</t>
        </is>
      </c>
    </row>
    <row r="15" ht="23.85" customHeight="1" s="28">
      <c r="A15" s="31" t="inlineStr">
        <is>
          <t>Tujuan</t>
        </is>
      </c>
      <c r="B15" s="32" t="inlineStr">
        <is>
          <t>Daftar job backup, log pemeriksaan harian, dan record restore (uji berkala maupun permintaan) sesuai SNX-ISMS-SOP-03.</t>
        </is>
      </c>
    </row>
    <row r="17" ht="15" customHeight="1" s="28">
      <c r="A17" s="33" t="inlineStr">
        <is>
          <t>Cara pakai</t>
        </is>
      </c>
    </row>
    <row r="18" ht="15" customHeight="1" s="28">
      <c r="A18" s="34" t="inlineStr">
        <is>
          <t>1.</t>
        </is>
      </c>
      <c r="B18" s="35" t="inlineStr">
        <is>
          <t>Daftarkan setiap job di sheet Daftar Job beserta RPO dan RTO.</t>
        </is>
      </c>
    </row>
    <row r="19" ht="23.85" customHeight="1" s="28">
      <c r="A19" s="34" t="inlineStr">
        <is>
          <t>2.</t>
        </is>
      </c>
      <c r="B19" s="35" t="inlineStr">
        <is>
          <t>NOC Engineer shift malam mengisi Backup Log setiap hari; status Gagal dua kali berturut menjadi tiket P2 di Zammad.</t>
        </is>
      </c>
    </row>
    <row r="20" ht="23.85" customHeight="1" s="28">
      <c r="A20" s="34" t="inlineStr">
        <is>
          <t>3.</t>
        </is>
      </c>
      <c r="B20" s="35" t="inlineStr">
        <is>
          <t>Setiap restore (uji berkala atau permintaan) dicatat di Restore Record; durasi dan kepatuhan RTO dihitung otomatis dari Daftar Job.</t>
        </is>
      </c>
    </row>
    <row r="21" ht="23.85" customHeight="1" s="28">
      <c r="A21" s="34" t="inlineStr">
        <is>
          <t>4.</t>
        </is>
      </c>
      <c r="B21" s="35" t="inlineStr">
        <is>
          <t>Sheet Ringkasan menghitung tingkat sukses backup dan uji restore per bulan untuk SNX-OPS-RPT-01.</t>
        </is>
      </c>
    </row>
    <row r="23" ht="15" customHeight="1" s="28">
      <c r="A23" s="33" t="inlineStr">
        <is>
          <t>Legenda warna</t>
        </is>
      </c>
    </row>
    <row r="24" ht="15" customHeight="1" s="28">
      <c r="A24" s="36" t="n"/>
      <c r="B24" s="34" t="inlineStr">
        <is>
          <t>Sel input: diisi pengguna</t>
        </is>
      </c>
    </row>
    <row r="25" ht="15" customHeight="1" s="28">
      <c r="A25" s="37" t="n"/>
      <c r="B25" s="34" t="n"/>
    </row>
    <row r="26" ht="15" customHeight="1" s="28">
      <c r="A26" s="38" t="n"/>
      <c r="B26" s="34" t="inlineStr">
        <is>
          <t>Sel rumus: jangan diubah</t>
        </is>
      </c>
    </row>
    <row r="28" ht="15" customHeight="1" s="28">
      <c r="A28" s="33" t="inlineStr">
        <is>
          <t>Riwayat revisi</t>
        </is>
      </c>
    </row>
    <row r="29" ht="15" customHeight="1" s="28">
      <c r="A29" s="39" t="inlineStr">
        <is>
          <t>Revisi</t>
        </is>
      </c>
      <c r="B29" s="39" t="inlineStr">
        <is>
          <t>Tanggal</t>
        </is>
      </c>
      <c r="C29" s="39" t="inlineStr">
        <is>
          <t>Uraian perubahan</t>
        </is>
      </c>
      <c r="D29" s="39" t="inlineStr">
        <is>
          <t>Disusun</t>
        </is>
      </c>
      <c r="E29" s="39" t="inlineStr">
        <is>
          <t>Disetujui</t>
        </is>
      </c>
    </row>
    <row r="30" ht="23.85" customHeight="1" s="28">
      <c r="A30" s="32" t="inlineStr">
        <is>
          <t>00</t>
        </is>
      </c>
      <c r="B30" s="32" t="inlineStr">
        <is>
          <t>13 Oktober 2026</t>
        </is>
      </c>
      <c r="C30" s="32" t="inlineStr">
        <is>
          <t>Draft awal untuk review dan pengesahan</t>
        </is>
      </c>
      <c r="D30" s="32" t="inlineStr">
        <is>
          <t>Divisi Operation</t>
        </is>
      </c>
      <c r="E30" s="32" t="inlineStr">
        <is>
          <t>Menunggu</t>
        </is>
      </c>
    </row>
    <row r="31" ht="57.45" customHeight="1" s="28">
      <c r="A31" s="32" t="n"/>
      <c r="B31" s="32" t="n"/>
      <c r="C31" s="32" t="n"/>
      <c r="D31" s="32" t="n"/>
      <c r="E31" s="32" t="n"/>
    </row>
    <row r="32"/>
    <row r="33" ht="15" customHeight="1" s="28">
      <c r="A33" s="33" t="inlineStr">
        <is>
          <t>Pengesahan</t>
        </is>
      </c>
    </row>
    <row r="34" ht="15" customHeight="1" s="28">
      <c r="A34" s="39" t="inlineStr">
        <is>
          <t>Peran</t>
        </is>
      </c>
      <c r="B34" s="39" t="inlineStr">
        <is>
          <t>Nama dan jabatan</t>
        </is>
      </c>
      <c r="C34" s="39" t="inlineStr">
        <is>
          <t>Tanda tangan</t>
        </is>
      </c>
      <c r="D34" s="39" t="inlineStr">
        <is>
          <t>Tanggal</t>
        </is>
      </c>
    </row>
    <row r="35" ht="27.75" customHeight="1" s="28">
      <c r="A35" s="40" t="inlineStr">
        <is>
          <t>Disusun oleh</t>
        </is>
      </c>
      <c r="B35" s="40" t="inlineStr">
        <is>
          <t>Erik Dwi Yanto / Technical/Operation Engineer L1</t>
        </is>
      </c>
      <c r="C35" s="40" t="n"/>
      <c r="D35" s="40" t="n"/>
    </row>
    <row r="36" ht="27.75" customHeight="1" s="28">
      <c r="A36" s="40" t="inlineStr">
        <is>
          <t>Diperiksa oleh</t>
        </is>
      </c>
      <c r="B36" s="40" t="inlineStr">
        <is>
          <t>Fani Fatullah / VP Tech Operation and Services</t>
        </is>
      </c>
      <c r="C36" s="40" t="n"/>
      <c r="D36" s="40" t="n"/>
    </row>
    <row r="37" ht="27.75" customHeight="1" s="28">
      <c r="A37" s="40" t="inlineStr">
        <is>
          <t>Disetujui oleh</t>
        </is>
      </c>
      <c r="B37" s="40" t="inlineStr">
        <is>
          <t>Samuel Kristanto Utomo / President Director</t>
        </is>
      </c>
      <c r="C37" s="40" t="n"/>
      <c r="D37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8">
      <c r="A1" s="41" t="inlineStr">
        <is>
          <t>Diagram alur proses</t>
        </is>
      </c>
    </row>
    <row r="2" ht="15" customHeight="1" s="28">
      <c r="A2" s="30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7" min="1" max="4"/>
    <col width="22" customWidth="1" style="27" min="5" max="5"/>
    <col width="16" customWidth="1" style="27" min="6" max="6"/>
  </cols>
  <sheetData>
    <row r="1" ht="15" customHeight="1" s="28">
      <c r="A1" s="42" t="inlineStr">
        <is>
          <t>Jenis</t>
        </is>
      </c>
      <c r="B1" s="42" t="inlineStr">
        <is>
          <t>YaTidak</t>
        </is>
      </c>
      <c r="C1" s="42" t="inlineStr">
        <is>
          <t>Status</t>
        </is>
      </c>
      <c r="D1" s="42" t="inlineStr">
        <is>
          <t>Shift</t>
        </is>
      </c>
      <c r="E1" s="42" t="inlineStr">
        <is>
          <t>Restore</t>
        </is>
      </c>
      <c r="F1" s="42" t="inlineStr">
        <is>
          <t>Hasil</t>
        </is>
      </c>
    </row>
    <row r="2" ht="15" customHeight="1" s="28">
      <c r="A2" s="34" t="inlineStr">
        <is>
          <t>Full</t>
        </is>
      </c>
      <c r="B2" s="34" t="inlineStr">
        <is>
          <t>Ya</t>
        </is>
      </c>
      <c r="C2" s="34" t="inlineStr">
        <is>
          <t>Sukses</t>
        </is>
      </c>
      <c r="D2" s="34" t="inlineStr">
        <is>
          <t>Shift 1</t>
        </is>
      </c>
      <c r="E2" s="34" t="inlineStr">
        <is>
          <t>Uji berkala</t>
        </is>
      </c>
      <c r="F2" s="34" t="inlineStr">
        <is>
          <t>Berhasil</t>
        </is>
      </c>
    </row>
    <row r="3" ht="15" customHeight="1" s="28">
      <c r="A3" s="34" t="inlineStr">
        <is>
          <t>Incremental</t>
        </is>
      </c>
      <c r="B3" s="34" t="inlineStr">
        <is>
          <t>Tidak</t>
        </is>
      </c>
      <c r="C3" s="34" t="inlineStr">
        <is>
          <t>Peringatan</t>
        </is>
      </c>
      <c r="D3" s="34" t="inlineStr">
        <is>
          <t>Shift 2</t>
        </is>
      </c>
      <c r="E3" s="34" t="inlineStr">
        <is>
          <t>Permintaan pelanggan</t>
        </is>
      </c>
      <c r="F3" s="34" t="inlineStr">
        <is>
          <t>Gagal</t>
        </is>
      </c>
    </row>
    <row r="4" ht="15" customHeight="1" s="28">
      <c r="A4" s="34" t="inlineStr">
        <is>
          <t>Differential</t>
        </is>
      </c>
      <c r="C4" s="34" t="inlineStr">
        <is>
          <t>Gagal</t>
        </is>
      </c>
      <c r="D4" s="34" t="inlineStr">
        <is>
          <t>Shift 3</t>
        </is>
      </c>
      <c r="E4" s="34" t="inlineStr">
        <is>
          <t>Pemulihan insiden</t>
        </is>
      </c>
      <c r="F4" s="34" t="inlineStr">
        <is>
          <t>Sebagian</t>
        </is>
      </c>
    </row>
    <row r="5" ht="15" customHeight="1" s="28">
      <c r="A5" s="34" t="inlineStr">
        <is>
          <t>Snapshot</t>
        </is>
      </c>
    </row>
    <row r="6" ht="15" customHeight="1" s="28">
      <c r="A6" s="34" t="inlineStr">
        <is>
          <t>Konfigurasi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L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7" min="1" max="1"/>
    <col width="18" customWidth="1" style="27" min="2" max="2"/>
    <col width="28" customWidth="1" style="27" min="3" max="3"/>
    <col width="12" customWidth="1" style="27" min="4" max="4"/>
    <col width="14" customWidth="1" style="27" min="5" max="5"/>
    <col width="9" customWidth="1" style="27" min="6" max="6"/>
    <col width="8" customWidth="1" style="27" min="7" max="10"/>
    <col width="14" customWidth="1" style="27" min="11" max="11"/>
    <col width="20" customWidth="1" style="27" min="12" max="12"/>
  </cols>
  <sheetData>
    <row r="1" ht="16.15" customHeight="1" s="28">
      <c r="A1" s="41" t="inlineStr">
        <is>
          <t>Daftar job backup</t>
        </is>
      </c>
    </row>
    <row r="2" ht="15" customHeight="1" s="28">
      <c r="A2" s="30" t="inlineStr">
        <is>
          <t>RPO dan RTO dalam jam. Simpan salinan offline (break-glass) kunci enkripsi backup di luar password manager (USULAN).</t>
        </is>
      </c>
    </row>
    <row r="4" ht="31.5" customHeight="1" s="28">
      <c r="A4" s="43" t="inlineStr">
        <is>
          <t>Job ID</t>
        </is>
      </c>
      <c r="B4" s="43" t="inlineStr">
        <is>
          <t>Pelanggan atau internal</t>
        </is>
      </c>
      <c r="C4" s="43" t="inlineStr">
        <is>
          <t>Sumber data atau sistem</t>
        </is>
      </c>
      <c r="D4" s="43" t="inlineStr">
        <is>
          <t>Jenis</t>
        </is>
      </c>
      <c r="E4" s="43" t="inlineStr">
        <is>
          <t>Jadwal</t>
        </is>
      </c>
      <c r="F4" s="43" t="inlineStr">
        <is>
          <t>Retensi (hari)</t>
        </is>
      </c>
      <c r="G4" s="43" t="inlineStr">
        <is>
          <t>Offsite</t>
        </is>
      </c>
      <c r="H4" s="43" t="inlineStr">
        <is>
          <t>Encryption</t>
        </is>
      </c>
      <c r="I4" s="43" t="inlineStr">
        <is>
          <t>RPO (jam)</t>
        </is>
      </c>
      <c r="J4" s="43" t="inlineStr">
        <is>
          <t>RTO (jam)</t>
        </is>
      </c>
      <c r="K4" s="43" t="inlineStr">
        <is>
          <t>Pemilik</t>
        </is>
      </c>
      <c r="L4" s="43" t="inlineStr">
        <is>
          <t>Catatan</t>
        </is>
      </c>
    </row>
    <row r="5" ht="15" customHeight="1" s="28">
      <c r="A5" s="44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</row>
    <row r="6" ht="15" customHeight="1" s="28">
      <c r="A6" s="44" t="n"/>
      <c r="B6" s="44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</row>
    <row r="7" ht="15" customHeight="1" s="28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</row>
    <row r="8" ht="15" customHeight="1" s="28">
      <c r="A8" s="44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</row>
    <row r="9" ht="15" customHeight="1" s="28">
      <c r="A9" s="44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</row>
    <row r="10" ht="15" customHeight="1" s="28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</row>
    <row r="11" ht="15" customHeight="1" s="28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</row>
    <row r="12" ht="15" customHeight="1" s="28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</row>
    <row r="13" ht="15" customHeight="1" s="28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</row>
    <row r="14" ht="15" customHeight="1" s="28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</row>
    <row r="15" ht="15" customHeight="1" s="28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</row>
    <row r="16" ht="15" customHeight="1" s="28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</row>
    <row r="17" ht="15" customHeight="1" s="28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</row>
    <row r="18" ht="15" customHeight="1" s="28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</row>
    <row r="19" ht="15" customHeight="1" s="28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</row>
    <row r="20" ht="15" customHeight="1" s="28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</row>
    <row r="21" ht="15" customHeight="1" s="28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</row>
    <row r="22" ht="15" customHeight="1" s="28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</row>
    <row r="23" ht="15" customHeight="1" s="28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</row>
    <row r="24" ht="15" customHeight="1" s="28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</row>
    <row r="25" ht="15" customHeight="1" s="28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</row>
    <row r="26" ht="15" customHeight="1" s="28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</row>
    <row r="27" ht="15" customHeight="1" s="28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</row>
    <row r="28" ht="15" customHeight="1" s="28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</row>
    <row r="29" ht="15" customHeight="1" s="28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</row>
    <row r="30" ht="15" customHeight="1" s="28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</row>
    <row r="31" ht="15" customHeight="1" s="28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</row>
    <row r="32" ht="15" customHeight="1" s="28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</row>
    <row r="33" ht="15" customHeight="1" s="28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</row>
    <row r="34" ht="15" customHeight="1" s="28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</row>
    <row r="35" ht="15" customHeight="1" s="28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</row>
    <row r="36" ht="15" customHeight="1" s="28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</row>
    <row r="37" ht="15" customHeight="1" s="28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</row>
    <row r="38" ht="15" customHeight="1" s="28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</row>
    <row r="39" ht="15" customHeight="1" s="28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</row>
    <row r="40" ht="15" customHeight="1" s="28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</row>
    <row r="41" ht="15" customHeight="1" s="28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</row>
    <row r="42" ht="15" customHeight="1" s="28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</row>
    <row r="43" ht="15" customHeight="1" s="28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</row>
    <row r="44" ht="15" customHeight="1" s="28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</row>
    <row r="45" ht="15" customHeight="1" s="28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</row>
    <row r="46" ht="15" customHeight="1" s="28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</row>
    <row r="47" ht="15" customHeight="1" s="28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</row>
    <row r="48" ht="15" customHeight="1" s="28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</row>
    <row r="49" ht="15" customHeight="1" s="28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</row>
    <row r="50" ht="15" customHeight="1" s="28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</row>
    <row r="51" ht="15" customHeight="1" s="28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</row>
    <row r="52" ht="15" customHeight="1" s="28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</row>
    <row r="53" ht="15" customHeight="1" s="28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</row>
    <row r="54" ht="15" customHeight="1" s="28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</row>
    <row r="55" ht="15" customHeight="1" s="28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</row>
    <row r="56" ht="15" customHeight="1" s="28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</row>
    <row r="57" ht="15" customHeight="1" s="28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</row>
    <row r="58" ht="15" customHeight="1" s="28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</row>
    <row r="59" ht="15" customHeight="1" s="28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</row>
    <row r="60" ht="15" customHeight="1" s="28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</row>
    <row r="61" ht="15" customHeight="1" s="28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</row>
    <row r="62" ht="15" customHeight="1" s="28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</row>
    <row r="63" ht="15" customHeight="1" s="28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</row>
    <row r="64" ht="15" customHeight="1" s="28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</row>
    <row r="65" ht="15" customHeight="1" s="28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</row>
    <row r="66" ht="15" customHeight="1" s="28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</row>
    <row r="67" ht="15" customHeight="1" s="28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</row>
    <row r="68" ht="15" customHeight="1" s="28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</row>
    <row r="69" ht="15" customHeight="1" s="28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</row>
    <row r="70" ht="15" customHeight="1" s="28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</row>
    <row r="71" ht="15" customHeight="1" s="28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</row>
    <row r="72" ht="15" customHeight="1" s="28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</row>
    <row r="73" ht="15" customHeight="1" s="28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</row>
    <row r="74" ht="15" customHeight="1" s="28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</row>
    <row r="75" ht="15" customHeight="1" s="28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</row>
    <row r="76" ht="15" customHeight="1" s="28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</row>
    <row r="77" ht="15" customHeight="1" s="28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</row>
    <row r="78" ht="15" customHeight="1" s="2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</row>
    <row r="79" ht="15" customHeight="1" s="28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</row>
    <row r="80" ht="15" customHeight="1" s="28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</row>
    <row r="81" ht="15" customHeight="1" s="28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</row>
    <row r="82" ht="15" customHeight="1" s="28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</row>
    <row r="83" ht="15" customHeight="1" s="28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</row>
    <row r="84" ht="15" customHeight="1" s="28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</row>
    <row r="85" ht="15" customHeight="1" s="28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</row>
    <row r="86" ht="15" customHeight="1" s="28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</row>
  </sheetData>
  <autoFilter ref="A4:L86"/>
  <dataValidations count="3">
    <dataValidation sqref="D5:D86" showDropDown="0" showInputMessage="0" showErrorMessage="0" allowBlank="1" type="list" errorStyle="stop" operator="between">
      <formula1>Daftar!$A$2:$A$6</formula1>
      <formula2>0</formula2>
    </dataValidation>
    <dataValidation sqref="G5:G86" showDropDown="0" showInputMessage="0" showErrorMessage="0" allowBlank="1" type="list" errorStyle="stop" operator="between">
      <formula1>Daftar!$B$2:$B$3</formula1>
      <formula2>0</formula2>
    </dataValidation>
    <dataValidation sqref="H5:H86" showDropDown="0" showInputMessage="0" showErrorMessage="0" allowBlank="1" type="list" errorStyle="stop" operator="between">
      <formula1>Daftar!$B$2:$B$3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I6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9" customWidth="1" style="27" min="2" max="3"/>
    <col width="10" customWidth="1" style="27" min="4" max="4"/>
    <col width="9" customWidth="1" style="27" min="5" max="6"/>
    <col width="34" customWidth="1" style="27" min="7" max="7"/>
    <col width="12" customWidth="1" style="27" min="8" max="8"/>
    <col width="16" customWidth="1" style="27" min="9" max="9"/>
  </cols>
  <sheetData>
    <row r="1" ht="16.15" customHeight="1" s="28">
      <c r="A1" s="41" t="inlineStr">
        <is>
          <t>Log pemeriksaan backup harian</t>
        </is>
      </c>
    </row>
    <row r="2" ht="15" customHeight="1" s="28">
      <c r="A2" s="30" t="n"/>
    </row>
    <row r="3"/>
    <row r="4" ht="31.5" customHeight="1" s="28">
      <c r="A4" s="43" t="inlineStr">
        <is>
          <t>Tanggal</t>
        </is>
      </c>
      <c r="B4" s="43" t="inlineStr">
        <is>
          <t>Shift</t>
        </is>
      </c>
      <c r="C4" s="43" t="inlineStr">
        <is>
          <t>Job ID</t>
        </is>
      </c>
      <c r="D4" s="43" t="inlineStr">
        <is>
          <t>Status</t>
        </is>
      </c>
      <c r="E4" s="43" t="inlineStr">
        <is>
          <t>Ukuran (GB)</t>
        </is>
      </c>
      <c r="F4" s="43" t="inlineStr">
        <is>
          <t>Durasi (menit)</t>
        </is>
      </c>
      <c r="G4" s="43" t="inlineStr">
        <is>
          <t>Tindakan bila gagal</t>
        </is>
      </c>
      <c r="H4" s="43" t="inlineStr">
        <is>
          <t>Ref tiket</t>
        </is>
      </c>
      <c r="I4" s="43" t="inlineStr">
        <is>
          <t>Diperiksa oleh</t>
        </is>
      </c>
    </row>
    <row r="5" ht="15" customHeight="1" s="28">
      <c r="A5" s="45" t="n"/>
      <c r="B5" s="44" t="n"/>
      <c r="C5" s="44" t="n"/>
      <c r="D5" s="44" t="n"/>
      <c r="E5" s="44" t="n"/>
      <c r="F5" s="44" t="n"/>
      <c r="G5" s="44" t="n"/>
      <c r="H5" s="44" t="n"/>
      <c r="I5" s="44" t="n"/>
    </row>
    <row r="6" ht="15" customHeight="1" s="28">
      <c r="A6" s="45" t="n"/>
      <c r="B6" s="44" t="n"/>
      <c r="C6" s="44" t="n"/>
      <c r="D6" s="44" t="n"/>
      <c r="E6" s="44" t="n"/>
      <c r="F6" s="44" t="n"/>
      <c r="G6" s="44" t="n"/>
      <c r="H6" s="44" t="n"/>
      <c r="I6" s="44" t="n"/>
    </row>
    <row r="7" ht="15" customHeight="1" s="28">
      <c r="A7" s="45" t="n"/>
      <c r="B7" s="44" t="n"/>
      <c r="C7" s="44" t="n"/>
      <c r="D7" s="44" t="n"/>
      <c r="E7" s="44" t="n"/>
      <c r="F7" s="44" t="n"/>
      <c r="G7" s="44" t="n"/>
      <c r="H7" s="44" t="n"/>
      <c r="I7" s="44" t="n"/>
    </row>
    <row r="8" ht="15" customHeight="1" s="28">
      <c r="A8" s="45" t="n"/>
      <c r="B8" s="44" t="n"/>
      <c r="C8" s="44" t="n"/>
      <c r="D8" s="44" t="n"/>
      <c r="E8" s="44" t="n"/>
      <c r="F8" s="44" t="n"/>
      <c r="G8" s="44" t="n"/>
      <c r="H8" s="44" t="n"/>
      <c r="I8" s="44" t="n"/>
    </row>
    <row r="9" ht="15" customHeight="1" s="28">
      <c r="A9" s="45" t="n"/>
      <c r="B9" s="44" t="n"/>
      <c r="C9" s="44" t="n"/>
      <c r="D9" s="44" t="n"/>
      <c r="E9" s="44" t="n"/>
      <c r="F9" s="44" t="n"/>
      <c r="G9" s="44" t="n"/>
      <c r="H9" s="44" t="n"/>
      <c r="I9" s="44" t="n"/>
    </row>
    <row r="10" ht="15" customHeight="1" s="28">
      <c r="A10" s="45" t="n"/>
      <c r="B10" s="44" t="n"/>
      <c r="C10" s="44" t="n"/>
      <c r="D10" s="44" t="n"/>
      <c r="E10" s="44" t="n"/>
      <c r="F10" s="44" t="n"/>
      <c r="G10" s="44" t="n"/>
      <c r="H10" s="44" t="n"/>
      <c r="I10" s="44" t="n"/>
    </row>
    <row r="11" ht="15" customHeight="1" s="28">
      <c r="A11" s="45" t="n"/>
      <c r="B11" s="44" t="n"/>
      <c r="C11" s="44" t="n"/>
      <c r="D11" s="44" t="n"/>
      <c r="E11" s="44" t="n"/>
      <c r="F11" s="44" t="n"/>
      <c r="G11" s="44" t="n"/>
      <c r="H11" s="44" t="n"/>
      <c r="I11" s="44" t="n"/>
    </row>
    <row r="12" ht="15" customHeight="1" s="28">
      <c r="A12" s="45" t="n"/>
      <c r="B12" s="44" t="n"/>
      <c r="C12" s="44" t="n"/>
      <c r="D12" s="44" t="n"/>
      <c r="E12" s="44" t="n"/>
      <c r="F12" s="44" t="n"/>
      <c r="G12" s="44" t="n"/>
      <c r="H12" s="44" t="n"/>
      <c r="I12" s="44" t="n"/>
    </row>
    <row r="13" ht="15" customHeight="1" s="28">
      <c r="A13" s="45" t="n"/>
      <c r="B13" s="44" t="n"/>
      <c r="C13" s="44" t="n"/>
      <c r="D13" s="44" t="n"/>
      <c r="E13" s="44" t="n"/>
      <c r="F13" s="44" t="n"/>
      <c r="G13" s="44" t="n"/>
      <c r="H13" s="44" t="n"/>
      <c r="I13" s="44" t="n"/>
    </row>
    <row r="14" ht="15" customHeight="1" s="28">
      <c r="A14" s="45" t="n"/>
      <c r="B14" s="44" t="n"/>
      <c r="C14" s="44" t="n"/>
      <c r="D14" s="44" t="n"/>
      <c r="E14" s="44" t="n"/>
      <c r="F14" s="44" t="n"/>
      <c r="G14" s="44" t="n"/>
      <c r="H14" s="44" t="n"/>
      <c r="I14" s="44" t="n"/>
    </row>
    <row r="15" ht="15" customHeight="1" s="28">
      <c r="A15" s="45" t="n"/>
      <c r="B15" s="44" t="n"/>
      <c r="C15" s="44" t="n"/>
      <c r="D15" s="44" t="n"/>
      <c r="E15" s="44" t="n"/>
      <c r="F15" s="44" t="n"/>
      <c r="G15" s="44" t="n"/>
      <c r="H15" s="44" t="n"/>
      <c r="I15" s="44" t="n"/>
    </row>
    <row r="16" ht="15" customHeight="1" s="28">
      <c r="A16" s="45" t="n"/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 ht="15" customHeight="1" s="28">
      <c r="A17" s="45" t="n"/>
      <c r="B17" s="44" t="n"/>
      <c r="C17" s="44" t="n"/>
      <c r="D17" s="44" t="n"/>
      <c r="E17" s="44" t="n"/>
      <c r="F17" s="44" t="n"/>
      <c r="G17" s="44" t="n"/>
      <c r="H17" s="44" t="n"/>
      <c r="I17" s="44" t="n"/>
    </row>
    <row r="18" ht="15" customHeight="1" s="28">
      <c r="A18" s="45" t="n"/>
      <c r="B18" s="44" t="n"/>
      <c r="C18" s="44" t="n"/>
      <c r="D18" s="44" t="n"/>
      <c r="E18" s="44" t="n"/>
      <c r="F18" s="44" t="n"/>
      <c r="G18" s="44" t="n"/>
      <c r="H18" s="44" t="n"/>
      <c r="I18" s="44" t="n"/>
    </row>
    <row r="19" ht="15" customHeight="1" s="28">
      <c r="A19" s="45" t="n"/>
      <c r="B19" s="44" t="n"/>
      <c r="C19" s="44" t="n"/>
      <c r="D19" s="44" t="n"/>
      <c r="E19" s="44" t="n"/>
      <c r="F19" s="44" t="n"/>
      <c r="G19" s="44" t="n"/>
      <c r="H19" s="44" t="n"/>
      <c r="I19" s="44" t="n"/>
    </row>
    <row r="20" ht="15" customHeight="1" s="28">
      <c r="A20" s="45" t="n"/>
      <c r="B20" s="44" t="n"/>
      <c r="C20" s="44" t="n"/>
      <c r="D20" s="44" t="n"/>
      <c r="E20" s="44" t="n"/>
      <c r="F20" s="44" t="n"/>
      <c r="G20" s="44" t="n"/>
      <c r="H20" s="44" t="n"/>
      <c r="I20" s="44" t="n"/>
    </row>
    <row r="21" ht="15" customHeight="1" s="28">
      <c r="A21" s="45" t="n"/>
      <c r="B21" s="44" t="n"/>
      <c r="C21" s="44" t="n"/>
      <c r="D21" s="44" t="n"/>
      <c r="E21" s="44" t="n"/>
      <c r="F21" s="44" t="n"/>
      <c r="G21" s="44" t="n"/>
      <c r="H21" s="44" t="n"/>
      <c r="I21" s="44" t="n"/>
    </row>
    <row r="22" ht="15" customHeight="1" s="28">
      <c r="A22" s="45" t="n"/>
      <c r="B22" s="44" t="n"/>
      <c r="C22" s="44" t="n"/>
      <c r="D22" s="44" t="n"/>
      <c r="E22" s="44" t="n"/>
      <c r="F22" s="44" t="n"/>
      <c r="G22" s="44" t="n"/>
      <c r="H22" s="44" t="n"/>
      <c r="I22" s="44" t="n"/>
    </row>
    <row r="23" ht="15" customHeight="1" s="28">
      <c r="A23" s="45" t="n"/>
      <c r="B23" s="44" t="n"/>
      <c r="C23" s="44" t="n"/>
      <c r="D23" s="44" t="n"/>
      <c r="E23" s="44" t="n"/>
      <c r="F23" s="44" t="n"/>
      <c r="G23" s="44" t="n"/>
      <c r="H23" s="44" t="n"/>
      <c r="I23" s="44" t="n"/>
    </row>
    <row r="24" ht="15" customHeight="1" s="28">
      <c r="A24" s="45" t="n"/>
      <c r="B24" s="44" t="n"/>
      <c r="C24" s="44" t="n"/>
      <c r="D24" s="44" t="n"/>
      <c r="E24" s="44" t="n"/>
      <c r="F24" s="44" t="n"/>
      <c r="G24" s="44" t="n"/>
      <c r="H24" s="44" t="n"/>
      <c r="I24" s="44" t="n"/>
    </row>
    <row r="25" ht="15" customHeight="1" s="28">
      <c r="A25" s="45" t="n"/>
      <c r="B25" s="44" t="n"/>
      <c r="C25" s="44" t="n"/>
      <c r="D25" s="44" t="n"/>
      <c r="E25" s="44" t="n"/>
      <c r="F25" s="44" t="n"/>
      <c r="G25" s="44" t="n"/>
      <c r="H25" s="44" t="n"/>
      <c r="I25" s="44" t="n"/>
    </row>
    <row r="26" ht="15" customHeight="1" s="28">
      <c r="A26" s="45" t="n"/>
      <c r="B26" s="44" t="n"/>
      <c r="C26" s="44" t="n"/>
      <c r="D26" s="44" t="n"/>
      <c r="E26" s="44" t="n"/>
      <c r="F26" s="44" t="n"/>
      <c r="G26" s="44" t="n"/>
      <c r="H26" s="44" t="n"/>
      <c r="I26" s="44" t="n"/>
    </row>
    <row r="27" ht="15" customHeight="1" s="28">
      <c r="A27" s="45" t="n"/>
      <c r="B27" s="44" t="n"/>
      <c r="C27" s="44" t="n"/>
      <c r="D27" s="44" t="n"/>
      <c r="E27" s="44" t="n"/>
      <c r="F27" s="44" t="n"/>
      <c r="G27" s="44" t="n"/>
      <c r="H27" s="44" t="n"/>
      <c r="I27" s="44" t="n"/>
    </row>
    <row r="28" ht="15" customHeight="1" s="28">
      <c r="A28" s="45" t="n"/>
      <c r="B28" s="44" t="n"/>
      <c r="C28" s="44" t="n"/>
      <c r="D28" s="44" t="n"/>
      <c r="E28" s="44" t="n"/>
      <c r="F28" s="44" t="n"/>
      <c r="G28" s="44" t="n"/>
      <c r="H28" s="44" t="n"/>
      <c r="I28" s="44" t="n"/>
    </row>
    <row r="29" ht="15" customHeight="1" s="28">
      <c r="A29" s="45" t="n"/>
      <c r="B29" s="44" t="n"/>
      <c r="C29" s="44" t="n"/>
      <c r="D29" s="44" t="n"/>
      <c r="E29" s="44" t="n"/>
      <c r="F29" s="44" t="n"/>
      <c r="G29" s="44" t="n"/>
      <c r="H29" s="44" t="n"/>
      <c r="I29" s="44" t="n"/>
    </row>
    <row r="30" ht="15" customHeight="1" s="28">
      <c r="A30" s="45" t="n"/>
      <c r="B30" s="44" t="n"/>
      <c r="C30" s="44" t="n"/>
      <c r="D30" s="44" t="n"/>
      <c r="E30" s="44" t="n"/>
      <c r="F30" s="44" t="n"/>
      <c r="G30" s="44" t="n"/>
      <c r="H30" s="44" t="n"/>
      <c r="I30" s="44" t="n"/>
    </row>
    <row r="31" ht="15" customHeight="1" s="28">
      <c r="A31" s="45" t="n"/>
      <c r="B31" s="44" t="n"/>
      <c r="C31" s="44" t="n"/>
      <c r="D31" s="44" t="n"/>
      <c r="E31" s="44" t="n"/>
      <c r="F31" s="44" t="n"/>
      <c r="G31" s="44" t="n"/>
      <c r="H31" s="44" t="n"/>
      <c r="I31" s="44" t="n"/>
    </row>
    <row r="32" ht="15" customHeight="1" s="28">
      <c r="A32" s="45" t="n"/>
      <c r="B32" s="44" t="n"/>
      <c r="C32" s="44" t="n"/>
      <c r="D32" s="44" t="n"/>
      <c r="E32" s="44" t="n"/>
      <c r="F32" s="44" t="n"/>
      <c r="G32" s="44" t="n"/>
      <c r="H32" s="44" t="n"/>
      <c r="I32" s="44" t="n"/>
    </row>
    <row r="33" ht="15" customHeight="1" s="28">
      <c r="A33" s="45" t="n"/>
      <c r="B33" s="44" t="n"/>
      <c r="C33" s="44" t="n"/>
      <c r="D33" s="44" t="n"/>
      <c r="E33" s="44" t="n"/>
      <c r="F33" s="44" t="n"/>
      <c r="G33" s="44" t="n"/>
      <c r="H33" s="44" t="n"/>
      <c r="I33" s="44" t="n"/>
    </row>
    <row r="34" ht="15" customHeight="1" s="28">
      <c r="A34" s="45" t="n"/>
      <c r="B34" s="44" t="n"/>
      <c r="C34" s="44" t="n"/>
      <c r="D34" s="44" t="n"/>
      <c r="E34" s="44" t="n"/>
      <c r="F34" s="44" t="n"/>
      <c r="G34" s="44" t="n"/>
      <c r="H34" s="44" t="n"/>
      <c r="I34" s="44" t="n"/>
    </row>
    <row r="35" ht="15" customHeight="1" s="28">
      <c r="A35" s="45" t="n"/>
      <c r="B35" s="44" t="n"/>
      <c r="C35" s="44" t="n"/>
      <c r="D35" s="44" t="n"/>
      <c r="E35" s="44" t="n"/>
      <c r="F35" s="44" t="n"/>
      <c r="G35" s="44" t="n"/>
      <c r="H35" s="44" t="n"/>
      <c r="I35" s="44" t="n"/>
    </row>
    <row r="36" ht="15" customHeight="1" s="28">
      <c r="A36" s="45" t="n"/>
      <c r="B36" s="44" t="n"/>
      <c r="C36" s="44" t="n"/>
      <c r="D36" s="44" t="n"/>
      <c r="E36" s="44" t="n"/>
      <c r="F36" s="44" t="n"/>
      <c r="G36" s="44" t="n"/>
      <c r="H36" s="44" t="n"/>
      <c r="I36" s="44" t="n"/>
    </row>
    <row r="37" ht="15" customHeight="1" s="28">
      <c r="A37" s="45" t="n"/>
      <c r="B37" s="44" t="n"/>
      <c r="C37" s="44" t="n"/>
      <c r="D37" s="44" t="n"/>
      <c r="E37" s="44" t="n"/>
      <c r="F37" s="44" t="n"/>
      <c r="G37" s="44" t="n"/>
      <c r="H37" s="44" t="n"/>
      <c r="I37" s="44" t="n"/>
    </row>
    <row r="38" ht="15" customHeight="1" s="28">
      <c r="A38" s="45" t="n"/>
      <c r="B38" s="44" t="n"/>
      <c r="C38" s="44" t="n"/>
      <c r="D38" s="44" t="n"/>
      <c r="E38" s="44" t="n"/>
      <c r="F38" s="44" t="n"/>
      <c r="G38" s="44" t="n"/>
      <c r="H38" s="44" t="n"/>
      <c r="I38" s="44" t="n"/>
    </row>
    <row r="39" ht="15" customHeight="1" s="28">
      <c r="A39" s="45" t="n"/>
      <c r="B39" s="44" t="n"/>
      <c r="C39" s="44" t="n"/>
      <c r="D39" s="44" t="n"/>
      <c r="E39" s="44" t="n"/>
      <c r="F39" s="44" t="n"/>
      <c r="G39" s="44" t="n"/>
      <c r="H39" s="44" t="n"/>
      <c r="I39" s="44" t="n"/>
    </row>
    <row r="40" ht="15" customHeight="1" s="28">
      <c r="A40" s="45" t="n"/>
      <c r="B40" s="44" t="n"/>
      <c r="C40" s="44" t="n"/>
      <c r="D40" s="44" t="n"/>
      <c r="E40" s="44" t="n"/>
      <c r="F40" s="44" t="n"/>
      <c r="G40" s="44" t="n"/>
      <c r="H40" s="44" t="n"/>
      <c r="I40" s="44" t="n"/>
    </row>
    <row r="41" ht="15" customHeight="1" s="28">
      <c r="A41" s="45" t="n"/>
      <c r="B41" s="44" t="n"/>
      <c r="C41" s="44" t="n"/>
      <c r="D41" s="44" t="n"/>
      <c r="E41" s="44" t="n"/>
      <c r="F41" s="44" t="n"/>
      <c r="G41" s="44" t="n"/>
      <c r="H41" s="44" t="n"/>
      <c r="I41" s="44" t="n"/>
    </row>
    <row r="42" ht="15" customHeight="1" s="28">
      <c r="A42" s="45" t="n"/>
      <c r="B42" s="44" t="n"/>
      <c r="C42" s="44" t="n"/>
      <c r="D42" s="44" t="n"/>
      <c r="E42" s="44" t="n"/>
      <c r="F42" s="44" t="n"/>
      <c r="G42" s="44" t="n"/>
      <c r="H42" s="44" t="n"/>
      <c r="I42" s="44" t="n"/>
    </row>
    <row r="43" ht="15" customHeight="1" s="28">
      <c r="A43" s="45" t="n"/>
      <c r="B43" s="44" t="n"/>
      <c r="C43" s="44" t="n"/>
      <c r="D43" s="44" t="n"/>
      <c r="E43" s="44" t="n"/>
      <c r="F43" s="44" t="n"/>
      <c r="G43" s="44" t="n"/>
      <c r="H43" s="44" t="n"/>
      <c r="I43" s="44" t="n"/>
    </row>
    <row r="44" ht="15" customHeight="1" s="28">
      <c r="A44" s="45" t="n"/>
      <c r="B44" s="44" t="n"/>
      <c r="C44" s="44" t="n"/>
      <c r="D44" s="44" t="n"/>
      <c r="E44" s="44" t="n"/>
      <c r="F44" s="44" t="n"/>
      <c r="G44" s="44" t="n"/>
      <c r="H44" s="44" t="n"/>
      <c r="I44" s="44" t="n"/>
    </row>
    <row r="45" ht="15" customHeight="1" s="28">
      <c r="A45" s="45" t="n"/>
      <c r="B45" s="44" t="n"/>
      <c r="C45" s="44" t="n"/>
      <c r="D45" s="44" t="n"/>
      <c r="E45" s="44" t="n"/>
      <c r="F45" s="44" t="n"/>
      <c r="G45" s="44" t="n"/>
      <c r="H45" s="44" t="n"/>
      <c r="I45" s="44" t="n"/>
    </row>
    <row r="46" ht="15" customHeight="1" s="28">
      <c r="A46" s="45" t="n"/>
      <c r="B46" s="44" t="n"/>
      <c r="C46" s="44" t="n"/>
      <c r="D46" s="44" t="n"/>
      <c r="E46" s="44" t="n"/>
      <c r="F46" s="44" t="n"/>
      <c r="G46" s="44" t="n"/>
      <c r="H46" s="44" t="n"/>
      <c r="I46" s="44" t="n"/>
    </row>
    <row r="47" ht="15" customHeight="1" s="28">
      <c r="A47" s="45" t="n"/>
      <c r="B47" s="44" t="n"/>
      <c r="C47" s="44" t="n"/>
      <c r="D47" s="44" t="n"/>
      <c r="E47" s="44" t="n"/>
      <c r="F47" s="44" t="n"/>
      <c r="G47" s="44" t="n"/>
      <c r="H47" s="44" t="n"/>
      <c r="I47" s="44" t="n"/>
    </row>
    <row r="48" ht="15" customHeight="1" s="28">
      <c r="A48" s="45" t="n"/>
      <c r="B48" s="44" t="n"/>
      <c r="C48" s="44" t="n"/>
      <c r="D48" s="44" t="n"/>
      <c r="E48" s="44" t="n"/>
      <c r="F48" s="44" t="n"/>
      <c r="G48" s="44" t="n"/>
      <c r="H48" s="44" t="n"/>
      <c r="I48" s="44" t="n"/>
    </row>
    <row r="49" ht="15" customHeight="1" s="28">
      <c r="A49" s="45" t="n"/>
      <c r="B49" s="44" t="n"/>
      <c r="C49" s="44" t="n"/>
      <c r="D49" s="44" t="n"/>
      <c r="E49" s="44" t="n"/>
      <c r="F49" s="44" t="n"/>
      <c r="G49" s="44" t="n"/>
      <c r="H49" s="44" t="n"/>
      <c r="I49" s="44" t="n"/>
    </row>
    <row r="50" ht="15" customHeight="1" s="28">
      <c r="A50" s="45" t="n"/>
      <c r="B50" s="44" t="n"/>
      <c r="C50" s="44" t="n"/>
      <c r="D50" s="44" t="n"/>
      <c r="E50" s="44" t="n"/>
      <c r="F50" s="44" t="n"/>
      <c r="G50" s="44" t="n"/>
      <c r="H50" s="44" t="n"/>
      <c r="I50" s="44" t="n"/>
    </row>
    <row r="51" ht="15" customHeight="1" s="28">
      <c r="A51" s="45" t="n"/>
      <c r="B51" s="44" t="n"/>
      <c r="C51" s="44" t="n"/>
      <c r="D51" s="44" t="n"/>
      <c r="E51" s="44" t="n"/>
      <c r="F51" s="44" t="n"/>
      <c r="G51" s="44" t="n"/>
      <c r="H51" s="44" t="n"/>
      <c r="I51" s="44" t="n"/>
    </row>
    <row r="52" ht="15" customHeight="1" s="28">
      <c r="A52" s="45" t="n"/>
      <c r="B52" s="44" t="n"/>
      <c r="C52" s="44" t="n"/>
      <c r="D52" s="44" t="n"/>
      <c r="E52" s="44" t="n"/>
      <c r="F52" s="44" t="n"/>
      <c r="G52" s="44" t="n"/>
      <c r="H52" s="44" t="n"/>
      <c r="I52" s="44" t="n"/>
    </row>
    <row r="53" ht="15" customHeight="1" s="28">
      <c r="A53" s="45" t="n"/>
      <c r="B53" s="44" t="n"/>
      <c r="C53" s="44" t="n"/>
      <c r="D53" s="44" t="n"/>
      <c r="E53" s="44" t="n"/>
      <c r="F53" s="44" t="n"/>
      <c r="G53" s="44" t="n"/>
      <c r="H53" s="44" t="n"/>
      <c r="I53" s="44" t="n"/>
    </row>
    <row r="54" ht="15" customHeight="1" s="28">
      <c r="A54" s="45" t="n"/>
      <c r="B54" s="44" t="n"/>
      <c r="C54" s="44" t="n"/>
      <c r="D54" s="44" t="n"/>
      <c r="E54" s="44" t="n"/>
      <c r="F54" s="44" t="n"/>
      <c r="G54" s="44" t="n"/>
      <c r="H54" s="44" t="n"/>
      <c r="I54" s="44" t="n"/>
    </row>
    <row r="55" ht="15" customHeight="1" s="28">
      <c r="A55" s="45" t="n"/>
      <c r="B55" s="44" t="n"/>
      <c r="C55" s="44" t="n"/>
      <c r="D55" s="44" t="n"/>
      <c r="E55" s="44" t="n"/>
      <c r="F55" s="44" t="n"/>
      <c r="G55" s="44" t="n"/>
      <c r="H55" s="44" t="n"/>
      <c r="I55" s="44" t="n"/>
    </row>
    <row r="56" ht="15" customHeight="1" s="28">
      <c r="A56" s="45" t="n"/>
      <c r="B56" s="44" t="n"/>
      <c r="C56" s="44" t="n"/>
      <c r="D56" s="44" t="n"/>
      <c r="E56" s="44" t="n"/>
      <c r="F56" s="44" t="n"/>
      <c r="G56" s="44" t="n"/>
      <c r="H56" s="44" t="n"/>
      <c r="I56" s="44" t="n"/>
    </row>
    <row r="57" ht="15" customHeight="1" s="28">
      <c r="A57" s="45" t="n"/>
      <c r="B57" s="44" t="n"/>
      <c r="C57" s="44" t="n"/>
      <c r="D57" s="44" t="n"/>
      <c r="E57" s="44" t="n"/>
      <c r="F57" s="44" t="n"/>
      <c r="G57" s="44" t="n"/>
      <c r="H57" s="44" t="n"/>
      <c r="I57" s="44" t="n"/>
    </row>
    <row r="58" ht="15" customHeight="1" s="28">
      <c r="A58" s="45" t="n"/>
      <c r="B58" s="44" t="n"/>
      <c r="C58" s="44" t="n"/>
      <c r="D58" s="44" t="n"/>
      <c r="E58" s="44" t="n"/>
      <c r="F58" s="44" t="n"/>
      <c r="G58" s="44" t="n"/>
      <c r="H58" s="44" t="n"/>
      <c r="I58" s="44" t="n"/>
    </row>
    <row r="59" ht="15" customHeight="1" s="28">
      <c r="A59" s="45" t="n"/>
      <c r="B59" s="44" t="n"/>
      <c r="C59" s="44" t="n"/>
      <c r="D59" s="44" t="n"/>
      <c r="E59" s="44" t="n"/>
      <c r="F59" s="44" t="n"/>
      <c r="G59" s="44" t="n"/>
      <c r="H59" s="44" t="n"/>
      <c r="I59" s="44" t="n"/>
    </row>
    <row r="60" ht="15" customHeight="1" s="28">
      <c r="A60" s="45" t="n"/>
      <c r="B60" s="44" t="n"/>
      <c r="C60" s="44" t="n"/>
      <c r="D60" s="44" t="n"/>
      <c r="E60" s="44" t="n"/>
      <c r="F60" s="44" t="n"/>
      <c r="G60" s="44" t="n"/>
      <c r="H60" s="44" t="n"/>
      <c r="I60" s="44" t="n"/>
    </row>
    <row r="61" ht="15" customHeight="1" s="28">
      <c r="A61" s="45" t="n"/>
      <c r="B61" s="44" t="n"/>
      <c r="C61" s="44" t="n"/>
      <c r="D61" s="44" t="n"/>
      <c r="E61" s="44" t="n"/>
      <c r="F61" s="44" t="n"/>
      <c r="G61" s="44" t="n"/>
      <c r="H61" s="44" t="n"/>
      <c r="I61" s="44" t="n"/>
    </row>
    <row r="62" ht="15" customHeight="1" s="28">
      <c r="A62" s="45" t="n"/>
      <c r="B62" s="44" t="n"/>
      <c r="C62" s="44" t="n"/>
      <c r="D62" s="44" t="n"/>
      <c r="E62" s="44" t="n"/>
      <c r="F62" s="44" t="n"/>
      <c r="G62" s="44" t="n"/>
      <c r="H62" s="44" t="n"/>
      <c r="I62" s="44" t="n"/>
    </row>
    <row r="63" ht="15" customHeight="1" s="28">
      <c r="A63" s="45" t="n"/>
      <c r="B63" s="44" t="n"/>
      <c r="C63" s="44" t="n"/>
      <c r="D63" s="44" t="n"/>
      <c r="E63" s="44" t="n"/>
      <c r="F63" s="44" t="n"/>
      <c r="G63" s="44" t="n"/>
      <c r="H63" s="44" t="n"/>
      <c r="I63" s="44" t="n"/>
    </row>
    <row r="64" ht="15" customHeight="1" s="28">
      <c r="A64" s="45" t="n"/>
      <c r="B64" s="44" t="n"/>
      <c r="C64" s="44" t="n"/>
      <c r="D64" s="44" t="n"/>
      <c r="E64" s="44" t="n"/>
      <c r="F64" s="44" t="n"/>
      <c r="G64" s="44" t="n"/>
      <c r="H64" s="44" t="n"/>
      <c r="I64" s="44" t="n"/>
    </row>
    <row r="65" ht="15" customHeight="1" s="28">
      <c r="A65" s="45" t="n"/>
      <c r="B65" s="44" t="n"/>
      <c r="C65" s="44" t="n"/>
      <c r="D65" s="44" t="n"/>
      <c r="E65" s="44" t="n"/>
      <c r="F65" s="44" t="n"/>
      <c r="G65" s="44" t="n"/>
      <c r="H65" s="44" t="n"/>
      <c r="I65" s="44" t="n"/>
    </row>
    <row r="66" ht="15" customHeight="1" s="28">
      <c r="A66" s="45" t="n"/>
      <c r="B66" s="44" t="n"/>
      <c r="C66" s="44" t="n"/>
      <c r="D66" s="44" t="n"/>
      <c r="E66" s="44" t="n"/>
      <c r="F66" s="44" t="n"/>
      <c r="G66" s="44" t="n"/>
      <c r="H66" s="44" t="n"/>
      <c r="I66" s="44" t="n"/>
    </row>
    <row r="67" ht="15" customHeight="1" s="28">
      <c r="A67" s="45" t="n"/>
      <c r="B67" s="44" t="n"/>
      <c r="C67" s="44" t="n"/>
      <c r="D67" s="44" t="n"/>
      <c r="E67" s="44" t="n"/>
      <c r="F67" s="44" t="n"/>
      <c r="G67" s="44" t="n"/>
      <c r="H67" s="44" t="n"/>
      <c r="I67" s="44" t="n"/>
    </row>
    <row r="68" ht="15" customHeight="1" s="28">
      <c r="A68" s="45" t="n"/>
      <c r="B68" s="44" t="n"/>
      <c r="C68" s="44" t="n"/>
      <c r="D68" s="44" t="n"/>
      <c r="E68" s="44" t="n"/>
      <c r="F68" s="44" t="n"/>
      <c r="G68" s="44" t="n"/>
      <c r="H68" s="44" t="n"/>
      <c r="I68" s="44" t="n"/>
    </row>
    <row r="69" ht="15" customHeight="1" s="28">
      <c r="A69" s="45" t="n"/>
      <c r="B69" s="44" t="n"/>
      <c r="C69" s="44" t="n"/>
      <c r="D69" s="44" t="n"/>
      <c r="E69" s="44" t="n"/>
      <c r="F69" s="44" t="n"/>
      <c r="G69" s="44" t="n"/>
      <c r="H69" s="44" t="n"/>
      <c r="I69" s="44" t="n"/>
    </row>
    <row r="70" ht="15" customHeight="1" s="28">
      <c r="A70" s="45" t="n"/>
      <c r="B70" s="44" t="n"/>
      <c r="C70" s="44" t="n"/>
      <c r="D70" s="44" t="n"/>
      <c r="E70" s="44" t="n"/>
      <c r="F70" s="44" t="n"/>
      <c r="G70" s="44" t="n"/>
      <c r="H70" s="44" t="n"/>
      <c r="I70" s="44" t="n"/>
    </row>
    <row r="71" ht="15" customHeight="1" s="28">
      <c r="A71" s="45" t="n"/>
      <c r="B71" s="44" t="n"/>
      <c r="C71" s="44" t="n"/>
      <c r="D71" s="44" t="n"/>
      <c r="E71" s="44" t="n"/>
      <c r="F71" s="44" t="n"/>
      <c r="G71" s="44" t="n"/>
      <c r="H71" s="44" t="n"/>
      <c r="I71" s="44" t="n"/>
    </row>
    <row r="72" ht="15" customHeight="1" s="28">
      <c r="A72" s="45" t="n"/>
      <c r="B72" s="44" t="n"/>
      <c r="C72" s="44" t="n"/>
      <c r="D72" s="44" t="n"/>
      <c r="E72" s="44" t="n"/>
      <c r="F72" s="44" t="n"/>
      <c r="G72" s="44" t="n"/>
      <c r="H72" s="44" t="n"/>
      <c r="I72" s="44" t="n"/>
    </row>
    <row r="73" ht="15" customHeight="1" s="28">
      <c r="A73" s="45" t="n"/>
      <c r="B73" s="44" t="n"/>
      <c r="C73" s="44" t="n"/>
      <c r="D73" s="44" t="n"/>
      <c r="E73" s="44" t="n"/>
      <c r="F73" s="44" t="n"/>
      <c r="G73" s="44" t="n"/>
      <c r="H73" s="44" t="n"/>
      <c r="I73" s="44" t="n"/>
    </row>
    <row r="74" ht="15" customHeight="1" s="28">
      <c r="A74" s="45" t="n"/>
      <c r="B74" s="44" t="n"/>
      <c r="C74" s="44" t="n"/>
      <c r="D74" s="44" t="n"/>
      <c r="E74" s="44" t="n"/>
      <c r="F74" s="44" t="n"/>
      <c r="G74" s="44" t="n"/>
      <c r="H74" s="44" t="n"/>
      <c r="I74" s="44" t="n"/>
    </row>
    <row r="75" ht="15" customHeight="1" s="28">
      <c r="A75" s="45" t="n"/>
      <c r="B75" s="44" t="n"/>
      <c r="C75" s="44" t="n"/>
      <c r="D75" s="44" t="n"/>
      <c r="E75" s="44" t="n"/>
      <c r="F75" s="44" t="n"/>
      <c r="G75" s="44" t="n"/>
      <c r="H75" s="44" t="n"/>
      <c r="I75" s="44" t="n"/>
    </row>
    <row r="76" ht="15" customHeight="1" s="28">
      <c r="A76" s="45" t="n"/>
      <c r="B76" s="44" t="n"/>
      <c r="C76" s="44" t="n"/>
      <c r="D76" s="44" t="n"/>
      <c r="E76" s="44" t="n"/>
      <c r="F76" s="44" t="n"/>
      <c r="G76" s="44" t="n"/>
      <c r="H76" s="44" t="n"/>
      <c r="I76" s="44" t="n"/>
    </row>
    <row r="77" ht="15" customHeight="1" s="28">
      <c r="A77" s="45" t="n"/>
      <c r="B77" s="44" t="n"/>
      <c r="C77" s="44" t="n"/>
      <c r="D77" s="44" t="n"/>
      <c r="E77" s="44" t="n"/>
      <c r="F77" s="44" t="n"/>
      <c r="G77" s="44" t="n"/>
      <c r="H77" s="44" t="n"/>
      <c r="I77" s="44" t="n"/>
    </row>
    <row r="78" ht="15" customHeight="1" s="28">
      <c r="A78" s="45" t="n"/>
      <c r="B78" s="44" t="n"/>
      <c r="C78" s="44" t="n"/>
      <c r="D78" s="44" t="n"/>
      <c r="E78" s="44" t="n"/>
      <c r="F78" s="44" t="n"/>
      <c r="G78" s="44" t="n"/>
      <c r="H78" s="44" t="n"/>
      <c r="I78" s="44" t="n"/>
    </row>
    <row r="79" ht="15" customHeight="1" s="28">
      <c r="A79" s="45" t="n"/>
      <c r="B79" s="44" t="n"/>
      <c r="C79" s="44" t="n"/>
      <c r="D79" s="44" t="n"/>
      <c r="E79" s="44" t="n"/>
      <c r="F79" s="44" t="n"/>
      <c r="G79" s="44" t="n"/>
      <c r="H79" s="44" t="n"/>
      <c r="I79" s="44" t="n"/>
    </row>
    <row r="80" ht="15" customHeight="1" s="28">
      <c r="A80" s="45" t="n"/>
      <c r="B80" s="44" t="n"/>
      <c r="C80" s="44" t="n"/>
      <c r="D80" s="44" t="n"/>
      <c r="E80" s="44" t="n"/>
      <c r="F80" s="44" t="n"/>
      <c r="G80" s="44" t="n"/>
      <c r="H80" s="44" t="n"/>
      <c r="I80" s="44" t="n"/>
    </row>
    <row r="81" ht="15" customHeight="1" s="28">
      <c r="A81" s="45" t="n"/>
      <c r="B81" s="44" t="n"/>
      <c r="C81" s="44" t="n"/>
      <c r="D81" s="44" t="n"/>
      <c r="E81" s="44" t="n"/>
      <c r="F81" s="44" t="n"/>
      <c r="G81" s="44" t="n"/>
      <c r="H81" s="44" t="n"/>
      <c r="I81" s="44" t="n"/>
    </row>
    <row r="82" ht="15" customHeight="1" s="28">
      <c r="A82" s="45" t="n"/>
      <c r="B82" s="44" t="n"/>
      <c r="C82" s="44" t="n"/>
      <c r="D82" s="44" t="n"/>
      <c r="E82" s="44" t="n"/>
      <c r="F82" s="44" t="n"/>
      <c r="G82" s="44" t="n"/>
      <c r="H82" s="44" t="n"/>
      <c r="I82" s="44" t="n"/>
    </row>
    <row r="83" ht="15" customHeight="1" s="28">
      <c r="A83" s="45" t="n"/>
      <c r="B83" s="44" t="n"/>
      <c r="C83" s="44" t="n"/>
      <c r="D83" s="44" t="n"/>
      <c r="E83" s="44" t="n"/>
      <c r="F83" s="44" t="n"/>
      <c r="G83" s="44" t="n"/>
      <c r="H83" s="44" t="n"/>
      <c r="I83" s="44" t="n"/>
    </row>
    <row r="84" ht="15" customHeight="1" s="28">
      <c r="A84" s="45" t="n"/>
      <c r="B84" s="44" t="n"/>
      <c r="C84" s="44" t="n"/>
      <c r="D84" s="44" t="n"/>
      <c r="E84" s="44" t="n"/>
      <c r="F84" s="44" t="n"/>
      <c r="G84" s="44" t="n"/>
      <c r="H84" s="44" t="n"/>
      <c r="I84" s="44" t="n"/>
    </row>
    <row r="85" ht="15" customHeight="1" s="28">
      <c r="A85" s="45" t="n"/>
      <c r="B85" s="44" t="n"/>
      <c r="C85" s="44" t="n"/>
      <c r="D85" s="44" t="n"/>
      <c r="E85" s="44" t="n"/>
      <c r="F85" s="44" t="n"/>
      <c r="G85" s="44" t="n"/>
      <c r="H85" s="44" t="n"/>
      <c r="I85" s="44" t="n"/>
    </row>
    <row r="86" ht="15" customHeight="1" s="28">
      <c r="A86" s="45" t="n"/>
      <c r="B86" s="44" t="n"/>
      <c r="C86" s="44" t="n"/>
      <c r="D86" s="44" t="n"/>
      <c r="E86" s="44" t="n"/>
      <c r="F86" s="44" t="n"/>
      <c r="G86" s="44" t="n"/>
      <c r="H86" s="44" t="n"/>
      <c r="I86" s="44" t="n"/>
    </row>
    <row r="87" ht="15" customHeight="1" s="28">
      <c r="A87" s="45" t="n"/>
      <c r="B87" s="44" t="n"/>
      <c r="C87" s="44" t="n"/>
      <c r="D87" s="44" t="n"/>
      <c r="E87" s="44" t="n"/>
      <c r="F87" s="44" t="n"/>
      <c r="G87" s="44" t="n"/>
      <c r="H87" s="44" t="n"/>
      <c r="I87" s="44" t="n"/>
    </row>
    <row r="88" ht="15" customHeight="1" s="28">
      <c r="A88" s="45" t="n"/>
      <c r="B88" s="44" t="n"/>
      <c r="C88" s="44" t="n"/>
      <c r="D88" s="44" t="n"/>
      <c r="E88" s="44" t="n"/>
      <c r="F88" s="44" t="n"/>
      <c r="G88" s="44" t="n"/>
      <c r="H88" s="44" t="n"/>
      <c r="I88" s="44" t="n"/>
    </row>
    <row r="89" ht="15" customHeight="1" s="28">
      <c r="A89" s="45" t="n"/>
      <c r="B89" s="44" t="n"/>
      <c r="C89" s="44" t="n"/>
      <c r="D89" s="44" t="n"/>
      <c r="E89" s="44" t="n"/>
      <c r="F89" s="44" t="n"/>
      <c r="G89" s="44" t="n"/>
      <c r="H89" s="44" t="n"/>
      <c r="I89" s="44" t="n"/>
    </row>
    <row r="90" ht="15" customHeight="1" s="28">
      <c r="A90" s="45" t="n"/>
      <c r="B90" s="44" t="n"/>
      <c r="C90" s="44" t="n"/>
      <c r="D90" s="44" t="n"/>
      <c r="E90" s="44" t="n"/>
      <c r="F90" s="44" t="n"/>
      <c r="G90" s="44" t="n"/>
      <c r="H90" s="44" t="n"/>
      <c r="I90" s="44" t="n"/>
    </row>
    <row r="91" ht="15" customHeight="1" s="28">
      <c r="A91" s="45" t="n"/>
      <c r="B91" s="44" t="n"/>
      <c r="C91" s="44" t="n"/>
      <c r="D91" s="44" t="n"/>
      <c r="E91" s="44" t="n"/>
      <c r="F91" s="44" t="n"/>
      <c r="G91" s="44" t="n"/>
      <c r="H91" s="44" t="n"/>
      <c r="I91" s="44" t="n"/>
    </row>
    <row r="92" ht="15" customHeight="1" s="28">
      <c r="A92" s="45" t="n"/>
      <c r="B92" s="44" t="n"/>
      <c r="C92" s="44" t="n"/>
      <c r="D92" s="44" t="n"/>
      <c r="E92" s="44" t="n"/>
      <c r="F92" s="44" t="n"/>
      <c r="G92" s="44" t="n"/>
      <c r="H92" s="44" t="n"/>
      <c r="I92" s="44" t="n"/>
    </row>
    <row r="93" ht="15" customHeight="1" s="28">
      <c r="A93" s="45" t="n"/>
      <c r="B93" s="44" t="n"/>
      <c r="C93" s="44" t="n"/>
      <c r="D93" s="44" t="n"/>
      <c r="E93" s="44" t="n"/>
      <c r="F93" s="44" t="n"/>
      <c r="G93" s="44" t="n"/>
      <c r="H93" s="44" t="n"/>
      <c r="I93" s="44" t="n"/>
    </row>
    <row r="94" ht="15" customHeight="1" s="28">
      <c r="A94" s="45" t="n"/>
      <c r="B94" s="44" t="n"/>
      <c r="C94" s="44" t="n"/>
      <c r="D94" s="44" t="n"/>
      <c r="E94" s="44" t="n"/>
      <c r="F94" s="44" t="n"/>
      <c r="G94" s="44" t="n"/>
      <c r="H94" s="44" t="n"/>
      <c r="I94" s="44" t="n"/>
    </row>
    <row r="95" ht="15" customHeight="1" s="28">
      <c r="A95" s="45" t="n"/>
      <c r="B95" s="44" t="n"/>
      <c r="C95" s="44" t="n"/>
      <c r="D95" s="44" t="n"/>
      <c r="E95" s="44" t="n"/>
      <c r="F95" s="44" t="n"/>
      <c r="G95" s="44" t="n"/>
      <c r="H95" s="44" t="n"/>
      <c r="I95" s="44" t="n"/>
    </row>
    <row r="96" ht="15" customHeight="1" s="28">
      <c r="A96" s="45" t="n"/>
      <c r="B96" s="44" t="n"/>
      <c r="C96" s="44" t="n"/>
      <c r="D96" s="44" t="n"/>
      <c r="E96" s="44" t="n"/>
      <c r="F96" s="44" t="n"/>
      <c r="G96" s="44" t="n"/>
      <c r="H96" s="44" t="n"/>
      <c r="I96" s="44" t="n"/>
    </row>
    <row r="97" ht="15" customHeight="1" s="28">
      <c r="A97" s="45" t="n"/>
      <c r="B97" s="44" t="n"/>
      <c r="C97" s="44" t="n"/>
      <c r="D97" s="44" t="n"/>
      <c r="E97" s="44" t="n"/>
      <c r="F97" s="44" t="n"/>
      <c r="G97" s="44" t="n"/>
      <c r="H97" s="44" t="n"/>
      <c r="I97" s="44" t="n"/>
    </row>
    <row r="98" ht="15" customHeight="1" s="28">
      <c r="A98" s="45" t="n"/>
      <c r="B98" s="44" t="n"/>
      <c r="C98" s="44" t="n"/>
      <c r="D98" s="44" t="n"/>
      <c r="E98" s="44" t="n"/>
      <c r="F98" s="44" t="n"/>
      <c r="G98" s="44" t="n"/>
      <c r="H98" s="44" t="n"/>
      <c r="I98" s="44" t="n"/>
    </row>
    <row r="99" ht="15" customHeight="1" s="28">
      <c r="A99" s="45" t="n"/>
      <c r="B99" s="44" t="n"/>
      <c r="C99" s="44" t="n"/>
      <c r="D99" s="44" t="n"/>
      <c r="E99" s="44" t="n"/>
      <c r="F99" s="44" t="n"/>
      <c r="G99" s="44" t="n"/>
      <c r="H99" s="44" t="n"/>
      <c r="I99" s="44" t="n"/>
    </row>
    <row r="100" ht="15" customHeight="1" s="28">
      <c r="A100" s="45" t="n"/>
      <c r="B100" s="44" t="n"/>
      <c r="C100" s="44" t="n"/>
      <c r="D100" s="44" t="n"/>
      <c r="E100" s="44" t="n"/>
      <c r="F100" s="44" t="n"/>
      <c r="G100" s="44" t="n"/>
      <c r="H100" s="44" t="n"/>
      <c r="I100" s="44" t="n"/>
    </row>
    <row r="101" ht="15" customHeight="1" s="28">
      <c r="A101" s="45" t="n"/>
      <c r="B101" s="44" t="n"/>
      <c r="C101" s="44" t="n"/>
      <c r="D101" s="44" t="n"/>
      <c r="E101" s="44" t="n"/>
      <c r="F101" s="44" t="n"/>
      <c r="G101" s="44" t="n"/>
      <c r="H101" s="44" t="n"/>
      <c r="I101" s="44" t="n"/>
    </row>
    <row r="102" ht="15" customHeight="1" s="28">
      <c r="A102" s="45" t="n"/>
      <c r="B102" s="44" t="n"/>
      <c r="C102" s="44" t="n"/>
      <c r="D102" s="44" t="n"/>
      <c r="E102" s="44" t="n"/>
      <c r="F102" s="44" t="n"/>
      <c r="G102" s="44" t="n"/>
      <c r="H102" s="44" t="n"/>
      <c r="I102" s="44" t="n"/>
    </row>
    <row r="103" ht="15" customHeight="1" s="28">
      <c r="A103" s="45" t="n"/>
      <c r="B103" s="44" t="n"/>
      <c r="C103" s="44" t="n"/>
      <c r="D103" s="44" t="n"/>
      <c r="E103" s="44" t="n"/>
      <c r="F103" s="44" t="n"/>
      <c r="G103" s="44" t="n"/>
      <c r="H103" s="44" t="n"/>
      <c r="I103" s="44" t="n"/>
    </row>
    <row r="104" ht="15" customHeight="1" s="28">
      <c r="A104" s="45" t="n"/>
      <c r="B104" s="44" t="n"/>
      <c r="C104" s="44" t="n"/>
      <c r="D104" s="44" t="n"/>
      <c r="E104" s="44" t="n"/>
      <c r="F104" s="44" t="n"/>
      <c r="G104" s="44" t="n"/>
      <c r="H104" s="44" t="n"/>
      <c r="I104" s="44" t="n"/>
    </row>
    <row r="105" ht="15" customHeight="1" s="28">
      <c r="A105" s="45" t="n"/>
      <c r="B105" s="44" t="n"/>
      <c r="C105" s="44" t="n"/>
      <c r="D105" s="44" t="n"/>
      <c r="E105" s="44" t="n"/>
      <c r="F105" s="44" t="n"/>
      <c r="G105" s="44" t="n"/>
      <c r="H105" s="44" t="n"/>
      <c r="I105" s="44" t="n"/>
    </row>
    <row r="106" ht="15" customHeight="1" s="28">
      <c r="A106" s="45" t="n"/>
      <c r="B106" s="44" t="n"/>
      <c r="C106" s="44" t="n"/>
      <c r="D106" s="44" t="n"/>
      <c r="E106" s="44" t="n"/>
      <c r="F106" s="44" t="n"/>
      <c r="G106" s="44" t="n"/>
      <c r="H106" s="44" t="n"/>
      <c r="I106" s="44" t="n"/>
    </row>
    <row r="107" ht="15" customHeight="1" s="28">
      <c r="A107" s="45" t="n"/>
      <c r="B107" s="44" t="n"/>
      <c r="C107" s="44" t="n"/>
      <c r="D107" s="44" t="n"/>
      <c r="E107" s="44" t="n"/>
      <c r="F107" s="44" t="n"/>
      <c r="G107" s="44" t="n"/>
      <c r="H107" s="44" t="n"/>
      <c r="I107" s="44" t="n"/>
    </row>
    <row r="108" ht="15" customHeight="1" s="28">
      <c r="A108" s="45" t="n"/>
      <c r="B108" s="44" t="n"/>
      <c r="C108" s="44" t="n"/>
      <c r="D108" s="44" t="n"/>
      <c r="E108" s="44" t="n"/>
      <c r="F108" s="44" t="n"/>
      <c r="G108" s="44" t="n"/>
      <c r="H108" s="44" t="n"/>
      <c r="I108" s="44" t="n"/>
    </row>
    <row r="109" ht="15" customHeight="1" s="28">
      <c r="A109" s="45" t="n"/>
      <c r="B109" s="44" t="n"/>
      <c r="C109" s="44" t="n"/>
      <c r="D109" s="44" t="n"/>
      <c r="E109" s="44" t="n"/>
      <c r="F109" s="44" t="n"/>
      <c r="G109" s="44" t="n"/>
      <c r="H109" s="44" t="n"/>
      <c r="I109" s="44" t="n"/>
    </row>
    <row r="110" ht="15" customHeight="1" s="28">
      <c r="A110" s="45" t="n"/>
      <c r="B110" s="44" t="n"/>
      <c r="C110" s="44" t="n"/>
      <c r="D110" s="44" t="n"/>
      <c r="E110" s="44" t="n"/>
      <c r="F110" s="44" t="n"/>
      <c r="G110" s="44" t="n"/>
      <c r="H110" s="44" t="n"/>
      <c r="I110" s="44" t="n"/>
    </row>
    <row r="111" ht="15" customHeight="1" s="28">
      <c r="A111" s="45" t="n"/>
      <c r="B111" s="44" t="n"/>
      <c r="C111" s="44" t="n"/>
      <c r="D111" s="44" t="n"/>
      <c r="E111" s="44" t="n"/>
      <c r="F111" s="44" t="n"/>
      <c r="G111" s="44" t="n"/>
      <c r="H111" s="44" t="n"/>
      <c r="I111" s="44" t="n"/>
    </row>
    <row r="112" ht="15" customHeight="1" s="28">
      <c r="A112" s="45" t="n"/>
      <c r="B112" s="44" t="n"/>
      <c r="C112" s="44" t="n"/>
      <c r="D112" s="44" t="n"/>
      <c r="E112" s="44" t="n"/>
      <c r="F112" s="44" t="n"/>
      <c r="G112" s="44" t="n"/>
      <c r="H112" s="44" t="n"/>
      <c r="I112" s="44" t="n"/>
    </row>
    <row r="113" ht="15" customHeight="1" s="28">
      <c r="A113" s="45" t="n"/>
      <c r="B113" s="44" t="n"/>
      <c r="C113" s="44" t="n"/>
      <c r="D113" s="44" t="n"/>
      <c r="E113" s="44" t="n"/>
      <c r="F113" s="44" t="n"/>
      <c r="G113" s="44" t="n"/>
      <c r="H113" s="44" t="n"/>
      <c r="I113" s="44" t="n"/>
    </row>
    <row r="114" ht="15" customHeight="1" s="28">
      <c r="A114" s="45" t="n"/>
      <c r="B114" s="44" t="n"/>
      <c r="C114" s="44" t="n"/>
      <c r="D114" s="44" t="n"/>
      <c r="E114" s="44" t="n"/>
      <c r="F114" s="44" t="n"/>
      <c r="G114" s="44" t="n"/>
      <c r="H114" s="44" t="n"/>
      <c r="I114" s="44" t="n"/>
    </row>
    <row r="115" ht="15" customHeight="1" s="28">
      <c r="A115" s="45" t="n"/>
      <c r="B115" s="44" t="n"/>
      <c r="C115" s="44" t="n"/>
      <c r="D115" s="44" t="n"/>
      <c r="E115" s="44" t="n"/>
      <c r="F115" s="44" t="n"/>
      <c r="G115" s="44" t="n"/>
      <c r="H115" s="44" t="n"/>
      <c r="I115" s="44" t="n"/>
    </row>
    <row r="116" ht="15" customHeight="1" s="28">
      <c r="A116" s="45" t="n"/>
      <c r="B116" s="44" t="n"/>
      <c r="C116" s="44" t="n"/>
      <c r="D116" s="44" t="n"/>
      <c r="E116" s="44" t="n"/>
      <c r="F116" s="44" t="n"/>
      <c r="G116" s="44" t="n"/>
      <c r="H116" s="44" t="n"/>
      <c r="I116" s="44" t="n"/>
    </row>
    <row r="117" ht="15" customHeight="1" s="28">
      <c r="A117" s="45" t="n"/>
      <c r="B117" s="44" t="n"/>
      <c r="C117" s="44" t="n"/>
      <c r="D117" s="44" t="n"/>
      <c r="E117" s="44" t="n"/>
      <c r="F117" s="44" t="n"/>
      <c r="G117" s="44" t="n"/>
      <c r="H117" s="44" t="n"/>
      <c r="I117" s="44" t="n"/>
    </row>
    <row r="118" ht="15" customHeight="1" s="28">
      <c r="A118" s="45" t="n"/>
      <c r="B118" s="44" t="n"/>
      <c r="C118" s="44" t="n"/>
      <c r="D118" s="44" t="n"/>
      <c r="E118" s="44" t="n"/>
      <c r="F118" s="44" t="n"/>
      <c r="G118" s="44" t="n"/>
      <c r="H118" s="44" t="n"/>
      <c r="I118" s="44" t="n"/>
    </row>
    <row r="119" ht="15" customHeight="1" s="28">
      <c r="A119" s="45" t="n"/>
      <c r="B119" s="44" t="n"/>
      <c r="C119" s="44" t="n"/>
      <c r="D119" s="44" t="n"/>
      <c r="E119" s="44" t="n"/>
      <c r="F119" s="44" t="n"/>
      <c r="G119" s="44" t="n"/>
      <c r="H119" s="44" t="n"/>
      <c r="I119" s="44" t="n"/>
    </row>
    <row r="120" ht="15" customHeight="1" s="28">
      <c r="A120" s="45" t="n"/>
      <c r="B120" s="44" t="n"/>
      <c r="C120" s="44" t="n"/>
      <c r="D120" s="44" t="n"/>
      <c r="E120" s="44" t="n"/>
      <c r="F120" s="44" t="n"/>
      <c r="G120" s="44" t="n"/>
      <c r="H120" s="44" t="n"/>
      <c r="I120" s="44" t="n"/>
    </row>
    <row r="121" ht="15" customHeight="1" s="28">
      <c r="A121" s="45" t="n"/>
      <c r="B121" s="44" t="n"/>
      <c r="C121" s="44" t="n"/>
      <c r="D121" s="44" t="n"/>
      <c r="E121" s="44" t="n"/>
      <c r="F121" s="44" t="n"/>
      <c r="G121" s="44" t="n"/>
      <c r="H121" s="44" t="n"/>
      <c r="I121" s="44" t="n"/>
    </row>
    <row r="122" ht="15" customHeight="1" s="28">
      <c r="A122" s="45" t="n"/>
      <c r="B122" s="44" t="n"/>
      <c r="C122" s="44" t="n"/>
      <c r="D122" s="44" t="n"/>
      <c r="E122" s="44" t="n"/>
      <c r="F122" s="44" t="n"/>
      <c r="G122" s="44" t="n"/>
      <c r="H122" s="44" t="n"/>
      <c r="I122" s="44" t="n"/>
    </row>
    <row r="123" ht="15" customHeight="1" s="28">
      <c r="A123" s="45" t="n"/>
      <c r="B123" s="44" t="n"/>
      <c r="C123" s="44" t="n"/>
      <c r="D123" s="44" t="n"/>
      <c r="E123" s="44" t="n"/>
      <c r="F123" s="44" t="n"/>
      <c r="G123" s="44" t="n"/>
      <c r="H123" s="44" t="n"/>
      <c r="I123" s="44" t="n"/>
    </row>
    <row r="124" ht="15" customHeight="1" s="28">
      <c r="A124" s="45" t="n"/>
      <c r="B124" s="44" t="n"/>
      <c r="C124" s="44" t="n"/>
      <c r="D124" s="44" t="n"/>
      <c r="E124" s="44" t="n"/>
      <c r="F124" s="44" t="n"/>
      <c r="G124" s="44" t="n"/>
      <c r="H124" s="44" t="n"/>
      <c r="I124" s="44" t="n"/>
    </row>
    <row r="125" ht="15" customHeight="1" s="28">
      <c r="A125" s="45" t="n"/>
      <c r="B125" s="44" t="n"/>
      <c r="C125" s="44" t="n"/>
      <c r="D125" s="44" t="n"/>
      <c r="E125" s="44" t="n"/>
      <c r="F125" s="44" t="n"/>
      <c r="G125" s="44" t="n"/>
      <c r="H125" s="44" t="n"/>
      <c r="I125" s="44" t="n"/>
    </row>
    <row r="126" ht="15" customHeight="1" s="28">
      <c r="A126" s="45" t="n"/>
      <c r="B126" s="44" t="n"/>
      <c r="C126" s="44" t="n"/>
      <c r="D126" s="44" t="n"/>
      <c r="E126" s="44" t="n"/>
      <c r="F126" s="44" t="n"/>
      <c r="G126" s="44" t="n"/>
      <c r="H126" s="44" t="n"/>
      <c r="I126" s="44" t="n"/>
    </row>
    <row r="127" ht="15" customHeight="1" s="28">
      <c r="A127" s="45" t="n"/>
      <c r="B127" s="44" t="n"/>
      <c r="C127" s="44" t="n"/>
      <c r="D127" s="44" t="n"/>
      <c r="E127" s="44" t="n"/>
      <c r="F127" s="44" t="n"/>
      <c r="G127" s="44" t="n"/>
      <c r="H127" s="44" t="n"/>
      <c r="I127" s="44" t="n"/>
    </row>
    <row r="128" ht="15" customHeight="1" s="28">
      <c r="A128" s="45" t="n"/>
      <c r="B128" s="44" t="n"/>
      <c r="C128" s="44" t="n"/>
      <c r="D128" s="44" t="n"/>
      <c r="E128" s="44" t="n"/>
      <c r="F128" s="44" t="n"/>
      <c r="G128" s="44" t="n"/>
      <c r="H128" s="44" t="n"/>
      <c r="I128" s="44" t="n"/>
    </row>
    <row r="129" ht="15" customHeight="1" s="28">
      <c r="A129" s="45" t="n"/>
      <c r="B129" s="44" t="n"/>
      <c r="C129" s="44" t="n"/>
      <c r="D129" s="44" t="n"/>
      <c r="E129" s="44" t="n"/>
      <c r="F129" s="44" t="n"/>
      <c r="G129" s="44" t="n"/>
      <c r="H129" s="44" t="n"/>
      <c r="I129" s="44" t="n"/>
    </row>
    <row r="130" ht="15" customHeight="1" s="28">
      <c r="A130" s="45" t="n"/>
      <c r="B130" s="44" t="n"/>
      <c r="C130" s="44" t="n"/>
      <c r="D130" s="44" t="n"/>
      <c r="E130" s="44" t="n"/>
      <c r="F130" s="44" t="n"/>
      <c r="G130" s="44" t="n"/>
      <c r="H130" s="44" t="n"/>
      <c r="I130" s="44" t="n"/>
    </row>
    <row r="131" ht="15" customHeight="1" s="28">
      <c r="A131" s="45" t="n"/>
      <c r="B131" s="44" t="n"/>
      <c r="C131" s="44" t="n"/>
      <c r="D131" s="44" t="n"/>
      <c r="E131" s="44" t="n"/>
      <c r="F131" s="44" t="n"/>
      <c r="G131" s="44" t="n"/>
      <c r="H131" s="44" t="n"/>
      <c r="I131" s="44" t="n"/>
    </row>
    <row r="132" ht="15" customHeight="1" s="28">
      <c r="A132" s="45" t="n"/>
      <c r="B132" s="44" t="n"/>
      <c r="C132" s="44" t="n"/>
      <c r="D132" s="44" t="n"/>
      <c r="E132" s="44" t="n"/>
      <c r="F132" s="44" t="n"/>
      <c r="G132" s="44" t="n"/>
      <c r="H132" s="44" t="n"/>
      <c r="I132" s="44" t="n"/>
    </row>
    <row r="133" ht="15" customHeight="1" s="28">
      <c r="A133" s="45" t="n"/>
      <c r="B133" s="44" t="n"/>
      <c r="C133" s="44" t="n"/>
      <c r="D133" s="44" t="n"/>
      <c r="E133" s="44" t="n"/>
      <c r="F133" s="44" t="n"/>
      <c r="G133" s="44" t="n"/>
      <c r="H133" s="44" t="n"/>
      <c r="I133" s="44" t="n"/>
    </row>
    <row r="134" ht="15" customHeight="1" s="28">
      <c r="A134" s="45" t="n"/>
      <c r="B134" s="44" t="n"/>
      <c r="C134" s="44" t="n"/>
      <c r="D134" s="44" t="n"/>
      <c r="E134" s="44" t="n"/>
      <c r="F134" s="44" t="n"/>
      <c r="G134" s="44" t="n"/>
      <c r="H134" s="44" t="n"/>
      <c r="I134" s="44" t="n"/>
    </row>
    <row r="135" ht="15" customHeight="1" s="28">
      <c r="A135" s="45" t="n"/>
      <c r="B135" s="44" t="n"/>
      <c r="C135" s="44" t="n"/>
      <c r="D135" s="44" t="n"/>
      <c r="E135" s="44" t="n"/>
      <c r="F135" s="44" t="n"/>
      <c r="G135" s="44" t="n"/>
      <c r="H135" s="44" t="n"/>
      <c r="I135" s="44" t="n"/>
    </row>
    <row r="136" ht="15" customHeight="1" s="28">
      <c r="A136" s="45" t="n"/>
      <c r="B136" s="44" t="n"/>
      <c r="C136" s="44" t="n"/>
      <c r="D136" s="44" t="n"/>
      <c r="E136" s="44" t="n"/>
      <c r="F136" s="44" t="n"/>
      <c r="G136" s="44" t="n"/>
      <c r="H136" s="44" t="n"/>
      <c r="I136" s="44" t="n"/>
    </row>
    <row r="137" ht="15" customHeight="1" s="28">
      <c r="A137" s="45" t="n"/>
      <c r="B137" s="44" t="n"/>
      <c r="C137" s="44" t="n"/>
      <c r="D137" s="44" t="n"/>
      <c r="E137" s="44" t="n"/>
      <c r="F137" s="44" t="n"/>
      <c r="G137" s="44" t="n"/>
      <c r="H137" s="44" t="n"/>
      <c r="I137" s="44" t="n"/>
    </row>
    <row r="138" ht="15" customHeight="1" s="28">
      <c r="A138" s="45" t="n"/>
      <c r="B138" s="44" t="n"/>
      <c r="C138" s="44" t="n"/>
      <c r="D138" s="44" t="n"/>
      <c r="E138" s="44" t="n"/>
      <c r="F138" s="44" t="n"/>
      <c r="G138" s="44" t="n"/>
      <c r="H138" s="44" t="n"/>
      <c r="I138" s="44" t="n"/>
    </row>
    <row r="139" ht="15" customHeight="1" s="28">
      <c r="A139" s="45" t="n"/>
      <c r="B139" s="44" t="n"/>
      <c r="C139" s="44" t="n"/>
      <c r="D139" s="44" t="n"/>
      <c r="E139" s="44" t="n"/>
      <c r="F139" s="44" t="n"/>
      <c r="G139" s="44" t="n"/>
      <c r="H139" s="44" t="n"/>
      <c r="I139" s="44" t="n"/>
    </row>
    <row r="140" ht="15" customHeight="1" s="28">
      <c r="A140" s="45" t="n"/>
      <c r="B140" s="44" t="n"/>
      <c r="C140" s="44" t="n"/>
      <c r="D140" s="44" t="n"/>
      <c r="E140" s="44" t="n"/>
      <c r="F140" s="44" t="n"/>
      <c r="G140" s="44" t="n"/>
      <c r="H140" s="44" t="n"/>
      <c r="I140" s="44" t="n"/>
    </row>
    <row r="141" ht="15" customHeight="1" s="28">
      <c r="A141" s="45" t="n"/>
      <c r="B141" s="44" t="n"/>
      <c r="C141" s="44" t="n"/>
      <c r="D141" s="44" t="n"/>
      <c r="E141" s="44" t="n"/>
      <c r="F141" s="44" t="n"/>
      <c r="G141" s="44" t="n"/>
      <c r="H141" s="44" t="n"/>
      <c r="I141" s="44" t="n"/>
    </row>
    <row r="142" ht="15" customHeight="1" s="28">
      <c r="A142" s="45" t="n"/>
      <c r="B142" s="44" t="n"/>
      <c r="C142" s="44" t="n"/>
      <c r="D142" s="44" t="n"/>
      <c r="E142" s="44" t="n"/>
      <c r="F142" s="44" t="n"/>
      <c r="G142" s="44" t="n"/>
      <c r="H142" s="44" t="n"/>
      <c r="I142" s="44" t="n"/>
    </row>
    <row r="143" ht="15" customHeight="1" s="28">
      <c r="A143" s="45" t="n"/>
      <c r="B143" s="44" t="n"/>
      <c r="C143" s="44" t="n"/>
      <c r="D143" s="44" t="n"/>
      <c r="E143" s="44" t="n"/>
      <c r="F143" s="44" t="n"/>
      <c r="G143" s="44" t="n"/>
      <c r="H143" s="44" t="n"/>
      <c r="I143" s="44" t="n"/>
    </row>
    <row r="144" ht="15" customHeight="1" s="28">
      <c r="A144" s="45" t="n"/>
      <c r="B144" s="44" t="n"/>
      <c r="C144" s="44" t="n"/>
      <c r="D144" s="44" t="n"/>
      <c r="E144" s="44" t="n"/>
      <c r="F144" s="44" t="n"/>
      <c r="G144" s="44" t="n"/>
      <c r="H144" s="44" t="n"/>
      <c r="I144" s="44" t="n"/>
    </row>
    <row r="145" ht="15" customHeight="1" s="28">
      <c r="A145" s="45" t="n"/>
      <c r="B145" s="44" t="n"/>
      <c r="C145" s="44" t="n"/>
      <c r="D145" s="44" t="n"/>
      <c r="E145" s="44" t="n"/>
      <c r="F145" s="44" t="n"/>
      <c r="G145" s="44" t="n"/>
      <c r="H145" s="44" t="n"/>
      <c r="I145" s="44" t="n"/>
    </row>
    <row r="146" ht="15" customHeight="1" s="28">
      <c r="A146" s="45" t="n"/>
      <c r="B146" s="44" t="n"/>
      <c r="C146" s="44" t="n"/>
      <c r="D146" s="44" t="n"/>
      <c r="E146" s="44" t="n"/>
      <c r="F146" s="44" t="n"/>
      <c r="G146" s="44" t="n"/>
      <c r="H146" s="44" t="n"/>
      <c r="I146" s="44" t="n"/>
    </row>
    <row r="147" ht="15" customHeight="1" s="28">
      <c r="A147" s="45" t="n"/>
      <c r="B147" s="44" t="n"/>
      <c r="C147" s="44" t="n"/>
      <c r="D147" s="44" t="n"/>
      <c r="E147" s="44" t="n"/>
      <c r="F147" s="44" t="n"/>
      <c r="G147" s="44" t="n"/>
      <c r="H147" s="44" t="n"/>
      <c r="I147" s="44" t="n"/>
    </row>
    <row r="148" ht="15" customHeight="1" s="28">
      <c r="A148" s="45" t="n"/>
      <c r="B148" s="44" t="n"/>
      <c r="C148" s="44" t="n"/>
      <c r="D148" s="44" t="n"/>
      <c r="E148" s="44" t="n"/>
      <c r="F148" s="44" t="n"/>
      <c r="G148" s="44" t="n"/>
      <c r="H148" s="44" t="n"/>
      <c r="I148" s="44" t="n"/>
    </row>
    <row r="149" ht="15" customHeight="1" s="28">
      <c r="A149" s="45" t="n"/>
      <c r="B149" s="44" t="n"/>
      <c r="C149" s="44" t="n"/>
      <c r="D149" s="44" t="n"/>
      <c r="E149" s="44" t="n"/>
      <c r="F149" s="44" t="n"/>
      <c r="G149" s="44" t="n"/>
      <c r="H149" s="44" t="n"/>
      <c r="I149" s="44" t="n"/>
    </row>
    <row r="150" ht="15" customHeight="1" s="28">
      <c r="A150" s="45" t="n"/>
      <c r="B150" s="44" t="n"/>
      <c r="C150" s="44" t="n"/>
      <c r="D150" s="44" t="n"/>
      <c r="E150" s="44" t="n"/>
      <c r="F150" s="44" t="n"/>
      <c r="G150" s="44" t="n"/>
      <c r="H150" s="44" t="n"/>
      <c r="I150" s="44" t="n"/>
    </row>
    <row r="151" ht="15" customHeight="1" s="28">
      <c r="A151" s="45" t="n"/>
      <c r="B151" s="44" t="n"/>
      <c r="C151" s="44" t="n"/>
      <c r="D151" s="44" t="n"/>
      <c r="E151" s="44" t="n"/>
      <c r="F151" s="44" t="n"/>
      <c r="G151" s="44" t="n"/>
      <c r="H151" s="44" t="n"/>
      <c r="I151" s="44" t="n"/>
    </row>
    <row r="152" ht="15" customHeight="1" s="28">
      <c r="A152" s="45" t="n"/>
      <c r="B152" s="44" t="n"/>
      <c r="C152" s="44" t="n"/>
      <c r="D152" s="44" t="n"/>
      <c r="E152" s="44" t="n"/>
      <c r="F152" s="44" t="n"/>
      <c r="G152" s="44" t="n"/>
      <c r="H152" s="44" t="n"/>
      <c r="I152" s="44" t="n"/>
    </row>
    <row r="153" ht="15" customHeight="1" s="28">
      <c r="A153" s="45" t="n"/>
      <c r="B153" s="44" t="n"/>
      <c r="C153" s="44" t="n"/>
      <c r="D153" s="44" t="n"/>
      <c r="E153" s="44" t="n"/>
      <c r="F153" s="44" t="n"/>
      <c r="G153" s="44" t="n"/>
      <c r="H153" s="44" t="n"/>
      <c r="I153" s="44" t="n"/>
    </row>
    <row r="154" ht="15" customHeight="1" s="28">
      <c r="A154" s="45" t="n"/>
      <c r="B154" s="44" t="n"/>
      <c r="C154" s="44" t="n"/>
      <c r="D154" s="44" t="n"/>
      <c r="E154" s="44" t="n"/>
      <c r="F154" s="44" t="n"/>
      <c r="G154" s="44" t="n"/>
      <c r="H154" s="44" t="n"/>
      <c r="I154" s="44" t="n"/>
    </row>
    <row r="155" ht="15" customHeight="1" s="28">
      <c r="A155" s="45" t="n"/>
      <c r="B155" s="44" t="n"/>
      <c r="C155" s="44" t="n"/>
      <c r="D155" s="44" t="n"/>
      <c r="E155" s="44" t="n"/>
      <c r="F155" s="44" t="n"/>
      <c r="G155" s="44" t="n"/>
      <c r="H155" s="44" t="n"/>
      <c r="I155" s="44" t="n"/>
    </row>
    <row r="156" ht="15" customHeight="1" s="28">
      <c r="A156" s="45" t="n"/>
      <c r="B156" s="44" t="n"/>
      <c r="C156" s="44" t="n"/>
      <c r="D156" s="44" t="n"/>
      <c r="E156" s="44" t="n"/>
      <c r="F156" s="44" t="n"/>
      <c r="G156" s="44" t="n"/>
      <c r="H156" s="44" t="n"/>
      <c r="I156" s="44" t="n"/>
    </row>
    <row r="157" ht="15" customHeight="1" s="28">
      <c r="A157" s="45" t="n"/>
      <c r="B157" s="44" t="n"/>
      <c r="C157" s="44" t="n"/>
      <c r="D157" s="44" t="n"/>
      <c r="E157" s="44" t="n"/>
      <c r="F157" s="44" t="n"/>
      <c r="G157" s="44" t="n"/>
      <c r="H157" s="44" t="n"/>
      <c r="I157" s="44" t="n"/>
    </row>
    <row r="158" ht="15" customHeight="1" s="28">
      <c r="A158" s="45" t="n"/>
      <c r="B158" s="44" t="n"/>
      <c r="C158" s="44" t="n"/>
      <c r="D158" s="44" t="n"/>
      <c r="E158" s="44" t="n"/>
      <c r="F158" s="44" t="n"/>
      <c r="G158" s="44" t="n"/>
      <c r="H158" s="44" t="n"/>
      <c r="I158" s="44" t="n"/>
    </row>
    <row r="159" ht="15" customHeight="1" s="28">
      <c r="A159" s="45" t="n"/>
      <c r="B159" s="44" t="n"/>
      <c r="C159" s="44" t="n"/>
      <c r="D159" s="44" t="n"/>
      <c r="E159" s="44" t="n"/>
      <c r="F159" s="44" t="n"/>
      <c r="G159" s="44" t="n"/>
      <c r="H159" s="44" t="n"/>
      <c r="I159" s="44" t="n"/>
    </row>
    <row r="160" ht="15" customHeight="1" s="28">
      <c r="A160" s="45" t="n"/>
      <c r="B160" s="44" t="n"/>
      <c r="C160" s="44" t="n"/>
      <c r="D160" s="44" t="n"/>
      <c r="E160" s="44" t="n"/>
      <c r="F160" s="44" t="n"/>
      <c r="G160" s="44" t="n"/>
      <c r="H160" s="44" t="n"/>
      <c r="I160" s="44" t="n"/>
    </row>
    <row r="161" ht="15" customHeight="1" s="28">
      <c r="A161" s="45" t="n"/>
      <c r="B161" s="44" t="n"/>
      <c r="C161" s="44" t="n"/>
      <c r="D161" s="44" t="n"/>
      <c r="E161" s="44" t="n"/>
      <c r="F161" s="44" t="n"/>
      <c r="G161" s="44" t="n"/>
      <c r="H161" s="44" t="n"/>
      <c r="I161" s="44" t="n"/>
    </row>
    <row r="162" ht="15" customHeight="1" s="28">
      <c r="A162" s="45" t="n"/>
      <c r="B162" s="44" t="n"/>
      <c r="C162" s="44" t="n"/>
      <c r="D162" s="44" t="n"/>
      <c r="E162" s="44" t="n"/>
      <c r="F162" s="44" t="n"/>
      <c r="G162" s="44" t="n"/>
      <c r="H162" s="44" t="n"/>
      <c r="I162" s="44" t="n"/>
    </row>
    <row r="163" ht="15" customHeight="1" s="28">
      <c r="A163" s="45" t="n"/>
      <c r="B163" s="44" t="n"/>
      <c r="C163" s="44" t="n"/>
      <c r="D163" s="44" t="n"/>
      <c r="E163" s="44" t="n"/>
      <c r="F163" s="44" t="n"/>
      <c r="G163" s="44" t="n"/>
      <c r="H163" s="44" t="n"/>
      <c r="I163" s="44" t="n"/>
    </row>
    <row r="164" ht="15" customHeight="1" s="28">
      <c r="A164" s="45" t="n"/>
      <c r="B164" s="44" t="n"/>
      <c r="C164" s="44" t="n"/>
      <c r="D164" s="44" t="n"/>
      <c r="E164" s="44" t="n"/>
      <c r="F164" s="44" t="n"/>
      <c r="G164" s="44" t="n"/>
      <c r="H164" s="44" t="n"/>
      <c r="I164" s="44" t="n"/>
    </row>
    <row r="165" ht="15" customHeight="1" s="28">
      <c r="A165" s="45" t="n"/>
      <c r="B165" s="44" t="n"/>
      <c r="C165" s="44" t="n"/>
      <c r="D165" s="44" t="n"/>
      <c r="E165" s="44" t="n"/>
      <c r="F165" s="44" t="n"/>
      <c r="G165" s="44" t="n"/>
      <c r="H165" s="44" t="n"/>
      <c r="I165" s="44" t="n"/>
    </row>
    <row r="166" ht="15" customHeight="1" s="28">
      <c r="A166" s="45" t="n"/>
      <c r="B166" s="44" t="n"/>
      <c r="C166" s="44" t="n"/>
      <c r="D166" s="44" t="n"/>
      <c r="E166" s="44" t="n"/>
      <c r="F166" s="44" t="n"/>
      <c r="G166" s="44" t="n"/>
      <c r="H166" s="44" t="n"/>
      <c r="I166" s="44" t="n"/>
    </row>
    <row r="167" ht="15" customHeight="1" s="28">
      <c r="A167" s="45" t="n"/>
      <c r="B167" s="44" t="n"/>
      <c r="C167" s="44" t="n"/>
      <c r="D167" s="44" t="n"/>
      <c r="E167" s="44" t="n"/>
      <c r="F167" s="44" t="n"/>
      <c r="G167" s="44" t="n"/>
      <c r="H167" s="44" t="n"/>
      <c r="I167" s="44" t="n"/>
    </row>
    <row r="168" ht="15" customHeight="1" s="28">
      <c r="A168" s="45" t="n"/>
      <c r="B168" s="44" t="n"/>
      <c r="C168" s="44" t="n"/>
      <c r="D168" s="44" t="n"/>
      <c r="E168" s="44" t="n"/>
      <c r="F168" s="44" t="n"/>
      <c r="G168" s="44" t="n"/>
      <c r="H168" s="44" t="n"/>
      <c r="I168" s="44" t="n"/>
    </row>
    <row r="169" ht="15" customHeight="1" s="28">
      <c r="A169" s="45" t="n"/>
      <c r="B169" s="44" t="n"/>
      <c r="C169" s="44" t="n"/>
      <c r="D169" s="44" t="n"/>
      <c r="E169" s="44" t="n"/>
      <c r="F169" s="44" t="n"/>
      <c r="G169" s="44" t="n"/>
      <c r="H169" s="44" t="n"/>
      <c r="I169" s="44" t="n"/>
    </row>
    <row r="170" ht="15" customHeight="1" s="28">
      <c r="A170" s="45" t="n"/>
      <c r="B170" s="44" t="n"/>
      <c r="C170" s="44" t="n"/>
      <c r="D170" s="44" t="n"/>
      <c r="E170" s="44" t="n"/>
      <c r="F170" s="44" t="n"/>
      <c r="G170" s="44" t="n"/>
      <c r="H170" s="44" t="n"/>
      <c r="I170" s="44" t="n"/>
    </row>
    <row r="171" ht="15" customHeight="1" s="28">
      <c r="A171" s="45" t="n"/>
      <c r="B171" s="44" t="n"/>
      <c r="C171" s="44" t="n"/>
      <c r="D171" s="44" t="n"/>
      <c r="E171" s="44" t="n"/>
      <c r="F171" s="44" t="n"/>
      <c r="G171" s="44" t="n"/>
      <c r="H171" s="44" t="n"/>
      <c r="I171" s="44" t="n"/>
    </row>
    <row r="172" ht="15" customHeight="1" s="28">
      <c r="A172" s="45" t="n"/>
      <c r="B172" s="44" t="n"/>
      <c r="C172" s="44" t="n"/>
      <c r="D172" s="44" t="n"/>
      <c r="E172" s="44" t="n"/>
      <c r="F172" s="44" t="n"/>
      <c r="G172" s="44" t="n"/>
      <c r="H172" s="44" t="n"/>
      <c r="I172" s="44" t="n"/>
    </row>
    <row r="173" ht="15" customHeight="1" s="28">
      <c r="A173" s="45" t="n"/>
      <c r="B173" s="44" t="n"/>
      <c r="C173" s="44" t="n"/>
      <c r="D173" s="44" t="n"/>
      <c r="E173" s="44" t="n"/>
      <c r="F173" s="44" t="n"/>
      <c r="G173" s="44" t="n"/>
      <c r="H173" s="44" t="n"/>
      <c r="I173" s="44" t="n"/>
    </row>
    <row r="174" ht="15" customHeight="1" s="28">
      <c r="A174" s="45" t="n"/>
      <c r="B174" s="44" t="n"/>
      <c r="C174" s="44" t="n"/>
      <c r="D174" s="44" t="n"/>
      <c r="E174" s="44" t="n"/>
      <c r="F174" s="44" t="n"/>
      <c r="G174" s="44" t="n"/>
      <c r="H174" s="44" t="n"/>
      <c r="I174" s="44" t="n"/>
    </row>
    <row r="175" ht="15" customHeight="1" s="28">
      <c r="A175" s="45" t="n"/>
      <c r="B175" s="44" t="n"/>
      <c r="C175" s="44" t="n"/>
      <c r="D175" s="44" t="n"/>
      <c r="E175" s="44" t="n"/>
      <c r="F175" s="44" t="n"/>
      <c r="G175" s="44" t="n"/>
      <c r="H175" s="44" t="n"/>
      <c r="I175" s="44" t="n"/>
    </row>
    <row r="176" ht="15" customHeight="1" s="28">
      <c r="A176" s="45" t="n"/>
      <c r="B176" s="44" t="n"/>
      <c r="C176" s="44" t="n"/>
      <c r="D176" s="44" t="n"/>
      <c r="E176" s="44" t="n"/>
      <c r="F176" s="44" t="n"/>
      <c r="G176" s="44" t="n"/>
      <c r="H176" s="44" t="n"/>
      <c r="I176" s="44" t="n"/>
    </row>
    <row r="177" ht="15" customHeight="1" s="28">
      <c r="A177" s="45" t="n"/>
      <c r="B177" s="44" t="n"/>
      <c r="C177" s="44" t="n"/>
      <c r="D177" s="44" t="n"/>
      <c r="E177" s="44" t="n"/>
      <c r="F177" s="44" t="n"/>
      <c r="G177" s="44" t="n"/>
      <c r="H177" s="44" t="n"/>
      <c r="I177" s="44" t="n"/>
    </row>
    <row r="178" ht="15" customHeight="1" s="28">
      <c r="A178" s="45" t="n"/>
      <c r="B178" s="44" t="n"/>
      <c r="C178" s="44" t="n"/>
      <c r="D178" s="44" t="n"/>
      <c r="E178" s="44" t="n"/>
      <c r="F178" s="44" t="n"/>
      <c r="G178" s="44" t="n"/>
      <c r="H178" s="44" t="n"/>
      <c r="I178" s="44" t="n"/>
    </row>
    <row r="179" ht="15" customHeight="1" s="28">
      <c r="A179" s="45" t="n"/>
      <c r="B179" s="44" t="n"/>
      <c r="C179" s="44" t="n"/>
      <c r="D179" s="44" t="n"/>
      <c r="E179" s="44" t="n"/>
      <c r="F179" s="44" t="n"/>
      <c r="G179" s="44" t="n"/>
      <c r="H179" s="44" t="n"/>
      <c r="I179" s="44" t="n"/>
    </row>
    <row r="180" ht="15" customHeight="1" s="28">
      <c r="A180" s="45" t="n"/>
      <c r="B180" s="44" t="n"/>
      <c r="C180" s="44" t="n"/>
      <c r="D180" s="44" t="n"/>
      <c r="E180" s="44" t="n"/>
      <c r="F180" s="44" t="n"/>
      <c r="G180" s="44" t="n"/>
      <c r="H180" s="44" t="n"/>
      <c r="I180" s="44" t="n"/>
    </row>
    <row r="181" ht="15" customHeight="1" s="28">
      <c r="A181" s="45" t="n"/>
      <c r="B181" s="44" t="n"/>
      <c r="C181" s="44" t="n"/>
      <c r="D181" s="44" t="n"/>
      <c r="E181" s="44" t="n"/>
      <c r="F181" s="44" t="n"/>
      <c r="G181" s="44" t="n"/>
      <c r="H181" s="44" t="n"/>
      <c r="I181" s="44" t="n"/>
    </row>
    <row r="182" ht="15" customHeight="1" s="28">
      <c r="A182" s="45" t="n"/>
      <c r="B182" s="44" t="n"/>
      <c r="C182" s="44" t="n"/>
      <c r="D182" s="44" t="n"/>
      <c r="E182" s="44" t="n"/>
      <c r="F182" s="44" t="n"/>
      <c r="G182" s="44" t="n"/>
      <c r="H182" s="44" t="n"/>
      <c r="I182" s="44" t="n"/>
    </row>
    <row r="183" ht="15" customHeight="1" s="28">
      <c r="A183" s="45" t="n"/>
      <c r="B183" s="44" t="n"/>
      <c r="C183" s="44" t="n"/>
      <c r="D183" s="44" t="n"/>
      <c r="E183" s="44" t="n"/>
      <c r="F183" s="44" t="n"/>
      <c r="G183" s="44" t="n"/>
      <c r="H183" s="44" t="n"/>
      <c r="I183" s="44" t="n"/>
    </row>
    <row r="184" ht="15" customHeight="1" s="28">
      <c r="A184" s="45" t="n"/>
      <c r="B184" s="44" t="n"/>
      <c r="C184" s="44" t="n"/>
      <c r="D184" s="44" t="n"/>
      <c r="E184" s="44" t="n"/>
      <c r="F184" s="44" t="n"/>
      <c r="G184" s="44" t="n"/>
      <c r="H184" s="44" t="n"/>
      <c r="I184" s="44" t="n"/>
    </row>
    <row r="185" ht="15" customHeight="1" s="28">
      <c r="A185" s="45" t="n"/>
      <c r="B185" s="44" t="n"/>
      <c r="C185" s="44" t="n"/>
      <c r="D185" s="44" t="n"/>
      <c r="E185" s="44" t="n"/>
      <c r="F185" s="44" t="n"/>
      <c r="G185" s="44" t="n"/>
      <c r="H185" s="44" t="n"/>
      <c r="I185" s="44" t="n"/>
    </row>
    <row r="186" ht="15" customHeight="1" s="28">
      <c r="A186" s="45" t="n"/>
      <c r="B186" s="44" t="n"/>
      <c r="C186" s="44" t="n"/>
      <c r="D186" s="44" t="n"/>
      <c r="E186" s="44" t="n"/>
      <c r="F186" s="44" t="n"/>
      <c r="G186" s="44" t="n"/>
      <c r="H186" s="44" t="n"/>
      <c r="I186" s="44" t="n"/>
    </row>
    <row r="187" ht="15" customHeight="1" s="28">
      <c r="A187" s="45" t="n"/>
      <c r="B187" s="44" t="n"/>
      <c r="C187" s="44" t="n"/>
      <c r="D187" s="44" t="n"/>
      <c r="E187" s="44" t="n"/>
      <c r="F187" s="44" t="n"/>
      <c r="G187" s="44" t="n"/>
      <c r="H187" s="44" t="n"/>
      <c r="I187" s="44" t="n"/>
    </row>
    <row r="188" ht="15" customHeight="1" s="28">
      <c r="A188" s="45" t="n"/>
      <c r="B188" s="44" t="n"/>
      <c r="C188" s="44" t="n"/>
      <c r="D188" s="44" t="n"/>
      <c r="E188" s="44" t="n"/>
      <c r="F188" s="44" t="n"/>
      <c r="G188" s="44" t="n"/>
      <c r="H188" s="44" t="n"/>
      <c r="I188" s="44" t="n"/>
    </row>
    <row r="189" ht="15" customHeight="1" s="28">
      <c r="A189" s="45" t="n"/>
      <c r="B189" s="44" t="n"/>
      <c r="C189" s="44" t="n"/>
      <c r="D189" s="44" t="n"/>
      <c r="E189" s="44" t="n"/>
      <c r="F189" s="44" t="n"/>
      <c r="G189" s="44" t="n"/>
      <c r="H189" s="44" t="n"/>
      <c r="I189" s="44" t="n"/>
    </row>
    <row r="190" ht="15" customHeight="1" s="28">
      <c r="A190" s="45" t="n"/>
      <c r="B190" s="44" t="n"/>
      <c r="C190" s="44" t="n"/>
      <c r="D190" s="44" t="n"/>
      <c r="E190" s="44" t="n"/>
      <c r="F190" s="44" t="n"/>
      <c r="G190" s="44" t="n"/>
      <c r="H190" s="44" t="n"/>
      <c r="I190" s="44" t="n"/>
    </row>
    <row r="191" ht="15" customHeight="1" s="28">
      <c r="A191" s="45" t="n"/>
      <c r="B191" s="44" t="n"/>
      <c r="C191" s="44" t="n"/>
      <c r="D191" s="44" t="n"/>
      <c r="E191" s="44" t="n"/>
      <c r="F191" s="44" t="n"/>
      <c r="G191" s="44" t="n"/>
      <c r="H191" s="44" t="n"/>
      <c r="I191" s="44" t="n"/>
    </row>
    <row r="192" ht="15" customHeight="1" s="28">
      <c r="A192" s="45" t="n"/>
      <c r="B192" s="44" t="n"/>
      <c r="C192" s="44" t="n"/>
      <c r="D192" s="44" t="n"/>
      <c r="E192" s="44" t="n"/>
      <c r="F192" s="44" t="n"/>
      <c r="G192" s="44" t="n"/>
      <c r="H192" s="44" t="n"/>
      <c r="I192" s="44" t="n"/>
    </row>
    <row r="193" ht="15" customHeight="1" s="28">
      <c r="A193" s="45" t="n"/>
      <c r="B193" s="44" t="n"/>
      <c r="C193" s="44" t="n"/>
      <c r="D193" s="44" t="n"/>
      <c r="E193" s="44" t="n"/>
      <c r="F193" s="44" t="n"/>
      <c r="G193" s="44" t="n"/>
      <c r="H193" s="44" t="n"/>
      <c r="I193" s="44" t="n"/>
    </row>
    <row r="194" ht="15" customHeight="1" s="28">
      <c r="A194" s="45" t="n"/>
      <c r="B194" s="44" t="n"/>
      <c r="C194" s="44" t="n"/>
      <c r="D194" s="44" t="n"/>
      <c r="E194" s="44" t="n"/>
      <c r="F194" s="44" t="n"/>
      <c r="G194" s="44" t="n"/>
      <c r="H194" s="44" t="n"/>
      <c r="I194" s="44" t="n"/>
    </row>
    <row r="195" ht="15" customHeight="1" s="28">
      <c r="A195" s="45" t="n"/>
      <c r="B195" s="44" t="n"/>
      <c r="C195" s="44" t="n"/>
      <c r="D195" s="44" t="n"/>
      <c r="E195" s="44" t="n"/>
      <c r="F195" s="44" t="n"/>
      <c r="G195" s="44" t="n"/>
      <c r="H195" s="44" t="n"/>
      <c r="I195" s="44" t="n"/>
    </row>
    <row r="196" ht="15" customHeight="1" s="28">
      <c r="A196" s="45" t="n"/>
      <c r="B196" s="44" t="n"/>
      <c r="C196" s="44" t="n"/>
      <c r="D196" s="44" t="n"/>
      <c r="E196" s="44" t="n"/>
      <c r="F196" s="44" t="n"/>
      <c r="G196" s="44" t="n"/>
      <c r="H196" s="44" t="n"/>
      <c r="I196" s="44" t="n"/>
    </row>
    <row r="197" ht="15" customHeight="1" s="28">
      <c r="A197" s="45" t="n"/>
      <c r="B197" s="44" t="n"/>
      <c r="C197" s="44" t="n"/>
      <c r="D197" s="44" t="n"/>
      <c r="E197" s="44" t="n"/>
      <c r="F197" s="44" t="n"/>
      <c r="G197" s="44" t="n"/>
      <c r="H197" s="44" t="n"/>
      <c r="I197" s="44" t="n"/>
    </row>
    <row r="198" ht="15" customHeight="1" s="28">
      <c r="A198" s="45" t="n"/>
      <c r="B198" s="44" t="n"/>
      <c r="C198" s="44" t="n"/>
      <c r="D198" s="44" t="n"/>
      <c r="E198" s="44" t="n"/>
      <c r="F198" s="44" t="n"/>
      <c r="G198" s="44" t="n"/>
      <c r="H198" s="44" t="n"/>
      <c r="I198" s="44" t="n"/>
    </row>
    <row r="199" ht="15" customHeight="1" s="28">
      <c r="A199" s="45" t="n"/>
      <c r="B199" s="44" t="n"/>
      <c r="C199" s="44" t="n"/>
      <c r="D199" s="44" t="n"/>
      <c r="E199" s="44" t="n"/>
      <c r="F199" s="44" t="n"/>
      <c r="G199" s="44" t="n"/>
      <c r="H199" s="44" t="n"/>
      <c r="I199" s="44" t="n"/>
    </row>
    <row r="200" ht="15" customHeight="1" s="28">
      <c r="A200" s="45" t="n"/>
      <c r="B200" s="44" t="n"/>
      <c r="C200" s="44" t="n"/>
      <c r="D200" s="44" t="n"/>
      <c r="E200" s="44" t="n"/>
      <c r="F200" s="44" t="n"/>
      <c r="G200" s="44" t="n"/>
      <c r="H200" s="44" t="n"/>
      <c r="I200" s="44" t="n"/>
    </row>
    <row r="201" ht="15" customHeight="1" s="28">
      <c r="A201" s="45" t="n"/>
      <c r="B201" s="44" t="n"/>
      <c r="C201" s="44" t="n"/>
      <c r="D201" s="44" t="n"/>
      <c r="E201" s="44" t="n"/>
      <c r="F201" s="44" t="n"/>
      <c r="G201" s="44" t="n"/>
      <c r="H201" s="44" t="n"/>
      <c r="I201" s="44" t="n"/>
    </row>
    <row r="202" ht="15" customHeight="1" s="28">
      <c r="A202" s="45" t="n"/>
      <c r="B202" s="44" t="n"/>
      <c r="C202" s="44" t="n"/>
      <c r="D202" s="44" t="n"/>
      <c r="E202" s="44" t="n"/>
      <c r="F202" s="44" t="n"/>
      <c r="G202" s="44" t="n"/>
      <c r="H202" s="44" t="n"/>
      <c r="I202" s="44" t="n"/>
    </row>
    <row r="203" ht="15" customHeight="1" s="28">
      <c r="A203" s="45" t="n"/>
      <c r="B203" s="44" t="n"/>
      <c r="C203" s="44" t="n"/>
      <c r="D203" s="44" t="n"/>
      <c r="E203" s="44" t="n"/>
      <c r="F203" s="44" t="n"/>
      <c r="G203" s="44" t="n"/>
      <c r="H203" s="44" t="n"/>
      <c r="I203" s="44" t="n"/>
    </row>
    <row r="204" ht="15" customHeight="1" s="28">
      <c r="A204" s="45" t="n"/>
      <c r="B204" s="44" t="n"/>
      <c r="C204" s="44" t="n"/>
      <c r="D204" s="44" t="n"/>
      <c r="E204" s="44" t="n"/>
      <c r="F204" s="44" t="n"/>
      <c r="G204" s="44" t="n"/>
      <c r="H204" s="44" t="n"/>
      <c r="I204" s="44" t="n"/>
    </row>
    <row r="205" ht="15" customHeight="1" s="28">
      <c r="A205" s="45" t="n"/>
      <c r="B205" s="44" t="n"/>
      <c r="C205" s="44" t="n"/>
      <c r="D205" s="44" t="n"/>
      <c r="E205" s="44" t="n"/>
      <c r="F205" s="44" t="n"/>
      <c r="G205" s="44" t="n"/>
      <c r="H205" s="44" t="n"/>
      <c r="I205" s="44" t="n"/>
    </row>
    <row r="206" ht="15" customHeight="1" s="28">
      <c r="A206" s="45" t="n"/>
      <c r="B206" s="44" t="n"/>
      <c r="C206" s="44" t="n"/>
      <c r="D206" s="44" t="n"/>
      <c r="E206" s="44" t="n"/>
      <c r="F206" s="44" t="n"/>
      <c r="G206" s="44" t="n"/>
      <c r="H206" s="44" t="n"/>
      <c r="I206" s="44" t="n"/>
    </row>
    <row r="207" ht="15" customHeight="1" s="28">
      <c r="A207" s="45" t="n"/>
      <c r="B207" s="44" t="n"/>
      <c r="C207" s="44" t="n"/>
      <c r="D207" s="44" t="n"/>
      <c r="E207" s="44" t="n"/>
      <c r="F207" s="44" t="n"/>
      <c r="G207" s="44" t="n"/>
      <c r="H207" s="44" t="n"/>
      <c r="I207" s="44" t="n"/>
    </row>
    <row r="208" ht="15" customHeight="1" s="28">
      <c r="A208" s="45" t="n"/>
      <c r="B208" s="44" t="n"/>
      <c r="C208" s="44" t="n"/>
      <c r="D208" s="44" t="n"/>
      <c r="E208" s="44" t="n"/>
      <c r="F208" s="44" t="n"/>
      <c r="G208" s="44" t="n"/>
      <c r="H208" s="44" t="n"/>
      <c r="I208" s="44" t="n"/>
    </row>
    <row r="209" ht="15" customHeight="1" s="28">
      <c r="A209" s="45" t="n"/>
      <c r="B209" s="44" t="n"/>
      <c r="C209" s="44" t="n"/>
      <c r="D209" s="44" t="n"/>
      <c r="E209" s="44" t="n"/>
      <c r="F209" s="44" t="n"/>
      <c r="G209" s="44" t="n"/>
      <c r="H209" s="44" t="n"/>
      <c r="I209" s="44" t="n"/>
    </row>
    <row r="210" ht="15" customHeight="1" s="28">
      <c r="A210" s="45" t="n"/>
      <c r="B210" s="44" t="n"/>
      <c r="C210" s="44" t="n"/>
      <c r="D210" s="44" t="n"/>
      <c r="E210" s="44" t="n"/>
      <c r="F210" s="44" t="n"/>
      <c r="G210" s="44" t="n"/>
      <c r="H210" s="44" t="n"/>
      <c r="I210" s="44" t="n"/>
    </row>
    <row r="211" ht="15" customHeight="1" s="28">
      <c r="A211" s="45" t="n"/>
      <c r="B211" s="44" t="n"/>
      <c r="C211" s="44" t="n"/>
      <c r="D211" s="44" t="n"/>
      <c r="E211" s="44" t="n"/>
      <c r="F211" s="44" t="n"/>
      <c r="G211" s="44" t="n"/>
      <c r="H211" s="44" t="n"/>
      <c r="I211" s="44" t="n"/>
    </row>
    <row r="212" ht="15" customHeight="1" s="28">
      <c r="A212" s="45" t="n"/>
      <c r="B212" s="44" t="n"/>
      <c r="C212" s="44" t="n"/>
      <c r="D212" s="44" t="n"/>
      <c r="E212" s="44" t="n"/>
      <c r="F212" s="44" t="n"/>
      <c r="G212" s="44" t="n"/>
      <c r="H212" s="44" t="n"/>
      <c r="I212" s="44" t="n"/>
    </row>
    <row r="213" ht="15" customHeight="1" s="28">
      <c r="A213" s="45" t="n"/>
      <c r="B213" s="44" t="n"/>
      <c r="C213" s="44" t="n"/>
      <c r="D213" s="44" t="n"/>
      <c r="E213" s="44" t="n"/>
      <c r="F213" s="44" t="n"/>
      <c r="G213" s="44" t="n"/>
      <c r="H213" s="44" t="n"/>
      <c r="I213" s="44" t="n"/>
    </row>
    <row r="214" ht="15" customHeight="1" s="28">
      <c r="A214" s="45" t="n"/>
      <c r="B214" s="44" t="n"/>
      <c r="C214" s="44" t="n"/>
      <c r="D214" s="44" t="n"/>
      <c r="E214" s="44" t="n"/>
      <c r="F214" s="44" t="n"/>
      <c r="G214" s="44" t="n"/>
      <c r="H214" s="44" t="n"/>
      <c r="I214" s="44" t="n"/>
    </row>
    <row r="215" ht="15" customHeight="1" s="28">
      <c r="A215" s="45" t="n"/>
      <c r="B215" s="44" t="n"/>
      <c r="C215" s="44" t="n"/>
      <c r="D215" s="44" t="n"/>
      <c r="E215" s="44" t="n"/>
      <c r="F215" s="44" t="n"/>
      <c r="G215" s="44" t="n"/>
      <c r="H215" s="44" t="n"/>
      <c r="I215" s="44" t="n"/>
    </row>
    <row r="216" ht="15" customHeight="1" s="28">
      <c r="A216" s="45" t="n"/>
      <c r="B216" s="44" t="n"/>
      <c r="C216" s="44" t="n"/>
      <c r="D216" s="44" t="n"/>
      <c r="E216" s="44" t="n"/>
      <c r="F216" s="44" t="n"/>
      <c r="G216" s="44" t="n"/>
      <c r="H216" s="44" t="n"/>
      <c r="I216" s="44" t="n"/>
    </row>
    <row r="217" ht="15" customHeight="1" s="28">
      <c r="A217" s="45" t="n"/>
      <c r="B217" s="44" t="n"/>
      <c r="C217" s="44" t="n"/>
      <c r="D217" s="44" t="n"/>
      <c r="E217" s="44" t="n"/>
      <c r="F217" s="44" t="n"/>
      <c r="G217" s="44" t="n"/>
      <c r="H217" s="44" t="n"/>
      <c r="I217" s="44" t="n"/>
    </row>
    <row r="218" ht="15" customHeight="1" s="28">
      <c r="A218" s="45" t="n"/>
      <c r="B218" s="44" t="n"/>
      <c r="C218" s="44" t="n"/>
      <c r="D218" s="44" t="n"/>
      <c r="E218" s="44" t="n"/>
      <c r="F218" s="44" t="n"/>
      <c r="G218" s="44" t="n"/>
      <c r="H218" s="44" t="n"/>
      <c r="I218" s="44" t="n"/>
    </row>
    <row r="219" ht="15" customHeight="1" s="28">
      <c r="A219" s="45" t="n"/>
      <c r="B219" s="44" t="n"/>
      <c r="C219" s="44" t="n"/>
      <c r="D219" s="44" t="n"/>
      <c r="E219" s="44" t="n"/>
      <c r="F219" s="44" t="n"/>
      <c r="G219" s="44" t="n"/>
      <c r="H219" s="44" t="n"/>
      <c r="I219" s="44" t="n"/>
    </row>
    <row r="220" ht="15" customHeight="1" s="28">
      <c r="A220" s="45" t="n"/>
      <c r="B220" s="44" t="n"/>
      <c r="C220" s="44" t="n"/>
      <c r="D220" s="44" t="n"/>
      <c r="E220" s="44" t="n"/>
      <c r="F220" s="44" t="n"/>
      <c r="G220" s="44" t="n"/>
      <c r="H220" s="44" t="n"/>
      <c r="I220" s="44" t="n"/>
    </row>
    <row r="221" ht="15" customHeight="1" s="28">
      <c r="A221" s="45" t="n"/>
      <c r="B221" s="44" t="n"/>
      <c r="C221" s="44" t="n"/>
      <c r="D221" s="44" t="n"/>
      <c r="E221" s="44" t="n"/>
      <c r="F221" s="44" t="n"/>
      <c r="G221" s="44" t="n"/>
      <c r="H221" s="44" t="n"/>
      <c r="I221" s="44" t="n"/>
    </row>
    <row r="222" ht="15" customHeight="1" s="28">
      <c r="A222" s="45" t="n"/>
      <c r="B222" s="44" t="n"/>
      <c r="C222" s="44" t="n"/>
      <c r="D222" s="44" t="n"/>
      <c r="E222" s="44" t="n"/>
      <c r="F222" s="44" t="n"/>
      <c r="G222" s="44" t="n"/>
      <c r="H222" s="44" t="n"/>
      <c r="I222" s="44" t="n"/>
    </row>
    <row r="223" ht="15" customHeight="1" s="28">
      <c r="A223" s="45" t="n"/>
      <c r="B223" s="44" t="n"/>
      <c r="C223" s="44" t="n"/>
      <c r="D223" s="44" t="n"/>
      <c r="E223" s="44" t="n"/>
      <c r="F223" s="44" t="n"/>
      <c r="G223" s="44" t="n"/>
      <c r="H223" s="44" t="n"/>
      <c r="I223" s="44" t="n"/>
    </row>
    <row r="224" ht="15" customHeight="1" s="28">
      <c r="A224" s="45" t="n"/>
      <c r="B224" s="44" t="n"/>
      <c r="C224" s="44" t="n"/>
      <c r="D224" s="44" t="n"/>
      <c r="E224" s="44" t="n"/>
      <c r="F224" s="44" t="n"/>
      <c r="G224" s="44" t="n"/>
      <c r="H224" s="44" t="n"/>
      <c r="I224" s="44" t="n"/>
    </row>
    <row r="225" ht="15" customHeight="1" s="28">
      <c r="A225" s="45" t="n"/>
      <c r="B225" s="44" t="n"/>
      <c r="C225" s="44" t="n"/>
      <c r="D225" s="44" t="n"/>
      <c r="E225" s="44" t="n"/>
      <c r="F225" s="44" t="n"/>
      <c r="G225" s="44" t="n"/>
      <c r="H225" s="44" t="n"/>
      <c r="I225" s="44" t="n"/>
    </row>
    <row r="226" ht="15" customHeight="1" s="28">
      <c r="A226" s="45" t="n"/>
      <c r="B226" s="44" t="n"/>
      <c r="C226" s="44" t="n"/>
      <c r="D226" s="44" t="n"/>
      <c r="E226" s="44" t="n"/>
      <c r="F226" s="44" t="n"/>
      <c r="G226" s="44" t="n"/>
      <c r="H226" s="44" t="n"/>
      <c r="I226" s="44" t="n"/>
    </row>
    <row r="227" ht="15" customHeight="1" s="28">
      <c r="A227" s="45" t="n"/>
      <c r="B227" s="44" t="n"/>
      <c r="C227" s="44" t="n"/>
      <c r="D227" s="44" t="n"/>
      <c r="E227" s="44" t="n"/>
      <c r="F227" s="44" t="n"/>
      <c r="G227" s="44" t="n"/>
      <c r="H227" s="44" t="n"/>
      <c r="I227" s="44" t="n"/>
    </row>
    <row r="228" ht="15" customHeight="1" s="28">
      <c r="A228" s="45" t="n"/>
      <c r="B228" s="44" t="n"/>
      <c r="C228" s="44" t="n"/>
      <c r="D228" s="44" t="n"/>
      <c r="E228" s="44" t="n"/>
      <c r="F228" s="44" t="n"/>
      <c r="G228" s="44" t="n"/>
      <c r="H228" s="44" t="n"/>
      <c r="I228" s="44" t="n"/>
    </row>
    <row r="229" ht="15" customHeight="1" s="28">
      <c r="A229" s="45" t="n"/>
      <c r="B229" s="44" t="n"/>
      <c r="C229" s="44" t="n"/>
      <c r="D229" s="44" t="n"/>
      <c r="E229" s="44" t="n"/>
      <c r="F229" s="44" t="n"/>
      <c r="G229" s="44" t="n"/>
      <c r="H229" s="44" t="n"/>
      <c r="I229" s="44" t="n"/>
    </row>
    <row r="230" ht="15" customHeight="1" s="28">
      <c r="A230" s="45" t="n"/>
      <c r="B230" s="44" t="n"/>
      <c r="C230" s="44" t="n"/>
      <c r="D230" s="44" t="n"/>
      <c r="E230" s="44" t="n"/>
      <c r="F230" s="44" t="n"/>
      <c r="G230" s="44" t="n"/>
      <c r="H230" s="44" t="n"/>
      <c r="I230" s="44" t="n"/>
    </row>
    <row r="231" ht="15" customHeight="1" s="28">
      <c r="A231" s="45" t="n"/>
      <c r="B231" s="44" t="n"/>
      <c r="C231" s="44" t="n"/>
      <c r="D231" s="44" t="n"/>
      <c r="E231" s="44" t="n"/>
      <c r="F231" s="44" t="n"/>
      <c r="G231" s="44" t="n"/>
      <c r="H231" s="44" t="n"/>
      <c r="I231" s="44" t="n"/>
    </row>
    <row r="232" ht="15" customHeight="1" s="28">
      <c r="A232" s="45" t="n"/>
      <c r="B232" s="44" t="n"/>
      <c r="C232" s="44" t="n"/>
      <c r="D232" s="44" t="n"/>
      <c r="E232" s="44" t="n"/>
      <c r="F232" s="44" t="n"/>
      <c r="G232" s="44" t="n"/>
      <c r="H232" s="44" t="n"/>
      <c r="I232" s="44" t="n"/>
    </row>
    <row r="233" ht="15" customHeight="1" s="28">
      <c r="A233" s="45" t="n"/>
      <c r="B233" s="44" t="n"/>
      <c r="C233" s="44" t="n"/>
      <c r="D233" s="44" t="n"/>
      <c r="E233" s="44" t="n"/>
      <c r="F233" s="44" t="n"/>
      <c r="G233" s="44" t="n"/>
      <c r="H233" s="44" t="n"/>
      <c r="I233" s="44" t="n"/>
    </row>
    <row r="234" ht="15" customHeight="1" s="28">
      <c r="A234" s="45" t="n"/>
      <c r="B234" s="44" t="n"/>
      <c r="C234" s="44" t="n"/>
      <c r="D234" s="44" t="n"/>
      <c r="E234" s="44" t="n"/>
      <c r="F234" s="44" t="n"/>
      <c r="G234" s="44" t="n"/>
      <c r="H234" s="44" t="n"/>
      <c r="I234" s="44" t="n"/>
    </row>
    <row r="235" ht="15" customHeight="1" s="28">
      <c r="A235" s="45" t="n"/>
      <c r="B235" s="44" t="n"/>
      <c r="C235" s="44" t="n"/>
      <c r="D235" s="44" t="n"/>
      <c r="E235" s="44" t="n"/>
      <c r="F235" s="44" t="n"/>
      <c r="G235" s="44" t="n"/>
      <c r="H235" s="44" t="n"/>
      <c r="I235" s="44" t="n"/>
    </row>
    <row r="236" ht="15" customHeight="1" s="28">
      <c r="A236" s="45" t="n"/>
      <c r="B236" s="44" t="n"/>
      <c r="C236" s="44" t="n"/>
      <c r="D236" s="44" t="n"/>
      <c r="E236" s="44" t="n"/>
      <c r="F236" s="44" t="n"/>
      <c r="G236" s="44" t="n"/>
      <c r="H236" s="44" t="n"/>
      <c r="I236" s="44" t="n"/>
    </row>
    <row r="237" ht="15" customHeight="1" s="28">
      <c r="A237" s="45" t="n"/>
      <c r="B237" s="44" t="n"/>
      <c r="C237" s="44" t="n"/>
      <c r="D237" s="44" t="n"/>
      <c r="E237" s="44" t="n"/>
      <c r="F237" s="44" t="n"/>
      <c r="G237" s="44" t="n"/>
      <c r="H237" s="44" t="n"/>
      <c r="I237" s="44" t="n"/>
    </row>
    <row r="238" ht="15" customHeight="1" s="28">
      <c r="A238" s="45" t="n"/>
      <c r="B238" s="44" t="n"/>
      <c r="C238" s="44" t="n"/>
      <c r="D238" s="44" t="n"/>
      <c r="E238" s="44" t="n"/>
      <c r="F238" s="44" t="n"/>
      <c r="G238" s="44" t="n"/>
      <c r="H238" s="44" t="n"/>
      <c r="I238" s="44" t="n"/>
    </row>
    <row r="239" ht="15" customHeight="1" s="28">
      <c r="A239" s="45" t="n"/>
      <c r="B239" s="44" t="n"/>
      <c r="C239" s="44" t="n"/>
      <c r="D239" s="44" t="n"/>
      <c r="E239" s="44" t="n"/>
      <c r="F239" s="44" t="n"/>
      <c r="G239" s="44" t="n"/>
      <c r="H239" s="44" t="n"/>
      <c r="I239" s="44" t="n"/>
    </row>
    <row r="240" ht="15" customHeight="1" s="28">
      <c r="A240" s="45" t="n"/>
      <c r="B240" s="44" t="n"/>
      <c r="C240" s="44" t="n"/>
      <c r="D240" s="44" t="n"/>
      <c r="E240" s="44" t="n"/>
      <c r="F240" s="44" t="n"/>
      <c r="G240" s="44" t="n"/>
      <c r="H240" s="44" t="n"/>
      <c r="I240" s="44" t="n"/>
    </row>
    <row r="241" ht="15" customHeight="1" s="28">
      <c r="A241" s="45" t="n"/>
      <c r="B241" s="44" t="n"/>
      <c r="C241" s="44" t="n"/>
      <c r="D241" s="44" t="n"/>
      <c r="E241" s="44" t="n"/>
      <c r="F241" s="44" t="n"/>
      <c r="G241" s="44" t="n"/>
      <c r="H241" s="44" t="n"/>
      <c r="I241" s="44" t="n"/>
    </row>
    <row r="242" ht="15" customHeight="1" s="28">
      <c r="A242" s="45" t="n"/>
      <c r="B242" s="44" t="n"/>
      <c r="C242" s="44" t="n"/>
      <c r="D242" s="44" t="n"/>
      <c r="E242" s="44" t="n"/>
      <c r="F242" s="44" t="n"/>
      <c r="G242" s="44" t="n"/>
      <c r="H242" s="44" t="n"/>
      <c r="I242" s="44" t="n"/>
    </row>
    <row r="243" ht="15" customHeight="1" s="28">
      <c r="A243" s="45" t="n"/>
      <c r="B243" s="44" t="n"/>
      <c r="C243" s="44" t="n"/>
      <c r="D243" s="44" t="n"/>
      <c r="E243" s="44" t="n"/>
      <c r="F243" s="44" t="n"/>
      <c r="G243" s="44" t="n"/>
      <c r="H243" s="44" t="n"/>
      <c r="I243" s="44" t="n"/>
    </row>
    <row r="244" ht="15" customHeight="1" s="28">
      <c r="A244" s="45" t="n"/>
      <c r="B244" s="44" t="n"/>
      <c r="C244" s="44" t="n"/>
      <c r="D244" s="44" t="n"/>
      <c r="E244" s="44" t="n"/>
      <c r="F244" s="44" t="n"/>
      <c r="G244" s="44" t="n"/>
      <c r="H244" s="44" t="n"/>
      <c r="I244" s="44" t="n"/>
    </row>
    <row r="245" ht="15" customHeight="1" s="28">
      <c r="A245" s="45" t="n"/>
      <c r="B245" s="44" t="n"/>
      <c r="C245" s="44" t="n"/>
      <c r="D245" s="44" t="n"/>
      <c r="E245" s="44" t="n"/>
      <c r="F245" s="44" t="n"/>
      <c r="G245" s="44" t="n"/>
      <c r="H245" s="44" t="n"/>
      <c r="I245" s="44" t="n"/>
    </row>
    <row r="246" ht="15" customHeight="1" s="28">
      <c r="A246" s="45" t="n"/>
      <c r="B246" s="44" t="n"/>
      <c r="C246" s="44" t="n"/>
      <c r="D246" s="44" t="n"/>
      <c r="E246" s="44" t="n"/>
      <c r="F246" s="44" t="n"/>
      <c r="G246" s="44" t="n"/>
      <c r="H246" s="44" t="n"/>
      <c r="I246" s="44" t="n"/>
    </row>
    <row r="247" ht="15" customHeight="1" s="28">
      <c r="A247" s="45" t="n"/>
      <c r="B247" s="44" t="n"/>
      <c r="C247" s="44" t="n"/>
      <c r="D247" s="44" t="n"/>
      <c r="E247" s="44" t="n"/>
      <c r="F247" s="44" t="n"/>
      <c r="G247" s="44" t="n"/>
      <c r="H247" s="44" t="n"/>
      <c r="I247" s="44" t="n"/>
    </row>
    <row r="248" ht="15" customHeight="1" s="28">
      <c r="A248" s="45" t="n"/>
      <c r="B248" s="44" t="n"/>
      <c r="C248" s="44" t="n"/>
      <c r="D248" s="44" t="n"/>
      <c r="E248" s="44" t="n"/>
      <c r="F248" s="44" t="n"/>
      <c r="G248" s="44" t="n"/>
      <c r="H248" s="44" t="n"/>
      <c r="I248" s="44" t="n"/>
    </row>
    <row r="249" ht="15" customHeight="1" s="28">
      <c r="A249" s="45" t="n"/>
      <c r="B249" s="44" t="n"/>
      <c r="C249" s="44" t="n"/>
      <c r="D249" s="44" t="n"/>
      <c r="E249" s="44" t="n"/>
      <c r="F249" s="44" t="n"/>
      <c r="G249" s="44" t="n"/>
      <c r="H249" s="44" t="n"/>
      <c r="I249" s="44" t="n"/>
    </row>
    <row r="250" ht="15" customHeight="1" s="28">
      <c r="A250" s="45" t="n"/>
      <c r="B250" s="44" t="n"/>
      <c r="C250" s="44" t="n"/>
      <c r="D250" s="44" t="n"/>
      <c r="E250" s="44" t="n"/>
      <c r="F250" s="44" t="n"/>
      <c r="G250" s="44" t="n"/>
      <c r="H250" s="44" t="n"/>
      <c r="I250" s="44" t="n"/>
    </row>
    <row r="251" ht="15" customHeight="1" s="28">
      <c r="A251" s="45" t="n"/>
      <c r="B251" s="44" t="n"/>
      <c r="C251" s="44" t="n"/>
      <c r="D251" s="44" t="n"/>
      <c r="E251" s="44" t="n"/>
      <c r="F251" s="44" t="n"/>
      <c r="G251" s="44" t="n"/>
      <c r="H251" s="44" t="n"/>
      <c r="I251" s="44" t="n"/>
    </row>
    <row r="252" ht="15" customHeight="1" s="28">
      <c r="A252" s="45" t="n"/>
      <c r="B252" s="44" t="n"/>
      <c r="C252" s="44" t="n"/>
      <c r="D252" s="44" t="n"/>
      <c r="E252" s="44" t="n"/>
      <c r="F252" s="44" t="n"/>
      <c r="G252" s="44" t="n"/>
      <c r="H252" s="44" t="n"/>
      <c r="I252" s="44" t="n"/>
    </row>
    <row r="253" ht="15" customHeight="1" s="28">
      <c r="A253" s="45" t="n"/>
      <c r="B253" s="44" t="n"/>
      <c r="C253" s="44" t="n"/>
      <c r="D253" s="44" t="n"/>
      <c r="E253" s="44" t="n"/>
      <c r="F253" s="44" t="n"/>
      <c r="G253" s="44" t="n"/>
      <c r="H253" s="44" t="n"/>
      <c r="I253" s="44" t="n"/>
    </row>
    <row r="254" ht="15" customHeight="1" s="28">
      <c r="A254" s="45" t="n"/>
      <c r="B254" s="44" t="n"/>
      <c r="C254" s="44" t="n"/>
      <c r="D254" s="44" t="n"/>
      <c r="E254" s="44" t="n"/>
      <c r="F254" s="44" t="n"/>
      <c r="G254" s="44" t="n"/>
      <c r="H254" s="44" t="n"/>
      <c r="I254" s="44" t="n"/>
    </row>
    <row r="255" ht="15" customHeight="1" s="28">
      <c r="A255" s="45" t="n"/>
      <c r="B255" s="44" t="n"/>
      <c r="C255" s="44" t="n"/>
      <c r="D255" s="44" t="n"/>
      <c r="E255" s="44" t="n"/>
      <c r="F255" s="44" t="n"/>
      <c r="G255" s="44" t="n"/>
      <c r="H255" s="44" t="n"/>
      <c r="I255" s="44" t="n"/>
    </row>
    <row r="256" ht="15" customHeight="1" s="28">
      <c r="A256" s="45" t="n"/>
      <c r="B256" s="44" t="n"/>
      <c r="C256" s="44" t="n"/>
      <c r="D256" s="44" t="n"/>
      <c r="E256" s="44" t="n"/>
      <c r="F256" s="44" t="n"/>
      <c r="G256" s="44" t="n"/>
      <c r="H256" s="44" t="n"/>
      <c r="I256" s="44" t="n"/>
    </row>
    <row r="257" ht="15" customHeight="1" s="28">
      <c r="A257" s="45" t="n"/>
      <c r="B257" s="44" t="n"/>
      <c r="C257" s="44" t="n"/>
      <c r="D257" s="44" t="n"/>
      <c r="E257" s="44" t="n"/>
      <c r="F257" s="44" t="n"/>
      <c r="G257" s="44" t="n"/>
      <c r="H257" s="44" t="n"/>
      <c r="I257" s="44" t="n"/>
    </row>
    <row r="258" ht="15" customHeight="1" s="28">
      <c r="A258" s="45" t="n"/>
      <c r="B258" s="44" t="n"/>
      <c r="C258" s="44" t="n"/>
      <c r="D258" s="44" t="n"/>
      <c r="E258" s="44" t="n"/>
      <c r="F258" s="44" t="n"/>
      <c r="G258" s="44" t="n"/>
      <c r="H258" s="44" t="n"/>
      <c r="I258" s="44" t="n"/>
    </row>
    <row r="259" ht="15" customHeight="1" s="28">
      <c r="A259" s="45" t="n"/>
      <c r="B259" s="44" t="n"/>
      <c r="C259" s="44" t="n"/>
      <c r="D259" s="44" t="n"/>
      <c r="E259" s="44" t="n"/>
      <c r="F259" s="44" t="n"/>
      <c r="G259" s="44" t="n"/>
      <c r="H259" s="44" t="n"/>
      <c r="I259" s="44" t="n"/>
    </row>
    <row r="260" ht="15" customHeight="1" s="28">
      <c r="A260" s="45" t="n"/>
      <c r="B260" s="44" t="n"/>
      <c r="C260" s="44" t="n"/>
      <c r="D260" s="44" t="n"/>
      <c r="E260" s="44" t="n"/>
      <c r="F260" s="44" t="n"/>
      <c r="G260" s="44" t="n"/>
      <c r="H260" s="44" t="n"/>
      <c r="I260" s="44" t="n"/>
    </row>
    <row r="261" ht="15" customHeight="1" s="28">
      <c r="A261" s="45" t="n"/>
      <c r="B261" s="44" t="n"/>
      <c r="C261" s="44" t="n"/>
      <c r="D261" s="44" t="n"/>
      <c r="E261" s="44" t="n"/>
      <c r="F261" s="44" t="n"/>
      <c r="G261" s="44" t="n"/>
      <c r="H261" s="44" t="n"/>
      <c r="I261" s="44" t="n"/>
    </row>
    <row r="262" ht="15" customHeight="1" s="28">
      <c r="A262" s="45" t="n"/>
      <c r="B262" s="44" t="n"/>
      <c r="C262" s="44" t="n"/>
      <c r="D262" s="44" t="n"/>
      <c r="E262" s="44" t="n"/>
      <c r="F262" s="44" t="n"/>
      <c r="G262" s="44" t="n"/>
      <c r="H262" s="44" t="n"/>
      <c r="I262" s="44" t="n"/>
    </row>
    <row r="263" ht="15" customHeight="1" s="28">
      <c r="A263" s="45" t="n"/>
      <c r="B263" s="44" t="n"/>
      <c r="C263" s="44" t="n"/>
      <c r="D263" s="44" t="n"/>
      <c r="E263" s="44" t="n"/>
      <c r="F263" s="44" t="n"/>
      <c r="G263" s="44" t="n"/>
      <c r="H263" s="44" t="n"/>
      <c r="I263" s="44" t="n"/>
    </row>
    <row r="264" ht="15" customHeight="1" s="28">
      <c r="A264" s="45" t="n"/>
      <c r="B264" s="44" t="n"/>
      <c r="C264" s="44" t="n"/>
      <c r="D264" s="44" t="n"/>
      <c r="E264" s="44" t="n"/>
      <c r="F264" s="44" t="n"/>
      <c r="G264" s="44" t="n"/>
      <c r="H264" s="44" t="n"/>
      <c r="I264" s="44" t="n"/>
    </row>
    <row r="265" ht="15" customHeight="1" s="28">
      <c r="A265" s="45" t="n"/>
      <c r="B265" s="44" t="n"/>
      <c r="C265" s="44" t="n"/>
      <c r="D265" s="44" t="n"/>
      <c r="E265" s="44" t="n"/>
      <c r="F265" s="44" t="n"/>
      <c r="G265" s="44" t="n"/>
      <c r="H265" s="44" t="n"/>
      <c r="I265" s="44" t="n"/>
    </row>
    <row r="266" ht="15" customHeight="1" s="28">
      <c r="A266" s="45" t="n"/>
      <c r="B266" s="44" t="n"/>
      <c r="C266" s="44" t="n"/>
      <c r="D266" s="44" t="n"/>
      <c r="E266" s="44" t="n"/>
      <c r="F266" s="44" t="n"/>
      <c r="G266" s="44" t="n"/>
      <c r="H266" s="44" t="n"/>
      <c r="I266" s="44" t="n"/>
    </row>
    <row r="267" ht="15" customHeight="1" s="28">
      <c r="A267" s="45" t="n"/>
      <c r="B267" s="44" t="n"/>
      <c r="C267" s="44" t="n"/>
      <c r="D267" s="44" t="n"/>
      <c r="E267" s="44" t="n"/>
      <c r="F267" s="44" t="n"/>
      <c r="G267" s="44" t="n"/>
      <c r="H267" s="44" t="n"/>
      <c r="I267" s="44" t="n"/>
    </row>
    <row r="268" ht="15" customHeight="1" s="28">
      <c r="A268" s="45" t="n"/>
      <c r="B268" s="44" t="n"/>
      <c r="C268" s="44" t="n"/>
      <c r="D268" s="44" t="n"/>
      <c r="E268" s="44" t="n"/>
      <c r="F268" s="44" t="n"/>
      <c r="G268" s="44" t="n"/>
      <c r="H268" s="44" t="n"/>
      <c r="I268" s="44" t="n"/>
    </row>
    <row r="269" ht="15" customHeight="1" s="28">
      <c r="A269" s="45" t="n"/>
      <c r="B269" s="44" t="n"/>
      <c r="C269" s="44" t="n"/>
      <c r="D269" s="44" t="n"/>
      <c r="E269" s="44" t="n"/>
      <c r="F269" s="44" t="n"/>
      <c r="G269" s="44" t="n"/>
      <c r="H269" s="44" t="n"/>
      <c r="I269" s="44" t="n"/>
    </row>
    <row r="270" ht="15" customHeight="1" s="28">
      <c r="A270" s="45" t="n"/>
      <c r="B270" s="44" t="n"/>
      <c r="C270" s="44" t="n"/>
      <c r="D270" s="44" t="n"/>
      <c r="E270" s="44" t="n"/>
      <c r="F270" s="44" t="n"/>
      <c r="G270" s="44" t="n"/>
      <c r="H270" s="44" t="n"/>
      <c r="I270" s="44" t="n"/>
    </row>
    <row r="271" ht="15" customHeight="1" s="28">
      <c r="A271" s="45" t="n"/>
      <c r="B271" s="44" t="n"/>
      <c r="C271" s="44" t="n"/>
      <c r="D271" s="44" t="n"/>
      <c r="E271" s="44" t="n"/>
      <c r="F271" s="44" t="n"/>
      <c r="G271" s="44" t="n"/>
      <c r="H271" s="44" t="n"/>
      <c r="I271" s="44" t="n"/>
    </row>
    <row r="272" ht="15" customHeight="1" s="28">
      <c r="A272" s="45" t="n"/>
      <c r="B272" s="44" t="n"/>
      <c r="C272" s="44" t="n"/>
      <c r="D272" s="44" t="n"/>
      <c r="E272" s="44" t="n"/>
      <c r="F272" s="44" t="n"/>
      <c r="G272" s="44" t="n"/>
      <c r="H272" s="44" t="n"/>
      <c r="I272" s="44" t="n"/>
    </row>
    <row r="273" ht="15" customHeight="1" s="28">
      <c r="A273" s="45" t="n"/>
      <c r="B273" s="44" t="n"/>
      <c r="C273" s="44" t="n"/>
      <c r="D273" s="44" t="n"/>
      <c r="E273" s="44" t="n"/>
      <c r="F273" s="44" t="n"/>
      <c r="G273" s="44" t="n"/>
      <c r="H273" s="44" t="n"/>
      <c r="I273" s="44" t="n"/>
    </row>
    <row r="274" ht="15" customHeight="1" s="28">
      <c r="A274" s="45" t="n"/>
      <c r="B274" s="44" t="n"/>
      <c r="C274" s="44" t="n"/>
      <c r="D274" s="44" t="n"/>
      <c r="E274" s="44" t="n"/>
      <c r="F274" s="44" t="n"/>
      <c r="G274" s="44" t="n"/>
      <c r="H274" s="44" t="n"/>
      <c r="I274" s="44" t="n"/>
    </row>
    <row r="275" ht="15" customHeight="1" s="28">
      <c r="A275" s="45" t="n"/>
      <c r="B275" s="44" t="n"/>
      <c r="C275" s="44" t="n"/>
      <c r="D275" s="44" t="n"/>
      <c r="E275" s="44" t="n"/>
      <c r="F275" s="44" t="n"/>
      <c r="G275" s="44" t="n"/>
      <c r="H275" s="44" t="n"/>
      <c r="I275" s="44" t="n"/>
    </row>
    <row r="276" ht="15" customHeight="1" s="28">
      <c r="A276" s="45" t="n"/>
      <c r="B276" s="44" t="n"/>
      <c r="C276" s="44" t="n"/>
      <c r="D276" s="44" t="n"/>
      <c r="E276" s="44" t="n"/>
      <c r="F276" s="44" t="n"/>
      <c r="G276" s="44" t="n"/>
      <c r="H276" s="44" t="n"/>
      <c r="I276" s="44" t="n"/>
    </row>
    <row r="277" ht="15" customHeight="1" s="28">
      <c r="A277" s="45" t="n"/>
      <c r="B277" s="44" t="n"/>
      <c r="C277" s="44" t="n"/>
      <c r="D277" s="44" t="n"/>
      <c r="E277" s="44" t="n"/>
      <c r="F277" s="44" t="n"/>
      <c r="G277" s="44" t="n"/>
      <c r="H277" s="44" t="n"/>
      <c r="I277" s="44" t="n"/>
    </row>
    <row r="278" ht="15" customHeight="1" s="28">
      <c r="A278" s="45" t="n"/>
      <c r="B278" s="44" t="n"/>
      <c r="C278" s="44" t="n"/>
      <c r="D278" s="44" t="n"/>
      <c r="E278" s="44" t="n"/>
      <c r="F278" s="44" t="n"/>
      <c r="G278" s="44" t="n"/>
      <c r="H278" s="44" t="n"/>
      <c r="I278" s="44" t="n"/>
    </row>
    <row r="279" ht="15" customHeight="1" s="28">
      <c r="A279" s="45" t="n"/>
      <c r="B279" s="44" t="n"/>
      <c r="C279" s="44" t="n"/>
      <c r="D279" s="44" t="n"/>
      <c r="E279" s="44" t="n"/>
      <c r="F279" s="44" t="n"/>
      <c r="G279" s="44" t="n"/>
      <c r="H279" s="44" t="n"/>
      <c r="I279" s="44" t="n"/>
    </row>
    <row r="280" ht="15" customHeight="1" s="28">
      <c r="A280" s="45" t="n"/>
      <c r="B280" s="44" t="n"/>
      <c r="C280" s="44" t="n"/>
      <c r="D280" s="44" t="n"/>
      <c r="E280" s="44" t="n"/>
      <c r="F280" s="44" t="n"/>
      <c r="G280" s="44" t="n"/>
      <c r="H280" s="44" t="n"/>
      <c r="I280" s="44" t="n"/>
    </row>
    <row r="281" ht="15" customHeight="1" s="28">
      <c r="A281" s="45" t="n"/>
      <c r="B281" s="44" t="n"/>
      <c r="C281" s="44" t="n"/>
      <c r="D281" s="44" t="n"/>
      <c r="E281" s="44" t="n"/>
      <c r="F281" s="44" t="n"/>
      <c r="G281" s="44" t="n"/>
      <c r="H281" s="44" t="n"/>
      <c r="I281" s="44" t="n"/>
    </row>
    <row r="282" ht="15" customHeight="1" s="28">
      <c r="A282" s="45" t="n"/>
      <c r="B282" s="44" t="n"/>
      <c r="C282" s="44" t="n"/>
      <c r="D282" s="44" t="n"/>
      <c r="E282" s="44" t="n"/>
      <c r="F282" s="44" t="n"/>
      <c r="G282" s="44" t="n"/>
      <c r="H282" s="44" t="n"/>
      <c r="I282" s="44" t="n"/>
    </row>
    <row r="283" ht="15" customHeight="1" s="28">
      <c r="A283" s="45" t="n"/>
      <c r="B283" s="44" t="n"/>
      <c r="C283" s="44" t="n"/>
      <c r="D283" s="44" t="n"/>
      <c r="E283" s="44" t="n"/>
      <c r="F283" s="44" t="n"/>
      <c r="G283" s="44" t="n"/>
      <c r="H283" s="44" t="n"/>
      <c r="I283" s="44" t="n"/>
    </row>
    <row r="284" ht="15" customHeight="1" s="28">
      <c r="A284" s="45" t="n"/>
      <c r="B284" s="44" t="n"/>
      <c r="C284" s="44" t="n"/>
      <c r="D284" s="44" t="n"/>
      <c r="E284" s="44" t="n"/>
      <c r="F284" s="44" t="n"/>
      <c r="G284" s="44" t="n"/>
      <c r="H284" s="44" t="n"/>
      <c r="I284" s="44" t="n"/>
    </row>
    <row r="285" ht="15" customHeight="1" s="28">
      <c r="A285" s="45" t="n"/>
      <c r="B285" s="44" t="n"/>
      <c r="C285" s="44" t="n"/>
      <c r="D285" s="44" t="n"/>
      <c r="E285" s="44" t="n"/>
      <c r="F285" s="44" t="n"/>
      <c r="G285" s="44" t="n"/>
      <c r="H285" s="44" t="n"/>
      <c r="I285" s="44" t="n"/>
    </row>
    <row r="286" ht="15" customHeight="1" s="28">
      <c r="A286" s="45" t="n"/>
      <c r="B286" s="44" t="n"/>
      <c r="C286" s="44" t="n"/>
      <c r="D286" s="44" t="n"/>
      <c r="E286" s="44" t="n"/>
      <c r="F286" s="44" t="n"/>
      <c r="G286" s="44" t="n"/>
      <c r="H286" s="44" t="n"/>
      <c r="I286" s="44" t="n"/>
    </row>
    <row r="287" ht="15" customHeight="1" s="28">
      <c r="A287" s="45" t="n"/>
      <c r="B287" s="44" t="n"/>
      <c r="C287" s="44" t="n"/>
      <c r="D287" s="44" t="n"/>
      <c r="E287" s="44" t="n"/>
      <c r="F287" s="44" t="n"/>
      <c r="G287" s="44" t="n"/>
      <c r="H287" s="44" t="n"/>
      <c r="I287" s="44" t="n"/>
    </row>
    <row r="288" ht="15" customHeight="1" s="28">
      <c r="A288" s="45" t="n"/>
      <c r="B288" s="44" t="n"/>
      <c r="C288" s="44" t="n"/>
      <c r="D288" s="44" t="n"/>
      <c r="E288" s="44" t="n"/>
      <c r="F288" s="44" t="n"/>
      <c r="G288" s="44" t="n"/>
      <c r="H288" s="44" t="n"/>
      <c r="I288" s="44" t="n"/>
    </row>
    <row r="289" ht="15" customHeight="1" s="28">
      <c r="A289" s="45" t="n"/>
      <c r="B289" s="44" t="n"/>
      <c r="C289" s="44" t="n"/>
      <c r="D289" s="44" t="n"/>
      <c r="E289" s="44" t="n"/>
      <c r="F289" s="44" t="n"/>
      <c r="G289" s="44" t="n"/>
      <c r="H289" s="44" t="n"/>
      <c r="I289" s="44" t="n"/>
    </row>
    <row r="290" ht="15" customHeight="1" s="28">
      <c r="A290" s="45" t="n"/>
      <c r="B290" s="44" t="n"/>
      <c r="C290" s="44" t="n"/>
      <c r="D290" s="44" t="n"/>
      <c r="E290" s="44" t="n"/>
      <c r="F290" s="44" t="n"/>
      <c r="G290" s="44" t="n"/>
      <c r="H290" s="44" t="n"/>
      <c r="I290" s="44" t="n"/>
    </row>
    <row r="291" ht="15" customHeight="1" s="28">
      <c r="A291" s="45" t="n"/>
      <c r="B291" s="44" t="n"/>
      <c r="C291" s="44" t="n"/>
      <c r="D291" s="44" t="n"/>
      <c r="E291" s="44" t="n"/>
      <c r="F291" s="44" t="n"/>
      <c r="G291" s="44" t="n"/>
      <c r="H291" s="44" t="n"/>
      <c r="I291" s="44" t="n"/>
    </row>
    <row r="292" ht="15" customHeight="1" s="28">
      <c r="A292" s="45" t="n"/>
      <c r="B292" s="44" t="n"/>
      <c r="C292" s="44" t="n"/>
      <c r="D292" s="44" t="n"/>
      <c r="E292" s="44" t="n"/>
      <c r="F292" s="44" t="n"/>
      <c r="G292" s="44" t="n"/>
      <c r="H292" s="44" t="n"/>
      <c r="I292" s="44" t="n"/>
    </row>
    <row r="293" ht="15" customHeight="1" s="28">
      <c r="A293" s="45" t="n"/>
      <c r="B293" s="44" t="n"/>
      <c r="C293" s="44" t="n"/>
      <c r="D293" s="44" t="n"/>
      <c r="E293" s="44" t="n"/>
      <c r="F293" s="44" t="n"/>
      <c r="G293" s="44" t="n"/>
      <c r="H293" s="44" t="n"/>
      <c r="I293" s="44" t="n"/>
    </row>
    <row r="294" ht="15" customHeight="1" s="28">
      <c r="A294" s="45" t="n"/>
      <c r="B294" s="44" t="n"/>
      <c r="C294" s="44" t="n"/>
      <c r="D294" s="44" t="n"/>
      <c r="E294" s="44" t="n"/>
      <c r="F294" s="44" t="n"/>
      <c r="G294" s="44" t="n"/>
      <c r="H294" s="44" t="n"/>
      <c r="I294" s="44" t="n"/>
    </row>
    <row r="295" ht="15" customHeight="1" s="28">
      <c r="A295" s="45" t="n"/>
      <c r="B295" s="44" t="n"/>
      <c r="C295" s="44" t="n"/>
      <c r="D295" s="44" t="n"/>
      <c r="E295" s="44" t="n"/>
      <c r="F295" s="44" t="n"/>
      <c r="G295" s="44" t="n"/>
      <c r="H295" s="44" t="n"/>
      <c r="I295" s="44" t="n"/>
    </row>
    <row r="296" ht="15" customHeight="1" s="28">
      <c r="A296" s="45" t="n"/>
      <c r="B296" s="44" t="n"/>
      <c r="C296" s="44" t="n"/>
      <c r="D296" s="44" t="n"/>
      <c r="E296" s="44" t="n"/>
      <c r="F296" s="44" t="n"/>
      <c r="G296" s="44" t="n"/>
      <c r="H296" s="44" t="n"/>
      <c r="I296" s="44" t="n"/>
    </row>
    <row r="297" ht="15" customHeight="1" s="28">
      <c r="A297" s="45" t="n"/>
      <c r="B297" s="44" t="n"/>
      <c r="C297" s="44" t="n"/>
      <c r="D297" s="44" t="n"/>
      <c r="E297" s="44" t="n"/>
      <c r="F297" s="44" t="n"/>
      <c r="G297" s="44" t="n"/>
      <c r="H297" s="44" t="n"/>
      <c r="I297" s="44" t="n"/>
    </row>
    <row r="298" ht="15" customHeight="1" s="28">
      <c r="A298" s="45" t="n"/>
      <c r="B298" s="44" t="n"/>
      <c r="C298" s="44" t="n"/>
      <c r="D298" s="44" t="n"/>
      <c r="E298" s="44" t="n"/>
      <c r="F298" s="44" t="n"/>
      <c r="G298" s="44" t="n"/>
      <c r="H298" s="44" t="n"/>
      <c r="I298" s="44" t="n"/>
    </row>
    <row r="299" ht="15" customHeight="1" s="28">
      <c r="A299" s="45" t="n"/>
      <c r="B299" s="44" t="n"/>
      <c r="C299" s="44" t="n"/>
      <c r="D299" s="44" t="n"/>
      <c r="E299" s="44" t="n"/>
      <c r="F299" s="44" t="n"/>
      <c r="G299" s="44" t="n"/>
      <c r="H299" s="44" t="n"/>
      <c r="I299" s="44" t="n"/>
    </row>
    <row r="300" ht="15" customHeight="1" s="28">
      <c r="A300" s="45" t="n"/>
      <c r="B300" s="44" t="n"/>
      <c r="C300" s="44" t="n"/>
      <c r="D300" s="44" t="n"/>
      <c r="E300" s="44" t="n"/>
      <c r="F300" s="44" t="n"/>
      <c r="G300" s="44" t="n"/>
      <c r="H300" s="44" t="n"/>
      <c r="I300" s="44" t="n"/>
    </row>
    <row r="301" ht="15" customHeight="1" s="28">
      <c r="A301" s="45" t="n"/>
      <c r="B301" s="44" t="n"/>
      <c r="C301" s="44" t="n"/>
      <c r="D301" s="44" t="n"/>
      <c r="E301" s="44" t="n"/>
      <c r="F301" s="44" t="n"/>
      <c r="G301" s="44" t="n"/>
      <c r="H301" s="44" t="n"/>
      <c r="I301" s="44" t="n"/>
    </row>
    <row r="302" ht="15" customHeight="1" s="28">
      <c r="A302" s="45" t="n"/>
      <c r="B302" s="44" t="n"/>
      <c r="C302" s="44" t="n"/>
      <c r="D302" s="44" t="n"/>
      <c r="E302" s="44" t="n"/>
      <c r="F302" s="44" t="n"/>
      <c r="G302" s="44" t="n"/>
      <c r="H302" s="44" t="n"/>
      <c r="I302" s="44" t="n"/>
    </row>
    <row r="303" ht="15" customHeight="1" s="28">
      <c r="A303" s="45" t="n"/>
      <c r="B303" s="44" t="n"/>
      <c r="C303" s="44" t="n"/>
      <c r="D303" s="44" t="n"/>
      <c r="E303" s="44" t="n"/>
      <c r="F303" s="44" t="n"/>
      <c r="G303" s="44" t="n"/>
      <c r="H303" s="44" t="n"/>
      <c r="I303" s="44" t="n"/>
    </row>
    <row r="304" ht="15" customHeight="1" s="28">
      <c r="A304" s="45" t="n"/>
      <c r="B304" s="44" t="n"/>
      <c r="C304" s="44" t="n"/>
      <c r="D304" s="44" t="n"/>
      <c r="E304" s="44" t="n"/>
      <c r="F304" s="44" t="n"/>
      <c r="G304" s="44" t="n"/>
      <c r="H304" s="44" t="n"/>
      <c r="I304" s="44" t="n"/>
    </row>
    <row r="305" ht="15" customHeight="1" s="28">
      <c r="A305" s="45" t="n"/>
      <c r="B305" s="44" t="n"/>
      <c r="C305" s="44" t="n"/>
      <c r="D305" s="44" t="n"/>
      <c r="E305" s="44" t="n"/>
      <c r="F305" s="44" t="n"/>
      <c r="G305" s="44" t="n"/>
      <c r="H305" s="44" t="n"/>
      <c r="I305" s="44" t="n"/>
    </row>
    <row r="306" ht="15" customHeight="1" s="28">
      <c r="A306" s="45" t="n"/>
      <c r="B306" s="44" t="n"/>
      <c r="C306" s="44" t="n"/>
      <c r="D306" s="44" t="n"/>
      <c r="E306" s="44" t="n"/>
      <c r="F306" s="44" t="n"/>
      <c r="G306" s="44" t="n"/>
      <c r="H306" s="44" t="n"/>
      <c r="I306" s="44" t="n"/>
    </row>
    <row r="307" ht="15" customHeight="1" s="28">
      <c r="A307" s="45" t="n"/>
      <c r="B307" s="44" t="n"/>
      <c r="C307" s="44" t="n"/>
      <c r="D307" s="44" t="n"/>
      <c r="E307" s="44" t="n"/>
      <c r="F307" s="44" t="n"/>
      <c r="G307" s="44" t="n"/>
      <c r="H307" s="44" t="n"/>
      <c r="I307" s="44" t="n"/>
    </row>
    <row r="308" ht="15" customHeight="1" s="28">
      <c r="A308" s="45" t="n"/>
      <c r="B308" s="44" t="n"/>
      <c r="C308" s="44" t="n"/>
      <c r="D308" s="44" t="n"/>
      <c r="E308" s="44" t="n"/>
      <c r="F308" s="44" t="n"/>
      <c r="G308" s="44" t="n"/>
      <c r="H308" s="44" t="n"/>
      <c r="I308" s="44" t="n"/>
    </row>
    <row r="309" ht="15" customHeight="1" s="28">
      <c r="A309" s="45" t="n"/>
      <c r="B309" s="44" t="n"/>
      <c r="C309" s="44" t="n"/>
      <c r="D309" s="44" t="n"/>
      <c r="E309" s="44" t="n"/>
      <c r="F309" s="44" t="n"/>
      <c r="G309" s="44" t="n"/>
      <c r="H309" s="44" t="n"/>
      <c r="I309" s="44" t="n"/>
    </row>
    <row r="310" ht="15" customHeight="1" s="28">
      <c r="A310" s="45" t="n"/>
      <c r="B310" s="44" t="n"/>
      <c r="C310" s="44" t="n"/>
      <c r="D310" s="44" t="n"/>
      <c r="E310" s="44" t="n"/>
      <c r="F310" s="44" t="n"/>
      <c r="G310" s="44" t="n"/>
      <c r="H310" s="44" t="n"/>
      <c r="I310" s="44" t="n"/>
    </row>
    <row r="311" ht="15" customHeight="1" s="28">
      <c r="A311" s="45" t="n"/>
      <c r="B311" s="44" t="n"/>
      <c r="C311" s="44" t="n"/>
      <c r="D311" s="44" t="n"/>
      <c r="E311" s="44" t="n"/>
      <c r="F311" s="44" t="n"/>
      <c r="G311" s="44" t="n"/>
      <c r="H311" s="44" t="n"/>
      <c r="I311" s="44" t="n"/>
    </row>
    <row r="312" ht="15" customHeight="1" s="28">
      <c r="A312" s="45" t="n"/>
      <c r="B312" s="44" t="n"/>
      <c r="C312" s="44" t="n"/>
      <c r="D312" s="44" t="n"/>
      <c r="E312" s="44" t="n"/>
      <c r="F312" s="44" t="n"/>
      <c r="G312" s="44" t="n"/>
      <c r="H312" s="44" t="n"/>
      <c r="I312" s="44" t="n"/>
    </row>
    <row r="313" ht="15" customHeight="1" s="28">
      <c r="A313" s="45" t="n"/>
      <c r="B313" s="44" t="n"/>
      <c r="C313" s="44" t="n"/>
      <c r="D313" s="44" t="n"/>
      <c r="E313" s="44" t="n"/>
      <c r="F313" s="44" t="n"/>
      <c r="G313" s="44" t="n"/>
      <c r="H313" s="44" t="n"/>
      <c r="I313" s="44" t="n"/>
    </row>
    <row r="314" ht="15" customHeight="1" s="28">
      <c r="A314" s="45" t="n"/>
      <c r="B314" s="44" t="n"/>
      <c r="C314" s="44" t="n"/>
      <c r="D314" s="44" t="n"/>
      <c r="E314" s="44" t="n"/>
      <c r="F314" s="44" t="n"/>
      <c r="G314" s="44" t="n"/>
      <c r="H314" s="44" t="n"/>
      <c r="I314" s="44" t="n"/>
    </row>
    <row r="315" ht="15" customHeight="1" s="28">
      <c r="A315" s="45" t="n"/>
      <c r="B315" s="44" t="n"/>
      <c r="C315" s="44" t="n"/>
      <c r="D315" s="44" t="n"/>
      <c r="E315" s="44" t="n"/>
      <c r="F315" s="44" t="n"/>
      <c r="G315" s="44" t="n"/>
      <c r="H315" s="44" t="n"/>
      <c r="I315" s="44" t="n"/>
    </row>
    <row r="316" ht="15" customHeight="1" s="28">
      <c r="A316" s="45" t="n"/>
      <c r="B316" s="44" t="n"/>
      <c r="C316" s="44" t="n"/>
      <c r="D316" s="44" t="n"/>
      <c r="E316" s="44" t="n"/>
      <c r="F316" s="44" t="n"/>
      <c r="G316" s="44" t="n"/>
      <c r="H316" s="44" t="n"/>
      <c r="I316" s="44" t="n"/>
    </row>
    <row r="317" ht="15" customHeight="1" s="28">
      <c r="A317" s="45" t="n"/>
      <c r="B317" s="44" t="n"/>
      <c r="C317" s="44" t="n"/>
      <c r="D317" s="44" t="n"/>
      <c r="E317" s="44" t="n"/>
      <c r="F317" s="44" t="n"/>
      <c r="G317" s="44" t="n"/>
      <c r="H317" s="44" t="n"/>
      <c r="I317" s="44" t="n"/>
    </row>
    <row r="318" ht="15" customHeight="1" s="28">
      <c r="A318" s="45" t="n"/>
      <c r="B318" s="44" t="n"/>
      <c r="C318" s="44" t="n"/>
      <c r="D318" s="44" t="n"/>
      <c r="E318" s="44" t="n"/>
      <c r="F318" s="44" t="n"/>
      <c r="G318" s="44" t="n"/>
      <c r="H318" s="44" t="n"/>
      <c r="I318" s="44" t="n"/>
    </row>
    <row r="319" ht="15" customHeight="1" s="28">
      <c r="A319" s="45" t="n"/>
      <c r="B319" s="44" t="n"/>
      <c r="C319" s="44" t="n"/>
      <c r="D319" s="44" t="n"/>
      <c r="E319" s="44" t="n"/>
      <c r="F319" s="44" t="n"/>
      <c r="G319" s="44" t="n"/>
      <c r="H319" s="44" t="n"/>
      <c r="I319" s="44" t="n"/>
    </row>
    <row r="320" ht="15" customHeight="1" s="28">
      <c r="A320" s="45" t="n"/>
      <c r="B320" s="44" t="n"/>
      <c r="C320" s="44" t="n"/>
      <c r="D320" s="44" t="n"/>
      <c r="E320" s="44" t="n"/>
      <c r="F320" s="44" t="n"/>
      <c r="G320" s="44" t="n"/>
      <c r="H320" s="44" t="n"/>
      <c r="I320" s="44" t="n"/>
    </row>
    <row r="321" ht="15" customHeight="1" s="28">
      <c r="A321" s="45" t="n"/>
      <c r="B321" s="44" t="n"/>
      <c r="C321" s="44" t="n"/>
      <c r="D321" s="44" t="n"/>
      <c r="E321" s="44" t="n"/>
      <c r="F321" s="44" t="n"/>
      <c r="G321" s="44" t="n"/>
      <c r="H321" s="44" t="n"/>
      <c r="I321" s="44" t="n"/>
    </row>
    <row r="322" ht="15" customHeight="1" s="28">
      <c r="A322" s="45" t="n"/>
      <c r="B322" s="44" t="n"/>
      <c r="C322" s="44" t="n"/>
      <c r="D322" s="44" t="n"/>
      <c r="E322" s="44" t="n"/>
      <c r="F322" s="44" t="n"/>
      <c r="G322" s="44" t="n"/>
      <c r="H322" s="44" t="n"/>
      <c r="I322" s="44" t="n"/>
    </row>
    <row r="323" ht="15" customHeight="1" s="28">
      <c r="A323" s="45" t="n"/>
      <c r="B323" s="44" t="n"/>
      <c r="C323" s="44" t="n"/>
      <c r="D323" s="44" t="n"/>
      <c r="E323" s="44" t="n"/>
      <c r="F323" s="44" t="n"/>
      <c r="G323" s="44" t="n"/>
      <c r="H323" s="44" t="n"/>
      <c r="I323" s="44" t="n"/>
    </row>
    <row r="324" ht="15" customHeight="1" s="28">
      <c r="A324" s="45" t="n"/>
      <c r="B324" s="44" t="n"/>
      <c r="C324" s="44" t="n"/>
      <c r="D324" s="44" t="n"/>
      <c r="E324" s="44" t="n"/>
      <c r="F324" s="44" t="n"/>
      <c r="G324" s="44" t="n"/>
      <c r="H324" s="44" t="n"/>
      <c r="I324" s="44" t="n"/>
    </row>
    <row r="325" ht="15" customHeight="1" s="28">
      <c r="A325" s="45" t="n"/>
      <c r="B325" s="44" t="n"/>
      <c r="C325" s="44" t="n"/>
      <c r="D325" s="44" t="n"/>
      <c r="E325" s="44" t="n"/>
      <c r="F325" s="44" t="n"/>
      <c r="G325" s="44" t="n"/>
      <c r="H325" s="44" t="n"/>
      <c r="I325" s="44" t="n"/>
    </row>
    <row r="326" ht="15" customHeight="1" s="28">
      <c r="A326" s="45" t="n"/>
      <c r="B326" s="44" t="n"/>
      <c r="C326" s="44" t="n"/>
      <c r="D326" s="44" t="n"/>
      <c r="E326" s="44" t="n"/>
      <c r="F326" s="44" t="n"/>
      <c r="G326" s="44" t="n"/>
      <c r="H326" s="44" t="n"/>
      <c r="I326" s="44" t="n"/>
    </row>
    <row r="327" ht="15" customHeight="1" s="28">
      <c r="A327" s="45" t="n"/>
      <c r="B327" s="44" t="n"/>
      <c r="C327" s="44" t="n"/>
      <c r="D327" s="44" t="n"/>
      <c r="E327" s="44" t="n"/>
      <c r="F327" s="44" t="n"/>
      <c r="G327" s="44" t="n"/>
      <c r="H327" s="44" t="n"/>
      <c r="I327" s="44" t="n"/>
    </row>
    <row r="328" ht="15" customHeight="1" s="28">
      <c r="A328" s="45" t="n"/>
      <c r="B328" s="44" t="n"/>
      <c r="C328" s="44" t="n"/>
      <c r="D328" s="44" t="n"/>
      <c r="E328" s="44" t="n"/>
      <c r="F328" s="44" t="n"/>
      <c r="G328" s="44" t="n"/>
      <c r="H328" s="44" t="n"/>
      <c r="I328" s="44" t="n"/>
    </row>
    <row r="329" ht="15" customHeight="1" s="28">
      <c r="A329" s="45" t="n"/>
      <c r="B329" s="44" t="n"/>
      <c r="C329" s="44" t="n"/>
      <c r="D329" s="44" t="n"/>
      <c r="E329" s="44" t="n"/>
      <c r="F329" s="44" t="n"/>
      <c r="G329" s="44" t="n"/>
      <c r="H329" s="44" t="n"/>
      <c r="I329" s="44" t="n"/>
    </row>
    <row r="330" ht="15" customHeight="1" s="28">
      <c r="A330" s="45" t="n"/>
      <c r="B330" s="44" t="n"/>
      <c r="C330" s="44" t="n"/>
      <c r="D330" s="44" t="n"/>
      <c r="E330" s="44" t="n"/>
      <c r="F330" s="44" t="n"/>
      <c r="G330" s="44" t="n"/>
      <c r="H330" s="44" t="n"/>
      <c r="I330" s="44" t="n"/>
    </row>
    <row r="331" ht="15" customHeight="1" s="28">
      <c r="A331" s="45" t="n"/>
      <c r="B331" s="44" t="n"/>
      <c r="C331" s="44" t="n"/>
      <c r="D331" s="44" t="n"/>
      <c r="E331" s="44" t="n"/>
      <c r="F331" s="44" t="n"/>
      <c r="G331" s="44" t="n"/>
      <c r="H331" s="44" t="n"/>
      <c r="I331" s="44" t="n"/>
    </row>
    <row r="332" ht="15" customHeight="1" s="28">
      <c r="A332" s="45" t="n"/>
      <c r="B332" s="44" t="n"/>
      <c r="C332" s="44" t="n"/>
      <c r="D332" s="44" t="n"/>
      <c r="E332" s="44" t="n"/>
      <c r="F332" s="44" t="n"/>
      <c r="G332" s="44" t="n"/>
      <c r="H332" s="44" t="n"/>
      <c r="I332" s="44" t="n"/>
    </row>
    <row r="333" ht="15" customHeight="1" s="28">
      <c r="A333" s="45" t="n"/>
      <c r="B333" s="44" t="n"/>
      <c r="C333" s="44" t="n"/>
      <c r="D333" s="44" t="n"/>
      <c r="E333" s="44" t="n"/>
      <c r="F333" s="44" t="n"/>
      <c r="G333" s="44" t="n"/>
      <c r="H333" s="44" t="n"/>
      <c r="I333" s="44" t="n"/>
    </row>
    <row r="334" ht="15" customHeight="1" s="28">
      <c r="A334" s="45" t="n"/>
      <c r="B334" s="44" t="n"/>
      <c r="C334" s="44" t="n"/>
      <c r="D334" s="44" t="n"/>
      <c r="E334" s="44" t="n"/>
      <c r="F334" s="44" t="n"/>
      <c r="G334" s="44" t="n"/>
      <c r="H334" s="44" t="n"/>
      <c r="I334" s="44" t="n"/>
    </row>
    <row r="335" ht="15" customHeight="1" s="28">
      <c r="A335" s="45" t="n"/>
      <c r="B335" s="44" t="n"/>
      <c r="C335" s="44" t="n"/>
      <c r="D335" s="44" t="n"/>
      <c r="E335" s="44" t="n"/>
      <c r="F335" s="44" t="n"/>
      <c r="G335" s="44" t="n"/>
      <c r="H335" s="44" t="n"/>
      <c r="I335" s="44" t="n"/>
    </row>
    <row r="336" ht="15" customHeight="1" s="28">
      <c r="A336" s="45" t="n"/>
      <c r="B336" s="44" t="n"/>
      <c r="C336" s="44" t="n"/>
      <c r="D336" s="44" t="n"/>
      <c r="E336" s="44" t="n"/>
      <c r="F336" s="44" t="n"/>
      <c r="G336" s="44" t="n"/>
      <c r="H336" s="44" t="n"/>
      <c r="I336" s="44" t="n"/>
    </row>
    <row r="337" ht="15" customHeight="1" s="28">
      <c r="A337" s="45" t="n"/>
      <c r="B337" s="44" t="n"/>
      <c r="C337" s="44" t="n"/>
      <c r="D337" s="44" t="n"/>
      <c r="E337" s="44" t="n"/>
      <c r="F337" s="44" t="n"/>
      <c r="G337" s="44" t="n"/>
      <c r="H337" s="44" t="n"/>
      <c r="I337" s="44" t="n"/>
    </row>
    <row r="338" ht="15" customHeight="1" s="28">
      <c r="A338" s="45" t="n"/>
      <c r="B338" s="44" t="n"/>
      <c r="C338" s="44" t="n"/>
      <c r="D338" s="44" t="n"/>
      <c r="E338" s="44" t="n"/>
      <c r="F338" s="44" t="n"/>
      <c r="G338" s="44" t="n"/>
      <c r="H338" s="44" t="n"/>
      <c r="I338" s="44" t="n"/>
    </row>
    <row r="339" ht="15" customHeight="1" s="28">
      <c r="A339" s="45" t="n"/>
      <c r="B339" s="44" t="n"/>
      <c r="C339" s="44" t="n"/>
      <c r="D339" s="44" t="n"/>
      <c r="E339" s="44" t="n"/>
      <c r="F339" s="44" t="n"/>
      <c r="G339" s="44" t="n"/>
      <c r="H339" s="44" t="n"/>
      <c r="I339" s="44" t="n"/>
    </row>
    <row r="340" ht="15" customHeight="1" s="28">
      <c r="A340" s="45" t="n"/>
      <c r="B340" s="44" t="n"/>
      <c r="C340" s="44" t="n"/>
      <c r="D340" s="44" t="n"/>
      <c r="E340" s="44" t="n"/>
      <c r="F340" s="44" t="n"/>
      <c r="G340" s="44" t="n"/>
      <c r="H340" s="44" t="n"/>
      <c r="I340" s="44" t="n"/>
    </row>
    <row r="341" ht="15" customHeight="1" s="28">
      <c r="A341" s="45" t="n"/>
      <c r="B341" s="44" t="n"/>
      <c r="C341" s="44" t="n"/>
      <c r="D341" s="44" t="n"/>
      <c r="E341" s="44" t="n"/>
      <c r="F341" s="44" t="n"/>
      <c r="G341" s="44" t="n"/>
      <c r="H341" s="44" t="n"/>
      <c r="I341" s="44" t="n"/>
    </row>
    <row r="342" ht="15" customHeight="1" s="28">
      <c r="A342" s="45" t="n"/>
      <c r="B342" s="44" t="n"/>
      <c r="C342" s="44" t="n"/>
      <c r="D342" s="44" t="n"/>
      <c r="E342" s="44" t="n"/>
      <c r="F342" s="44" t="n"/>
      <c r="G342" s="44" t="n"/>
      <c r="H342" s="44" t="n"/>
      <c r="I342" s="44" t="n"/>
    </row>
    <row r="343" ht="15" customHeight="1" s="28">
      <c r="A343" s="45" t="n"/>
      <c r="B343" s="44" t="n"/>
      <c r="C343" s="44" t="n"/>
      <c r="D343" s="44" t="n"/>
      <c r="E343" s="44" t="n"/>
      <c r="F343" s="44" t="n"/>
      <c r="G343" s="44" t="n"/>
      <c r="H343" s="44" t="n"/>
      <c r="I343" s="44" t="n"/>
    </row>
    <row r="344" ht="15" customHeight="1" s="28">
      <c r="A344" s="45" t="n"/>
      <c r="B344" s="44" t="n"/>
      <c r="C344" s="44" t="n"/>
      <c r="D344" s="44" t="n"/>
      <c r="E344" s="44" t="n"/>
      <c r="F344" s="44" t="n"/>
      <c r="G344" s="44" t="n"/>
      <c r="H344" s="44" t="n"/>
      <c r="I344" s="44" t="n"/>
    </row>
    <row r="345" ht="15" customHeight="1" s="28">
      <c r="A345" s="45" t="n"/>
      <c r="B345" s="44" t="n"/>
      <c r="C345" s="44" t="n"/>
      <c r="D345" s="44" t="n"/>
      <c r="E345" s="44" t="n"/>
      <c r="F345" s="44" t="n"/>
      <c r="G345" s="44" t="n"/>
      <c r="H345" s="44" t="n"/>
      <c r="I345" s="44" t="n"/>
    </row>
    <row r="346" ht="15" customHeight="1" s="28">
      <c r="A346" s="45" t="n"/>
      <c r="B346" s="44" t="n"/>
      <c r="C346" s="44" t="n"/>
      <c r="D346" s="44" t="n"/>
      <c r="E346" s="44" t="n"/>
      <c r="F346" s="44" t="n"/>
      <c r="G346" s="44" t="n"/>
      <c r="H346" s="44" t="n"/>
      <c r="I346" s="44" t="n"/>
    </row>
    <row r="347" ht="15" customHeight="1" s="28">
      <c r="A347" s="45" t="n"/>
      <c r="B347" s="44" t="n"/>
      <c r="C347" s="44" t="n"/>
      <c r="D347" s="44" t="n"/>
      <c r="E347" s="44" t="n"/>
      <c r="F347" s="44" t="n"/>
      <c r="G347" s="44" t="n"/>
      <c r="H347" s="44" t="n"/>
      <c r="I347" s="44" t="n"/>
    </row>
    <row r="348" ht="15" customHeight="1" s="28">
      <c r="A348" s="45" t="n"/>
      <c r="B348" s="44" t="n"/>
      <c r="C348" s="44" t="n"/>
      <c r="D348" s="44" t="n"/>
      <c r="E348" s="44" t="n"/>
      <c r="F348" s="44" t="n"/>
      <c r="G348" s="44" t="n"/>
      <c r="H348" s="44" t="n"/>
      <c r="I348" s="44" t="n"/>
    </row>
    <row r="349" ht="15" customHeight="1" s="28">
      <c r="A349" s="45" t="n"/>
      <c r="B349" s="44" t="n"/>
      <c r="C349" s="44" t="n"/>
      <c r="D349" s="44" t="n"/>
      <c r="E349" s="44" t="n"/>
      <c r="F349" s="44" t="n"/>
      <c r="G349" s="44" t="n"/>
      <c r="H349" s="44" t="n"/>
      <c r="I349" s="44" t="n"/>
    </row>
    <row r="350" ht="15" customHeight="1" s="28">
      <c r="A350" s="45" t="n"/>
      <c r="B350" s="44" t="n"/>
      <c r="C350" s="44" t="n"/>
      <c r="D350" s="44" t="n"/>
      <c r="E350" s="44" t="n"/>
      <c r="F350" s="44" t="n"/>
      <c r="G350" s="44" t="n"/>
      <c r="H350" s="44" t="n"/>
      <c r="I350" s="44" t="n"/>
    </row>
    <row r="351" ht="15" customHeight="1" s="28">
      <c r="A351" s="45" t="n"/>
      <c r="B351" s="44" t="n"/>
      <c r="C351" s="44" t="n"/>
      <c r="D351" s="44" t="n"/>
      <c r="E351" s="44" t="n"/>
      <c r="F351" s="44" t="n"/>
      <c r="G351" s="44" t="n"/>
      <c r="H351" s="44" t="n"/>
      <c r="I351" s="44" t="n"/>
    </row>
    <row r="352" ht="15" customHeight="1" s="28">
      <c r="A352" s="45" t="n"/>
      <c r="B352" s="44" t="n"/>
      <c r="C352" s="44" t="n"/>
      <c r="D352" s="44" t="n"/>
      <c r="E352" s="44" t="n"/>
      <c r="F352" s="44" t="n"/>
      <c r="G352" s="44" t="n"/>
      <c r="H352" s="44" t="n"/>
      <c r="I352" s="44" t="n"/>
    </row>
    <row r="353" ht="15" customHeight="1" s="28">
      <c r="A353" s="45" t="n"/>
      <c r="B353" s="44" t="n"/>
      <c r="C353" s="44" t="n"/>
      <c r="D353" s="44" t="n"/>
      <c r="E353" s="44" t="n"/>
      <c r="F353" s="44" t="n"/>
      <c r="G353" s="44" t="n"/>
      <c r="H353" s="44" t="n"/>
      <c r="I353" s="44" t="n"/>
    </row>
    <row r="354" ht="15" customHeight="1" s="28">
      <c r="A354" s="45" t="n"/>
      <c r="B354" s="44" t="n"/>
      <c r="C354" s="44" t="n"/>
      <c r="D354" s="44" t="n"/>
      <c r="E354" s="44" t="n"/>
      <c r="F354" s="44" t="n"/>
      <c r="G354" s="44" t="n"/>
      <c r="H354" s="44" t="n"/>
      <c r="I354" s="44" t="n"/>
    </row>
    <row r="355" ht="15" customHeight="1" s="28">
      <c r="A355" s="45" t="n"/>
      <c r="B355" s="44" t="n"/>
      <c r="C355" s="44" t="n"/>
      <c r="D355" s="44" t="n"/>
      <c r="E355" s="44" t="n"/>
      <c r="F355" s="44" t="n"/>
      <c r="G355" s="44" t="n"/>
      <c r="H355" s="44" t="n"/>
      <c r="I355" s="44" t="n"/>
    </row>
    <row r="356" ht="15" customHeight="1" s="28">
      <c r="A356" s="45" t="n"/>
      <c r="B356" s="44" t="n"/>
      <c r="C356" s="44" t="n"/>
      <c r="D356" s="44" t="n"/>
      <c r="E356" s="44" t="n"/>
      <c r="F356" s="44" t="n"/>
      <c r="G356" s="44" t="n"/>
      <c r="H356" s="44" t="n"/>
      <c r="I356" s="44" t="n"/>
    </row>
    <row r="357" ht="15" customHeight="1" s="28">
      <c r="A357" s="45" t="n"/>
      <c r="B357" s="44" t="n"/>
      <c r="C357" s="44" t="n"/>
      <c r="D357" s="44" t="n"/>
      <c r="E357" s="44" t="n"/>
      <c r="F357" s="44" t="n"/>
      <c r="G357" s="44" t="n"/>
      <c r="H357" s="44" t="n"/>
      <c r="I357" s="44" t="n"/>
    </row>
    <row r="358" ht="15" customHeight="1" s="28">
      <c r="A358" s="45" t="n"/>
      <c r="B358" s="44" t="n"/>
      <c r="C358" s="44" t="n"/>
      <c r="D358" s="44" t="n"/>
      <c r="E358" s="44" t="n"/>
      <c r="F358" s="44" t="n"/>
      <c r="G358" s="44" t="n"/>
      <c r="H358" s="44" t="n"/>
      <c r="I358" s="44" t="n"/>
    </row>
    <row r="359" ht="15" customHeight="1" s="28">
      <c r="A359" s="45" t="n"/>
      <c r="B359" s="44" t="n"/>
      <c r="C359" s="44" t="n"/>
      <c r="D359" s="44" t="n"/>
      <c r="E359" s="44" t="n"/>
      <c r="F359" s="44" t="n"/>
      <c r="G359" s="44" t="n"/>
      <c r="H359" s="44" t="n"/>
      <c r="I359" s="44" t="n"/>
    </row>
    <row r="360" ht="15" customHeight="1" s="28">
      <c r="A360" s="45" t="n"/>
      <c r="B360" s="44" t="n"/>
      <c r="C360" s="44" t="n"/>
      <c r="D360" s="44" t="n"/>
      <c r="E360" s="44" t="n"/>
      <c r="F360" s="44" t="n"/>
      <c r="G360" s="44" t="n"/>
      <c r="H360" s="44" t="n"/>
      <c r="I360" s="44" t="n"/>
    </row>
    <row r="361" ht="15" customHeight="1" s="28">
      <c r="A361" s="45" t="n"/>
      <c r="B361" s="44" t="n"/>
      <c r="C361" s="44" t="n"/>
      <c r="D361" s="44" t="n"/>
      <c r="E361" s="44" t="n"/>
      <c r="F361" s="44" t="n"/>
      <c r="G361" s="44" t="n"/>
      <c r="H361" s="44" t="n"/>
      <c r="I361" s="44" t="n"/>
    </row>
    <row r="362" ht="15" customHeight="1" s="28">
      <c r="A362" s="45" t="n"/>
      <c r="B362" s="44" t="n"/>
      <c r="C362" s="44" t="n"/>
      <c r="D362" s="44" t="n"/>
      <c r="E362" s="44" t="n"/>
      <c r="F362" s="44" t="n"/>
      <c r="G362" s="44" t="n"/>
      <c r="H362" s="44" t="n"/>
      <c r="I362" s="44" t="n"/>
    </row>
    <row r="363" ht="15" customHeight="1" s="28">
      <c r="A363" s="45" t="n"/>
      <c r="B363" s="44" t="n"/>
      <c r="C363" s="44" t="n"/>
      <c r="D363" s="44" t="n"/>
      <c r="E363" s="44" t="n"/>
      <c r="F363" s="44" t="n"/>
      <c r="G363" s="44" t="n"/>
      <c r="H363" s="44" t="n"/>
      <c r="I363" s="44" t="n"/>
    </row>
    <row r="364" ht="15" customHeight="1" s="28">
      <c r="A364" s="45" t="n"/>
      <c r="B364" s="44" t="n"/>
      <c r="C364" s="44" t="n"/>
      <c r="D364" s="44" t="n"/>
      <c r="E364" s="44" t="n"/>
      <c r="F364" s="44" t="n"/>
      <c r="G364" s="44" t="n"/>
      <c r="H364" s="44" t="n"/>
      <c r="I364" s="44" t="n"/>
    </row>
    <row r="365" ht="15" customHeight="1" s="28">
      <c r="A365" s="45" t="n"/>
      <c r="B365" s="44" t="n"/>
      <c r="C365" s="44" t="n"/>
      <c r="D365" s="44" t="n"/>
      <c r="E365" s="44" t="n"/>
      <c r="F365" s="44" t="n"/>
      <c r="G365" s="44" t="n"/>
      <c r="H365" s="44" t="n"/>
      <c r="I365" s="44" t="n"/>
    </row>
    <row r="366" ht="15" customHeight="1" s="28">
      <c r="A366" s="45" t="n"/>
      <c r="B366" s="44" t="n"/>
      <c r="C366" s="44" t="n"/>
      <c r="D366" s="44" t="n"/>
      <c r="E366" s="44" t="n"/>
      <c r="F366" s="44" t="n"/>
      <c r="G366" s="44" t="n"/>
      <c r="H366" s="44" t="n"/>
      <c r="I366" s="44" t="n"/>
    </row>
    <row r="367" ht="15" customHeight="1" s="28">
      <c r="A367" s="45" t="n"/>
      <c r="B367" s="44" t="n"/>
      <c r="C367" s="44" t="n"/>
      <c r="D367" s="44" t="n"/>
      <c r="E367" s="44" t="n"/>
      <c r="F367" s="44" t="n"/>
      <c r="G367" s="44" t="n"/>
      <c r="H367" s="44" t="n"/>
      <c r="I367" s="44" t="n"/>
    </row>
    <row r="368" ht="15" customHeight="1" s="28">
      <c r="A368" s="45" t="n"/>
      <c r="B368" s="44" t="n"/>
      <c r="C368" s="44" t="n"/>
      <c r="D368" s="44" t="n"/>
      <c r="E368" s="44" t="n"/>
      <c r="F368" s="44" t="n"/>
      <c r="G368" s="44" t="n"/>
      <c r="H368" s="44" t="n"/>
      <c r="I368" s="44" t="n"/>
    </row>
    <row r="369" ht="15" customHeight="1" s="28">
      <c r="A369" s="45" t="n"/>
      <c r="B369" s="44" t="n"/>
      <c r="C369" s="44" t="n"/>
      <c r="D369" s="44" t="n"/>
      <c r="E369" s="44" t="n"/>
      <c r="F369" s="44" t="n"/>
      <c r="G369" s="44" t="n"/>
      <c r="H369" s="44" t="n"/>
      <c r="I369" s="44" t="n"/>
    </row>
    <row r="370" ht="15" customHeight="1" s="28">
      <c r="A370" s="45" t="n"/>
      <c r="B370" s="44" t="n"/>
      <c r="C370" s="44" t="n"/>
      <c r="D370" s="44" t="n"/>
      <c r="E370" s="44" t="n"/>
      <c r="F370" s="44" t="n"/>
      <c r="G370" s="44" t="n"/>
      <c r="H370" s="44" t="n"/>
      <c r="I370" s="44" t="n"/>
    </row>
    <row r="371" ht="15" customHeight="1" s="28">
      <c r="A371" s="45" t="n"/>
      <c r="B371" s="44" t="n"/>
      <c r="C371" s="44" t="n"/>
      <c r="D371" s="44" t="n"/>
      <c r="E371" s="44" t="n"/>
      <c r="F371" s="44" t="n"/>
      <c r="G371" s="44" t="n"/>
      <c r="H371" s="44" t="n"/>
      <c r="I371" s="44" t="n"/>
    </row>
    <row r="372" ht="15" customHeight="1" s="28">
      <c r="A372" s="45" t="n"/>
      <c r="B372" s="44" t="n"/>
      <c r="C372" s="44" t="n"/>
      <c r="D372" s="44" t="n"/>
      <c r="E372" s="44" t="n"/>
      <c r="F372" s="44" t="n"/>
      <c r="G372" s="44" t="n"/>
      <c r="H372" s="44" t="n"/>
      <c r="I372" s="44" t="n"/>
    </row>
    <row r="373" ht="15" customHeight="1" s="28">
      <c r="A373" s="45" t="n"/>
      <c r="B373" s="44" t="n"/>
      <c r="C373" s="44" t="n"/>
      <c r="D373" s="44" t="n"/>
      <c r="E373" s="44" t="n"/>
      <c r="F373" s="44" t="n"/>
      <c r="G373" s="44" t="n"/>
      <c r="H373" s="44" t="n"/>
      <c r="I373" s="44" t="n"/>
    </row>
    <row r="374" ht="15" customHeight="1" s="28">
      <c r="A374" s="45" t="n"/>
      <c r="B374" s="44" t="n"/>
      <c r="C374" s="44" t="n"/>
      <c r="D374" s="44" t="n"/>
      <c r="E374" s="44" t="n"/>
      <c r="F374" s="44" t="n"/>
      <c r="G374" s="44" t="n"/>
      <c r="H374" s="44" t="n"/>
      <c r="I374" s="44" t="n"/>
    </row>
    <row r="375" ht="15" customHeight="1" s="28">
      <c r="A375" s="45" t="n"/>
      <c r="B375" s="44" t="n"/>
      <c r="C375" s="44" t="n"/>
      <c r="D375" s="44" t="n"/>
      <c r="E375" s="44" t="n"/>
      <c r="F375" s="44" t="n"/>
      <c r="G375" s="44" t="n"/>
      <c r="H375" s="44" t="n"/>
      <c r="I375" s="44" t="n"/>
    </row>
    <row r="376" ht="15" customHeight="1" s="28">
      <c r="A376" s="45" t="n"/>
      <c r="B376" s="44" t="n"/>
      <c r="C376" s="44" t="n"/>
      <c r="D376" s="44" t="n"/>
      <c r="E376" s="44" t="n"/>
      <c r="F376" s="44" t="n"/>
      <c r="G376" s="44" t="n"/>
      <c r="H376" s="44" t="n"/>
      <c r="I376" s="44" t="n"/>
    </row>
    <row r="377" ht="15" customHeight="1" s="28">
      <c r="A377" s="45" t="n"/>
      <c r="B377" s="44" t="n"/>
      <c r="C377" s="44" t="n"/>
      <c r="D377" s="44" t="n"/>
      <c r="E377" s="44" t="n"/>
      <c r="F377" s="44" t="n"/>
      <c r="G377" s="44" t="n"/>
      <c r="H377" s="44" t="n"/>
      <c r="I377" s="44" t="n"/>
    </row>
    <row r="378" ht="15" customHeight="1" s="28">
      <c r="A378" s="45" t="n"/>
      <c r="B378" s="44" t="n"/>
      <c r="C378" s="44" t="n"/>
      <c r="D378" s="44" t="n"/>
      <c r="E378" s="44" t="n"/>
      <c r="F378" s="44" t="n"/>
      <c r="G378" s="44" t="n"/>
      <c r="H378" s="44" t="n"/>
      <c r="I378" s="44" t="n"/>
    </row>
    <row r="379" ht="15" customHeight="1" s="28">
      <c r="A379" s="45" t="n"/>
      <c r="B379" s="44" t="n"/>
      <c r="C379" s="44" t="n"/>
      <c r="D379" s="44" t="n"/>
      <c r="E379" s="44" t="n"/>
      <c r="F379" s="44" t="n"/>
      <c r="G379" s="44" t="n"/>
      <c r="H379" s="44" t="n"/>
      <c r="I379" s="44" t="n"/>
    </row>
    <row r="380" ht="15" customHeight="1" s="28">
      <c r="A380" s="45" t="n"/>
      <c r="B380" s="44" t="n"/>
      <c r="C380" s="44" t="n"/>
      <c r="D380" s="44" t="n"/>
      <c r="E380" s="44" t="n"/>
      <c r="F380" s="44" t="n"/>
      <c r="G380" s="44" t="n"/>
      <c r="H380" s="44" t="n"/>
      <c r="I380" s="44" t="n"/>
    </row>
    <row r="381" ht="15" customHeight="1" s="28">
      <c r="A381" s="45" t="n"/>
      <c r="B381" s="44" t="n"/>
      <c r="C381" s="44" t="n"/>
      <c r="D381" s="44" t="n"/>
      <c r="E381" s="44" t="n"/>
      <c r="F381" s="44" t="n"/>
      <c r="G381" s="44" t="n"/>
      <c r="H381" s="44" t="n"/>
      <c r="I381" s="44" t="n"/>
    </row>
    <row r="382" ht="15" customHeight="1" s="28">
      <c r="A382" s="45" t="n"/>
      <c r="B382" s="44" t="n"/>
      <c r="C382" s="44" t="n"/>
      <c r="D382" s="44" t="n"/>
      <c r="E382" s="44" t="n"/>
      <c r="F382" s="44" t="n"/>
      <c r="G382" s="44" t="n"/>
      <c r="H382" s="44" t="n"/>
      <c r="I382" s="44" t="n"/>
    </row>
    <row r="383" ht="15" customHeight="1" s="28">
      <c r="A383" s="45" t="n"/>
      <c r="B383" s="44" t="n"/>
      <c r="C383" s="44" t="n"/>
      <c r="D383" s="44" t="n"/>
      <c r="E383" s="44" t="n"/>
      <c r="F383" s="44" t="n"/>
      <c r="G383" s="44" t="n"/>
      <c r="H383" s="44" t="n"/>
      <c r="I383" s="44" t="n"/>
    </row>
    <row r="384" ht="15" customHeight="1" s="28">
      <c r="A384" s="45" t="n"/>
      <c r="B384" s="44" t="n"/>
      <c r="C384" s="44" t="n"/>
      <c r="D384" s="44" t="n"/>
      <c r="E384" s="44" t="n"/>
      <c r="F384" s="44" t="n"/>
      <c r="G384" s="44" t="n"/>
      <c r="H384" s="44" t="n"/>
      <c r="I384" s="44" t="n"/>
    </row>
    <row r="385" ht="15" customHeight="1" s="28">
      <c r="A385" s="45" t="n"/>
      <c r="B385" s="44" t="n"/>
      <c r="C385" s="44" t="n"/>
      <c r="D385" s="44" t="n"/>
      <c r="E385" s="44" t="n"/>
      <c r="F385" s="44" t="n"/>
      <c r="G385" s="44" t="n"/>
      <c r="H385" s="44" t="n"/>
      <c r="I385" s="44" t="n"/>
    </row>
    <row r="386" ht="15" customHeight="1" s="28">
      <c r="A386" s="45" t="n"/>
      <c r="B386" s="44" t="n"/>
      <c r="C386" s="44" t="n"/>
      <c r="D386" s="44" t="n"/>
      <c r="E386" s="44" t="n"/>
      <c r="F386" s="44" t="n"/>
      <c r="G386" s="44" t="n"/>
      <c r="H386" s="44" t="n"/>
      <c r="I386" s="44" t="n"/>
    </row>
    <row r="387" ht="15" customHeight="1" s="28">
      <c r="A387" s="45" t="n"/>
      <c r="B387" s="44" t="n"/>
      <c r="C387" s="44" t="n"/>
      <c r="D387" s="44" t="n"/>
      <c r="E387" s="44" t="n"/>
      <c r="F387" s="44" t="n"/>
      <c r="G387" s="44" t="n"/>
      <c r="H387" s="44" t="n"/>
      <c r="I387" s="44" t="n"/>
    </row>
    <row r="388" ht="15" customHeight="1" s="28">
      <c r="A388" s="45" t="n"/>
      <c r="B388" s="44" t="n"/>
      <c r="C388" s="44" t="n"/>
      <c r="D388" s="44" t="n"/>
      <c r="E388" s="44" t="n"/>
      <c r="F388" s="44" t="n"/>
      <c r="G388" s="44" t="n"/>
      <c r="H388" s="44" t="n"/>
      <c r="I388" s="44" t="n"/>
    </row>
    <row r="389" ht="15" customHeight="1" s="28">
      <c r="A389" s="45" t="n"/>
      <c r="B389" s="44" t="n"/>
      <c r="C389" s="44" t="n"/>
      <c r="D389" s="44" t="n"/>
      <c r="E389" s="44" t="n"/>
      <c r="F389" s="44" t="n"/>
      <c r="G389" s="44" t="n"/>
      <c r="H389" s="44" t="n"/>
      <c r="I389" s="44" t="n"/>
    </row>
    <row r="390" ht="15" customHeight="1" s="28">
      <c r="A390" s="45" t="n"/>
      <c r="B390" s="44" t="n"/>
      <c r="C390" s="44" t="n"/>
      <c r="D390" s="44" t="n"/>
      <c r="E390" s="44" t="n"/>
      <c r="F390" s="44" t="n"/>
      <c r="G390" s="44" t="n"/>
      <c r="H390" s="44" t="n"/>
      <c r="I390" s="44" t="n"/>
    </row>
    <row r="391" ht="15" customHeight="1" s="28">
      <c r="A391" s="45" t="n"/>
      <c r="B391" s="44" t="n"/>
      <c r="C391" s="44" t="n"/>
      <c r="D391" s="44" t="n"/>
      <c r="E391" s="44" t="n"/>
      <c r="F391" s="44" t="n"/>
      <c r="G391" s="44" t="n"/>
      <c r="H391" s="44" t="n"/>
      <c r="I391" s="44" t="n"/>
    </row>
    <row r="392" ht="15" customHeight="1" s="28">
      <c r="A392" s="45" t="n"/>
      <c r="B392" s="44" t="n"/>
      <c r="C392" s="44" t="n"/>
      <c r="D392" s="44" t="n"/>
      <c r="E392" s="44" t="n"/>
      <c r="F392" s="44" t="n"/>
      <c r="G392" s="44" t="n"/>
      <c r="H392" s="44" t="n"/>
      <c r="I392" s="44" t="n"/>
    </row>
    <row r="393" ht="15" customHeight="1" s="28">
      <c r="A393" s="45" t="n"/>
      <c r="B393" s="44" t="n"/>
      <c r="C393" s="44" t="n"/>
      <c r="D393" s="44" t="n"/>
      <c r="E393" s="44" t="n"/>
      <c r="F393" s="44" t="n"/>
      <c r="G393" s="44" t="n"/>
      <c r="H393" s="44" t="n"/>
      <c r="I393" s="44" t="n"/>
    </row>
    <row r="394" ht="15" customHeight="1" s="28">
      <c r="A394" s="45" t="n"/>
      <c r="B394" s="44" t="n"/>
      <c r="C394" s="44" t="n"/>
      <c r="D394" s="44" t="n"/>
      <c r="E394" s="44" t="n"/>
      <c r="F394" s="44" t="n"/>
      <c r="G394" s="44" t="n"/>
      <c r="H394" s="44" t="n"/>
      <c r="I394" s="44" t="n"/>
    </row>
    <row r="395" ht="15" customHeight="1" s="28">
      <c r="A395" s="45" t="n"/>
      <c r="B395" s="44" t="n"/>
      <c r="C395" s="44" t="n"/>
      <c r="D395" s="44" t="n"/>
      <c r="E395" s="44" t="n"/>
      <c r="F395" s="44" t="n"/>
      <c r="G395" s="44" t="n"/>
      <c r="H395" s="44" t="n"/>
      <c r="I395" s="44" t="n"/>
    </row>
    <row r="396" ht="15" customHeight="1" s="28">
      <c r="A396" s="45" t="n"/>
      <c r="B396" s="44" t="n"/>
      <c r="C396" s="44" t="n"/>
      <c r="D396" s="44" t="n"/>
      <c r="E396" s="44" t="n"/>
      <c r="F396" s="44" t="n"/>
      <c r="G396" s="44" t="n"/>
      <c r="H396" s="44" t="n"/>
      <c r="I396" s="44" t="n"/>
    </row>
    <row r="397" ht="15" customHeight="1" s="28">
      <c r="A397" s="45" t="n"/>
      <c r="B397" s="44" t="n"/>
      <c r="C397" s="44" t="n"/>
      <c r="D397" s="44" t="n"/>
      <c r="E397" s="44" t="n"/>
      <c r="F397" s="44" t="n"/>
      <c r="G397" s="44" t="n"/>
      <c r="H397" s="44" t="n"/>
      <c r="I397" s="44" t="n"/>
    </row>
    <row r="398" ht="15" customHeight="1" s="28">
      <c r="A398" s="45" t="n"/>
      <c r="B398" s="44" t="n"/>
      <c r="C398" s="44" t="n"/>
      <c r="D398" s="44" t="n"/>
      <c r="E398" s="44" t="n"/>
      <c r="F398" s="44" t="n"/>
      <c r="G398" s="44" t="n"/>
      <c r="H398" s="44" t="n"/>
      <c r="I398" s="44" t="n"/>
    </row>
    <row r="399" ht="15" customHeight="1" s="28">
      <c r="A399" s="45" t="n"/>
      <c r="B399" s="44" t="n"/>
      <c r="C399" s="44" t="n"/>
      <c r="D399" s="44" t="n"/>
      <c r="E399" s="44" t="n"/>
      <c r="F399" s="44" t="n"/>
      <c r="G399" s="44" t="n"/>
      <c r="H399" s="44" t="n"/>
      <c r="I399" s="44" t="n"/>
    </row>
    <row r="400" ht="15" customHeight="1" s="28">
      <c r="A400" s="45" t="n"/>
      <c r="B400" s="44" t="n"/>
      <c r="C400" s="44" t="n"/>
      <c r="D400" s="44" t="n"/>
      <c r="E400" s="44" t="n"/>
      <c r="F400" s="44" t="n"/>
      <c r="G400" s="44" t="n"/>
      <c r="H400" s="44" t="n"/>
      <c r="I400" s="44" t="n"/>
    </row>
    <row r="401" ht="15" customHeight="1" s="28">
      <c r="A401" s="45" t="n"/>
      <c r="B401" s="44" t="n"/>
      <c r="C401" s="44" t="n"/>
      <c r="D401" s="44" t="n"/>
      <c r="E401" s="44" t="n"/>
      <c r="F401" s="44" t="n"/>
      <c r="G401" s="44" t="n"/>
      <c r="H401" s="44" t="n"/>
      <c r="I401" s="44" t="n"/>
    </row>
    <row r="402" ht="15" customHeight="1" s="28">
      <c r="A402" s="45" t="n"/>
      <c r="B402" s="44" t="n"/>
      <c r="C402" s="44" t="n"/>
      <c r="D402" s="44" t="n"/>
      <c r="E402" s="44" t="n"/>
      <c r="F402" s="44" t="n"/>
      <c r="G402" s="44" t="n"/>
      <c r="H402" s="44" t="n"/>
      <c r="I402" s="44" t="n"/>
    </row>
    <row r="403" ht="15" customHeight="1" s="28">
      <c r="A403" s="45" t="n"/>
      <c r="B403" s="44" t="n"/>
      <c r="C403" s="44" t="n"/>
      <c r="D403" s="44" t="n"/>
      <c r="E403" s="44" t="n"/>
      <c r="F403" s="44" t="n"/>
      <c r="G403" s="44" t="n"/>
      <c r="H403" s="44" t="n"/>
      <c r="I403" s="44" t="n"/>
    </row>
    <row r="404" ht="15" customHeight="1" s="28">
      <c r="A404" s="45" t="n"/>
      <c r="B404" s="44" t="n"/>
      <c r="C404" s="44" t="n"/>
      <c r="D404" s="44" t="n"/>
      <c r="E404" s="44" t="n"/>
      <c r="F404" s="44" t="n"/>
      <c r="G404" s="44" t="n"/>
      <c r="H404" s="44" t="n"/>
      <c r="I404" s="44" t="n"/>
    </row>
    <row r="405" ht="15" customHeight="1" s="28">
      <c r="A405" s="45" t="n"/>
      <c r="B405" s="44" t="n"/>
      <c r="C405" s="44" t="n"/>
      <c r="D405" s="44" t="n"/>
      <c r="E405" s="44" t="n"/>
      <c r="F405" s="44" t="n"/>
      <c r="G405" s="44" t="n"/>
      <c r="H405" s="44" t="n"/>
      <c r="I405" s="44" t="n"/>
    </row>
    <row r="406" ht="15" customHeight="1" s="28">
      <c r="A406" s="45" t="n"/>
      <c r="B406" s="44" t="n"/>
      <c r="C406" s="44" t="n"/>
      <c r="D406" s="44" t="n"/>
      <c r="E406" s="44" t="n"/>
      <c r="F406" s="44" t="n"/>
      <c r="G406" s="44" t="n"/>
      <c r="H406" s="44" t="n"/>
      <c r="I406" s="44" t="n"/>
    </row>
    <row r="407" ht="15" customHeight="1" s="28">
      <c r="A407" s="45" t="n"/>
      <c r="B407" s="44" t="n"/>
      <c r="C407" s="44" t="n"/>
      <c r="D407" s="44" t="n"/>
      <c r="E407" s="44" t="n"/>
      <c r="F407" s="44" t="n"/>
      <c r="G407" s="44" t="n"/>
      <c r="H407" s="44" t="n"/>
      <c r="I407" s="44" t="n"/>
    </row>
    <row r="408" ht="15" customHeight="1" s="28">
      <c r="A408" s="45" t="n"/>
      <c r="B408" s="44" t="n"/>
      <c r="C408" s="44" t="n"/>
      <c r="D408" s="44" t="n"/>
      <c r="E408" s="44" t="n"/>
      <c r="F408" s="44" t="n"/>
      <c r="G408" s="44" t="n"/>
      <c r="H408" s="44" t="n"/>
      <c r="I408" s="44" t="n"/>
    </row>
    <row r="409" ht="15" customHeight="1" s="28">
      <c r="A409" s="45" t="n"/>
      <c r="B409" s="44" t="n"/>
      <c r="C409" s="44" t="n"/>
      <c r="D409" s="44" t="n"/>
      <c r="E409" s="44" t="n"/>
      <c r="F409" s="44" t="n"/>
      <c r="G409" s="44" t="n"/>
      <c r="H409" s="44" t="n"/>
      <c r="I409" s="44" t="n"/>
    </row>
    <row r="410" ht="15" customHeight="1" s="28">
      <c r="A410" s="45" t="n"/>
      <c r="B410" s="44" t="n"/>
      <c r="C410" s="44" t="n"/>
      <c r="D410" s="44" t="n"/>
      <c r="E410" s="44" t="n"/>
      <c r="F410" s="44" t="n"/>
      <c r="G410" s="44" t="n"/>
      <c r="H410" s="44" t="n"/>
      <c r="I410" s="44" t="n"/>
    </row>
    <row r="411" ht="15" customHeight="1" s="28">
      <c r="A411" s="45" t="n"/>
      <c r="B411" s="44" t="n"/>
      <c r="C411" s="44" t="n"/>
      <c r="D411" s="44" t="n"/>
      <c r="E411" s="44" t="n"/>
      <c r="F411" s="44" t="n"/>
      <c r="G411" s="44" t="n"/>
      <c r="H411" s="44" t="n"/>
      <c r="I411" s="44" t="n"/>
    </row>
    <row r="412" ht="15" customHeight="1" s="28">
      <c r="A412" s="45" t="n"/>
      <c r="B412" s="44" t="n"/>
      <c r="C412" s="44" t="n"/>
      <c r="D412" s="44" t="n"/>
      <c r="E412" s="44" t="n"/>
      <c r="F412" s="44" t="n"/>
      <c r="G412" s="44" t="n"/>
      <c r="H412" s="44" t="n"/>
      <c r="I412" s="44" t="n"/>
    </row>
    <row r="413" ht="15" customHeight="1" s="28">
      <c r="A413" s="45" t="n"/>
      <c r="B413" s="44" t="n"/>
      <c r="C413" s="44" t="n"/>
      <c r="D413" s="44" t="n"/>
      <c r="E413" s="44" t="n"/>
      <c r="F413" s="44" t="n"/>
      <c r="G413" s="44" t="n"/>
      <c r="H413" s="44" t="n"/>
      <c r="I413" s="44" t="n"/>
    </row>
    <row r="414" ht="15" customHeight="1" s="28">
      <c r="A414" s="45" t="n"/>
      <c r="B414" s="44" t="n"/>
      <c r="C414" s="44" t="n"/>
      <c r="D414" s="44" t="n"/>
      <c r="E414" s="44" t="n"/>
      <c r="F414" s="44" t="n"/>
      <c r="G414" s="44" t="n"/>
      <c r="H414" s="44" t="n"/>
      <c r="I414" s="44" t="n"/>
    </row>
    <row r="415" ht="15" customHeight="1" s="28">
      <c r="A415" s="45" t="n"/>
      <c r="B415" s="44" t="n"/>
      <c r="C415" s="44" t="n"/>
      <c r="D415" s="44" t="n"/>
      <c r="E415" s="44" t="n"/>
      <c r="F415" s="44" t="n"/>
      <c r="G415" s="44" t="n"/>
      <c r="H415" s="44" t="n"/>
      <c r="I415" s="44" t="n"/>
    </row>
    <row r="416" ht="15" customHeight="1" s="28">
      <c r="A416" s="45" t="n"/>
      <c r="B416" s="44" t="n"/>
      <c r="C416" s="44" t="n"/>
      <c r="D416" s="44" t="n"/>
      <c r="E416" s="44" t="n"/>
      <c r="F416" s="44" t="n"/>
      <c r="G416" s="44" t="n"/>
      <c r="H416" s="44" t="n"/>
      <c r="I416" s="44" t="n"/>
    </row>
    <row r="417" ht="15" customHeight="1" s="28">
      <c r="A417" s="45" t="n"/>
      <c r="B417" s="44" t="n"/>
      <c r="C417" s="44" t="n"/>
      <c r="D417" s="44" t="n"/>
      <c r="E417" s="44" t="n"/>
      <c r="F417" s="44" t="n"/>
      <c r="G417" s="44" t="n"/>
      <c r="H417" s="44" t="n"/>
      <c r="I417" s="44" t="n"/>
    </row>
    <row r="418" ht="15" customHeight="1" s="28">
      <c r="A418" s="45" t="n"/>
      <c r="B418" s="44" t="n"/>
      <c r="C418" s="44" t="n"/>
      <c r="D418" s="44" t="n"/>
      <c r="E418" s="44" t="n"/>
      <c r="F418" s="44" t="n"/>
      <c r="G418" s="44" t="n"/>
      <c r="H418" s="44" t="n"/>
      <c r="I418" s="44" t="n"/>
    </row>
    <row r="419" ht="15" customHeight="1" s="28">
      <c r="A419" s="45" t="n"/>
      <c r="B419" s="44" t="n"/>
      <c r="C419" s="44" t="n"/>
      <c r="D419" s="44" t="n"/>
      <c r="E419" s="44" t="n"/>
      <c r="F419" s="44" t="n"/>
      <c r="G419" s="44" t="n"/>
      <c r="H419" s="44" t="n"/>
      <c r="I419" s="44" t="n"/>
    </row>
    <row r="420" ht="15" customHeight="1" s="28">
      <c r="A420" s="45" t="n"/>
      <c r="B420" s="44" t="n"/>
      <c r="C420" s="44" t="n"/>
      <c r="D420" s="44" t="n"/>
      <c r="E420" s="44" t="n"/>
      <c r="F420" s="44" t="n"/>
      <c r="G420" s="44" t="n"/>
      <c r="H420" s="44" t="n"/>
      <c r="I420" s="44" t="n"/>
    </row>
    <row r="421" ht="15" customHeight="1" s="28">
      <c r="A421" s="45" t="n"/>
      <c r="B421" s="44" t="n"/>
      <c r="C421" s="44" t="n"/>
      <c r="D421" s="44" t="n"/>
      <c r="E421" s="44" t="n"/>
      <c r="F421" s="44" t="n"/>
      <c r="G421" s="44" t="n"/>
      <c r="H421" s="44" t="n"/>
      <c r="I421" s="44" t="n"/>
    </row>
    <row r="422" ht="15" customHeight="1" s="28">
      <c r="A422" s="45" t="n"/>
      <c r="B422" s="44" t="n"/>
      <c r="C422" s="44" t="n"/>
      <c r="D422" s="44" t="n"/>
      <c r="E422" s="44" t="n"/>
      <c r="F422" s="44" t="n"/>
      <c r="G422" s="44" t="n"/>
      <c r="H422" s="44" t="n"/>
      <c r="I422" s="44" t="n"/>
    </row>
    <row r="423" ht="15" customHeight="1" s="28">
      <c r="A423" s="45" t="n"/>
      <c r="B423" s="44" t="n"/>
      <c r="C423" s="44" t="n"/>
      <c r="D423" s="44" t="n"/>
      <c r="E423" s="44" t="n"/>
      <c r="F423" s="44" t="n"/>
      <c r="G423" s="44" t="n"/>
      <c r="H423" s="44" t="n"/>
      <c r="I423" s="44" t="n"/>
    </row>
    <row r="424" ht="15" customHeight="1" s="28">
      <c r="A424" s="45" t="n"/>
      <c r="B424" s="44" t="n"/>
      <c r="C424" s="44" t="n"/>
      <c r="D424" s="44" t="n"/>
      <c r="E424" s="44" t="n"/>
      <c r="F424" s="44" t="n"/>
      <c r="G424" s="44" t="n"/>
      <c r="H424" s="44" t="n"/>
      <c r="I424" s="44" t="n"/>
    </row>
    <row r="425" ht="15" customHeight="1" s="28">
      <c r="A425" s="45" t="n"/>
      <c r="B425" s="44" t="n"/>
      <c r="C425" s="44" t="n"/>
      <c r="D425" s="44" t="n"/>
      <c r="E425" s="44" t="n"/>
      <c r="F425" s="44" t="n"/>
      <c r="G425" s="44" t="n"/>
      <c r="H425" s="44" t="n"/>
      <c r="I425" s="44" t="n"/>
    </row>
    <row r="426" ht="15" customHeight="1" s="28">
      <c r="A426" s="45" t="n"/>
      <c r="B426" s="44" t="n"/>
      <c r="C426" s="44" t="n"/>
      <c r="D426" s="44" t="n"/>
      <c r="E426" s="44" t="n"/>
      <c r="F426" s="44" t="n"/>
      <c r="G426" s="44" t="n"/>
      <c r="H426" s="44" t="n"/>
      <c r="I426" s="44" t="n"/>
    </row>
    <row r="427" ht="15" customHeight="1" s="28">
      <c r="A427" s="45" t="n"/>
      <c r="B427" s="44" t="n"/>
      <c r="C427" s="44" t="n"/>
      <c r="D427" s="44" t="n"/>
      <c r="E427" s="44" t="n"/>
      <c r="F427" s="44" t="n"/>
      <c r="G427" s="44" t="n"/>
      <c r="H427" s="44" t="n"/>
      <c r="I427" s="44" t="n"/>
    </row>
    <row r="428" ht="15" customHeight="1" s="28">
      <c r="A428" s="45" t="n"/>
      <c r="B428" s="44" t="n"/>
      <c r="C428" s="44" t="n"/>
      <c r="D428" s="44" t="n"/>
      <c r="E428" s="44" t="n"/>
      <c r="F428" s="44" t="n"/>
      <c r="G428" s="44" t="n"/>
      <c r="H428" s="44" t="n"/>
      <c r="I428" s="44" t="n"/>
    </row>
    <row r="429" ht="15" customHeight="1" s="28">
      <c r="A429" s="45" t="n"/>
      <c r="B429" s="44" t="n"/>
      <c r="C429" s="44" t="n"/>
      <c r="D429" s="44" t="n"/>
      <c r="E429" s="44" t="n"/>
      <c r="F429" s="44" t="n"/>
      <c r="G429" s="44" t="n"/>
      <c r="H429" s="44" t="n"/>
      <c r="I429" s="44" t="n"/>
    </row>
    <row r="430" ht="15" customHeight="1" s="28">
      <c r="A430" s="45" t="n"/>
      <c r="B430" s="44" t="n"/>
      <c r="C430" s="44" t="n"/>
      <c r="D430" s="44" t="n"/>
      <c r="E430" s="44" t="n"/>
      <c r="F430" s="44" t="n"/>
      <c r="G430" s="44" t="n"/>
      <c r="H430" s="44" t="n"/>
      <c r="I430" s="44" t="n"/>
    </row>
    <row r="431" ht="15" customHeight="1" s="28">
      <c r="A431" s="45" t="n"/>
      <c r="B431" s="44" t="n"/>
      <c r="C431" s="44" t="n"/>
      <c r="D431" s="44" t="n"/>
      <c r="E431" s="44" t="n"/>
      <c r="F431" s="44" t="n"/>
      <c r="G431" s="44" t="n"/>
      <c r="H431" s="44" t="n"/>
      <c r="I431" s="44" t="n"/>
    </row>
    <row r="432" ht="15" customHeight="1" s="28">
      <c r="A432" s="45" t="n"/>
      <c r="B432" s="44" t="n"/>
      <c r="C432" s="44" t="n"/>
      <c r="D432" s="44" t="n"/>
      <c r="E432" s="44" t="n"/>
      <c r="F432" s="44" t="n"/>
      <c r="G432" s="44" t="n"/>
      <c r="H432" s="44" t="n"/>
      <c r="I432" s="44" t="n"/>
    </row>
    <row r="433" ht="15" customHeight="1" s="28">
      <c r="A433" s="45" t="n"/>
      <c r="B433" s="44" t="n"/>
      <c r="C433" s="44" t="n"/>
      <c r="D433" s="44" t="n"/>
      <c r="E433" s="44" t="n"/>
      <c r="F433" s="44" t="n"/>
      <c r="G433" s="44" t="n"/>
      <c r="H433" s="44" t="n"/>
      <c r="I433" s="44" t="n"/>
    </row>
    <row r="434" ht="15" customHeight="1" s="28">
      <c r="A434" s="45" t="n"/>
      <c r="B434" s="44" t="n"/>
      <c r="C434" s="44" t="n"/>
      <c r="D434" s="44" t="n"/>
      <c r="E434" s="44" t="n"/>
      <c r="F434" s="44" t="n"/>
      <c r="G434" s="44" t="n"/>
      <c r="H434" s="44" t="n"/>
      <c r="I434" s="44" t="n"/>
    </row>
    <row r="435" ht="15" customHeight="1" s="28">
      <c r="A435" s="45" t="n"/>
      <c r="B435" s="44" t="n"/>
      <c r="C435" s="44" t="n"/>
      <c r="D435" s="44" t="n"/>
      <c r="E435" s="44" t="n"/>
      <c r="F435" s="44" t="n"/>
      <c r="G435" s="44" t="n"/>
      <c r="H435" s="44" t="n"/>
      <c r="I435" s="44" t="n"/>
    </row>
    <row r="436" ht="15" customHeight="1" s="28">
      <c r="A436" s="45" t="n"/>
      <c r="B436" s="44" t="n"/>
      <c r="C436" s="44" t="n"/>
      <c r="D436" s="44" t="n"/>
      <c r="E436" s="44" t="n"/>
      <c r="F436" s="44" t="n"/>
      <c r="G436" s="44" t="n"/>
      <c r="H436" s="44" t="n"/>
      <c r="I436" s="44" t="n"/>
    </row>
    <row r="437" ht="15" customHeight="1" s="28">
      <c r="A437" s="45" t="n"/>
      <c r="B437" s="44" t="n"/>
      <c r="C437" s="44" t="n"/>
      <c r="D437" s="44" t="n"/>
      <c r="E437" s="44" t="n"/>
      <c r="F437" s="44" t="n"/>
      <c r="G437" s="44" t="n"/>
      <c r="H437" s="44" t="n"/>
      <c r="I437" s="44" t="n"/>
    </row>
    <row r="438" ht="15" customHeight="1" s="28">
      <c r="A438" s="45" t="n"/>
      <c r="B438" s="44" t="n"/>
      <c r="C438" s="44" t="n"/>
      <c r="D438" s="44" t="n"/>
      <c r="E438" s="44" t="n"/>
      <c r="F438" s="44" t="n"/>
      <c r="G438" s="44" t="n"/>
      <c r="H438" s="44" t="n"/>
      <c r="I438" s="44" t="n"/>
    </row>
    <row r="439" ht="15" customHeight="1" s="28">
      <c r="A439" s="45" t="n"/>
      <c r="B439" s="44" t="n"/>
      <c r="C439" s="44" t="n"/>
      <c r="D439" s="44" t="n"/>
      <c r="E439" s="44" t="n"/>
      <c r="F439" s="44" t="n"/>
      <c r="G439" s="44" t="n"/>
      <c r="H439" s="44" t="n"/>
      <c r="I439" s="44" t="n"/>
    </row>
    <row r="440" ht="15" customHeight="1" s="28">
      <c r="A440" s="45" t="n"/>
      <c r="B440" s="44" t="n"/>
      <c r="C440" s="44" t="n"/>
      <c r="D440" s="44" t="n"/>
      <c r="E440" s="44" t="n"/>
      <c r="F440" s="44" t="n"/>
      <c r="G440" s="44" t="n"/>
      <c r="H440" s="44" t="n"/>
      <c r="I440" s="44" t="n"/>
    </row>
    <row r="441" ht="15" customHeight="1" s="28">
      <c r="A441" s="45" t="n"/>
      <c r="B441" s="44" t="n"/>
      <c r="C441" s="44" t="n"/>
      <c r="D441" s="44" t="n"/>
      <c r="E441" s="44" t="n"/>
      <c r="F441" s="44" t="n"/>
      <c r="G441" s="44" t="n"/>
      <c r="H441" s="44" t="n"/>
      <c r="I441" s="44" t="n"/>
    </row>
    <row r="442" ht="15" customHeight="1" s="28">
      <c r="A442" s="45" t="n"/>
      <c r="B442" s="44" t="n"/>
      <c r="C442" s="44" t="n"/>
      <c r="D442" s="44" t="n"/>
      <c r="E442" s="44" t="n"/>
      <c r="F442" s="44" t="n"/>
      <c r="G442" s="44" t="n"/>
      <c r="H442" s="44" t="n"/>
      <c r="I442" s="44" t="n"/>
    </row>
    <row r="443" ht="15" customHeight="1" s="28">
      <c r="A443" s="45" t="n"/>
      <c r="B443" s="44" t="n"/>
      <c r="C443" s="44" t="n"/>
      <c r="D443" s="44" t="n"/>
      <c r="E443" s="44" t="n"/>
      <c r="F443" s="44" t="n"/>
      <c r="G443" s="44" t="n"/>
      <c r="H443" s="44" t="n"/>
      <c r="I443" s="44" t="n"/>
    </row>
    <row r="444" ht="15" customHeight="1" s="28">
      <c r="A444" s="45" t="n"/>
      <c r="B444" s="44" t="n"/>
      <c r="C444" s="44" t="n"/>
      <c r="D444" s="44" t="n"/>
      <c r="E444" s="44" t="n"/>
      <c r="F444" s="44" t="n"/>
      <c r="G444" s="44" t="n"/>
      <c r="H444" s="44" t="n"/>
      <c r="I444" s="44" t="n"/>
    </row>
    <row r="445" ht="15" customHeight="1" s="28">
      <c r="A445" s="45" t="n"/>
      <c r="B445" s="44" t="n"/>
      <c r="C445" s="44" t="n"/>
      <c r="D445" s="44" t="n"/>
      <c r="E445" s="44" t="n"/>
      <c r="F445" s="44" t="n"/>
      <c r="G445" s="44" t="n"/>
      <c r="H445" s="44" t="n"/>
      <c r="I445" s="44" t="n"/>
    </row>
    <row r="446" ht="15" customHeight="1" s="28">
      <c r="A446" s="45" t="n"/>
      <c r="B446" s="44" t="n"/>
      <c r="C446" s="44" t="n"/>
      <c r="D446" s="44" t="n"/>
      <c r="E446" s="44" t="n"/>
      <c r="F446" s="44" t="n"/>
      <c r="G446" s="44" t="n"/>
      <c r="H446" s="44" t="n"/>
      <c r="I446" s="44" t="n"/>
    </row>
    <row r="447" ht="15" customHeight="1" s="28">
      <c r="A447" s="45" t="n"/>
      <c r="B447" s="44" t="n"/>
      <c r="C447" s="44" t="n"/>
      <c r="D447" s="44" t="n"/>
      <c r="E447" s="44" t="n"/>
      <c r="F447" s="44" t="n"/>
      <c r="G447" s="44" t="n"/>
      <c r="H447" s="44" t="n"/>
      <c r="I447" s="44" t="n"/>
    </row>
    <row r="448" ht="15" customHeight="1" s="28">
      <c r="A448" s="45" t="n"/>
      <c r="B448" s="44" t="n"/>
      <c r="C448" s="44" t="n"/>
      <c r="D448" s="44" t="n"/>
      <c r="E448" s="44" t="n"/>
      <c r="F448" s="44" t="n"/>
      <c r="G448" s="44" t="n"/>
      <c r="H448" s="44" t="n"/>
      <c r="I448" s="44" t="n"/>
    </row>
    <row r="449" ht="15" customHeight="1" s="28">
      <c r="A449" s="45" t="n"/>
      <c r="B449" s="44" t="n"/>
      <c r="C449" s="44" t="n"/>
      <c r="D449" s="44" t="n"/>
      <c r="E449" s="44" t="n"/>
      <c r="F449" s="44" t="n"/>
      <c r="G449" s="44" t="n"/>
      <c r="H449" s="44" t="n"/>
      <c r="I449" s="44" t="n"/>
    </row>
    <row r="450" ht="15" customHeight="1" s="28">
      <c r="A450" s="45" t="n"/>
      <c r="B450" s="44" t="n"/>
      <c r="C450" s="44" t="n"/>
      <c r="D450" s="44" t="n"/>
      <c r="E450" s="44" t="n"/>
      <c r="F450" s="44" t="n"/>
      <c r="G450" s="44" t="n"/>
      <c r="H450" s="44" t="n"/>
      <c r="I450" s="44" t="n"/>
    </row>
    <row r="451" ht="15" customHeight="1" s="28">
      <c r="A451" s="45" t="n"/>
      <c r="B451" s="44" t="n"/>
      <c r="C451" s="44" t="n"/>
      <c r="D451" s="44" t="n"/>
      <c r="E451" s="44" t="n"/>
      <c r="F451" s="44" t="n"/>
      <c r="G451" s="44" t="n"/>
      <c r="H451" s="44" t="n"/>
      <c r="I451" s="44" t="n"/>
    </row>
    <row r="452" ht="15" customHeight="1" s="28">
      <c r="A452" s="45" t="n"/>
      <c r="B452" s="44" t="n"/>
      <c r="C452" s="44" t="n"/>
      <c r="D452" s="44" t="n"/>
      <c r="E452" s="44" t="n"/>
      <c r="F452" s="44" t="n"/>
      <c r="G452" s="44" t="n"/>
      <c r="H452" s="44" t="n"/>
      <c r="I452" s="44" t="n"/>
    </row>
    <row r="453" ht="15" customHeight="1" s="28">
      <c r="A453" s="45" t="n"/>
      <c r="B453" s="44" t="n"/>
      <c r="C453" s="44" t="n"/>
      <c r="D453" s="44" t="n"/>
      <c r="E453" s="44" t="n"/>
      <c r="F453" s="44" t="n"/>
      <c r="G453" s="44" t="n"/>
      <c r="H453" s="44" t="n"/>
      <c r="I453" s="44" t="n"/>
    </row>
    <row r="454" ht="15" customHeight="1" s="28">
      <c r="A454" s="45" t="n"/>
      <c r="B454" s="44" t="n"/>
      <c r="C454" s="44" t="n"/>
      <c r="D454" s="44" t="n"/>
      <c r="E454" s="44" t="n"/>
      <c r="F454" s="44" t="n"/>
      <c r="G454" s="44" t="n"/>
      <c r="H454" s="44" t="n"/>
      <c r="I454" s="44" t="n"/>
    </row>
    <row r="455" ht="15" customHeight="1" s="28">
      <c r="A455" s="45" t="n"/>
      <c r="B455" s="44" t="n"/>
      <c r="C455" s="44" t="n"/>
      <c r="D455" s="44" t="n"/>
      <c r="E455" s="44" t="n"/>
      <c r="F455" s="44" t="n"/>
      <c r="G455" s="44" t="n"/>
      <c r="H455" s="44" t="n"/>
      <c r="I455" s="44" t="n"/>
    </row>
    <row r="456" ht="15" customHeight="1" s="28">
      <c r="A456" s="45" t="n"/>
      <c r="B456" s="44" t="n"/>
      <c r="C456" s="44" t="n"/>
      <c r="D456" s="44" t="n"/>
      <c r="E456" s="44" t="n"/>
      <c r="F456" s="44" t="n"/>
      <c r="G456" s="44" t="n"/>
      <c r="H456" s="44" t="n"/>
      <c r="I456" s="44" t="n"/>
    </row>
    <row r="457" ht="15" customHeight="1" s="28">
      <c r="A457" s="45" t="n"/>
      <c r="B457" s="44" t="n"/>
      <c r="C457" s="44" t="n"/>
      <c r="D457" s="44" t="n"/>
      <c r="E457" s="44" t="n"/>
      <c r="F457" s="44" t="n"/>
      <c r="G457" s="44" t="n"/>
      <c r="H457" s="44" t="n"/>
      <c r="I457" s="44" t="n"/>
    </row>
    <row r="458" ht="15" customHeight="1" s="28">
      <c r="A458" s="45" t="n"/>
      <c r="B458" s="44" t="n"/>
      <c r="C458" s="44" t="n"/>
      <c r="D458" s="44" t="n"/>
      <c r="E458" s="44" t="n"/>
      <c r="F458" s="44" t="n"/>
      <c r="G458" s="44" t="n"/>
      <c r="H458" s="44" t="n"/>
      <c r="I458" s="44" t="n"/>
    </row>
    <row r="459" ht="15" customHeight="1" s="28">
      <c r="A459" s="45" t="n"/>
      <c r="B459" s="44" t="n"/>
      <c r="C459" s="44" t="n"/>
      <c r="D459" s="44" t="n"/>
      <c r="E459" s="44" t="n"/>
      <c r="F459" s="44" t="n"/>
      <c r="G459" s="44" t="n"/>
      <c r="H459" s="44" t="n"/>
      <c r="I459" s="44" t="n"/>
    </row>
    <row r="460" ht="15" customHeight="1" s="28">
      <c r="A460" s="45" t="n"/>
      <c r="B460" s="44" t="n"/>
      <c r="C460" s="44" t="n"/>
      <c r="D460" s="44" t="n"/>
      <c r="E460" s="44" t="n"/>
      <c r="F460" s="44" t="n"/>
      <c r="G460" s="44" t="n"/>
      <c r="H460" s="44" t="n"/>
      <c r="I460" s="44" t="n"/>
    </row>
    <row r="461" ht="15" customHeight="1" s="28">
      <c r="A461" s="45" t="n"/>
      <c r="B461" s="44" t="n"/>
      <c r="C461" s="44" t="n"/>
      <c r="D461" s="44" t="n"/>
      <c r="E461" s="44" t="n"/>
      <c r="F461" s="44" t="n"/>
      <c r="G461" s="44" t="n"/>
      <c r="H461" s="44" t="n"/>
      <c r="I461" s="44" t="n"/>
    </row>
    <row r="462" ht="15" customHeight="1" s="28">
      <c r="A462" s="45" t="n"/>
      <c r="B462" s="44" t="n"/>
      <c r="C462" s="44" t="n"/>
      <c r="D462" s="44" t="n"/>
      <c r="E462" s="44" t="n"/>
      <c r="F462" s="44" t="n"/>
      <c r="G462" s="44" t="n"/>
      <c r="H462" s="44" t="n"/>
      <c r="I462" s="44" t="n"/>
    </row>
    <row r="463" ht="15" customHeight="1" s="28">
      <c r="A463" s="45" t="n"/>
      <c r="B463" s="44" t="n"/>
      <c r="C463" s="44" t="n"/>
      <c r="D463" s="44" t="n"/>
      <c r="E463" s="44" t="n"/>
      <c r="F463" s="44" t="n"/>
      <c r="G463" s="44" t="n"/>
      <c r="H463" s="44" t="n"/>
      <c r="I463" s="44" t="n"/>
    </row>
    <row r="464" ht="15" customHeight="1" s="28">
      <c r="A464" s="45" t="n"/>
      <c r="B464" s="44" t="n"/>
      <c r="C464" s="44" t="n"/>
      <c r="D464" s="44" t="n"/>
      <c r="E464" s="44" t="n"/>
      <c r="F464" s="44" t="n"/>
      <c r="G464" s="44" t="n"/>
      <c r="H464" s="44" t="n"/>
      <c r="I464" s="44" t="n"/>
    </row>
    <row r="465" ht="15" customHeight="1" s="28">
      <c r="A465" s="45" t="n"/>
      <c r="B465" s="44" t="n"/>
      <c r="C465" s="44" t="n"/>
      <c r="D465" s="44" t="n"/>
      <c r="E465" s="44" t="n"/>
      <c r="F465" s="44" t="n"/>
      <c r="G465" s="44" t="n"/>
      <c r="H465" s="44" t="n"/>
      <c r="I465" s="44" t="n"/>
    </row>
    <row r="466" ht="15" customHeight="1" s="28">
      <c r="A466" s="45" t="n"/>
      <c r="B466" s="44" t="n"/>
      <c r="C466" s="44" t="n"/>
      <c r="D466" s="44" t="n"/>
      <c r="E466" s="44" t="n"/>
      <c r="F466" s="44" t="n"/>
      <c r="G466" s="44" t="n"/>
      <c r="H466" s="44" t="n"/>
      <c r="I466" s="44" t="n"/>
    </row>
    <row r="467" ht="15" customHeight="1" s="28">
      <c r="A467" s="45" t="n"/>
      <c r="B467" s="44" t="n"/>
      <c r="C467" s="44" t="n"/>
      <c r="D467" s="44" t="n"/>
      <c r="E467" s="44" t="n"/>
      <c r="F467" s="44" t="n"/>
      <c r="G467" s="44" t="n"/>
      <c r="H467" s="44" t="n"/>
      <c r="I467" s="44" t="n"/>
    </row>
    <row r="468" ht="15" customHeight="1" s="28">
      <c r="A468" s="45" t="n"/>
      <c r="B468" s="44" t="n"/>
      <c r="C468" s="44" t="n"/>
      <c r="D468" s="44" t="n"/>
      <c r="E468" s="44" t="n"/>
      <c r="F468" s="44" t="n"/>
      <c r="G468" s="44" t="n"/>
      <c r="H468" s="44" t="n"/>
      <c r="I468" s="44" t="n"/>
    </row>
    <row r="469" ht="15" customHeight="1" s="28">
      <c r="A469" s="45" t="n"/>
      <c r="B469" s="44" t="n"/>
      <c r="C469" s="44" t="n"/>
      <c r="D469" s="44" t="n"/>
      <c r="E469" s="44" t="n"/>
      <c r="F469" s="44" t="n"/>
      <c r="G469" s="44" t="n"/>
      <c r="H469" s="44" t="n"/>
      <c r="I469" s="44" t="n"/>
    </row>
    <row r="470" ht="15" customHeight="1" s="28">
      <c r="A470" s="45" t="n"/>
      <c r="B470" s="44" t="n"/>
      <c r="C470" s="44" t="n"/>
      <c r="D470" s="44" t="n"/>
      <c r="E470" s="44" t="n"/>
      <c r="F470" s="44" t="n"/>
      <c r="G470" s="44" t="n"/>
      <c r="H470" s="44" t="n"/>
      <c r="I470" s="44" t="n"/>
    </row>
    <row r="471" ht="15" customHeight="1" s="28">
      <c r="A471" s="45" t="n"/>
      <c r="B471" s="44" t="n"/>
      <c r="C471" s="44" t="n"/>
      <c r="D471" s="44" t="n"/>
      <c r="E471" s="44" t="n"/>
      <c r="F471" s="44" t="n"/>
      <c r="G471" s="44" t="n"/>
      <c r="H471" s="44" t="n"/>
      <c r="I471" s="44" t="n"/>
    </row>
    <row r="472" ht="15" customHeight="1" s="28">
      <c r="A472" s="45" t="n"/>
      <c r="B472" s="44" t="n"/>
      <c r="C472" s="44" t="n"/>
      <c r="D472" s="44" t="n"/>
      <c r="E472" s="44" t="n"/>
      <c r="F472" s="44" t="n"/>
      <c r="G472" s="44" t="n"/>
      <c r="H472" s="44" t="n"/>
      <c r="I472" s="44" t="n"/>
    </row>
    <row r="473" ht="15" customHeight="1" s="28">
      <c r="A473" s="45" t="n"/>
      <c r="B473" s="44" t="n"/>
      <c r="C473" s="44" t="n"/>
      <c r="D473" s="44" t="n"/>
      <c r="E473" s="44" t="n"/>
      <c r="F473" s="44" t="n"/>
      <c r="G473" s="44" t="n"/>
      <c r="H473" s="44" t="n"/>
      <c r="I473" s="44" t="n"/>
    </row>
    <row r="474" ht="15" customHeight="1" s="28">
      <c r="A474" s="45" t="n"/>
      <c r="B474" s="44" t="n"/>
      <c r="C474" s="44" t="n"/>
      <c r="D474" s="44" t="n"/>
      <c r="E474" s="44" t="n"/>
      <c r="F474" s="44" t="n"/>
      <c r="G474" s="44" t="n"/>
      <c r="H474" s="44" t="n"/>
      <c r="I474" s="44" t="n"/>
    </row>
    <row r="475" ht="15" customHeight="1" s="28">
      <c r="A475" s="45" t="n"/>
      <c r="B475" s="44" t="n"/>
      <c r="C475" s="44" t="n"/>
      <c r="D475" s="44" t="n"/>
      <c r="E475" s="44" t="n"/>
      <c r="F475" s="44" t="n"/>
      <c r="G475" s="44" t="n"/>
      <c r="H475" s="44" t="n"/>
      <c r="I475" s="44" t="n"/>
    </row>
    <row r="476" ht="15" customHeight="1" s="28">
      <c r="A476" s="45" t="n"/>
      <c r="B476" s="44" t="n"/>
      <c r="C476" s="44" t="n"/>
      <c r="D476" s="44" t="n"/>
      <c r="E476" s="44" t="n"/>
      <c r="F476" s="44" t="n"/>
      <c r="G476" s="44" t="n"/>
      <c r="H476" s="44" t="n"/>
      <c r="I476" s="44" t="n"/>
    </row>
    <row r="477" ht="15" customHeight="1" s="28">
      <c r="A477" s="45" t="n"/>
      <c r="B477" s="44" t="n"/>
      <c r="C477" s="44" t="n"/>
      <c r="D477" s="44" t="n"/>
      <c r="E477" s="44" t="n"/>
      <c r="F477" s="44" t="n"/>
      <c r="G477" s="44" t="n"/>
      <c r="H477" s="44" t="n"/>
      <c r="I477" s="44" t="n"/>
    </row>
    <row r="478" ht="15" customHeight="1" s="28">
      <c r="A478" s="45" t="n"/>
      <c r="B478" s="44" t="n"/>
      <c r="C478" s="44" t="n"/>
      <c r="D478" s="44" t="n"/>
      <c r="E478" s="44" t="n"/>
      <c r="F478" s="44" t="n"/>
      <c r="G478" s="44" t="n"/>
      <c r="H478" s="44" t="n"/>
      <c r="I478" s="44" t="n"/>
    </row>
    <row r="479" ht="15" customHeight="1" s="28">
      <c r="A479" s="45" t="n"/>
      <c r="B479" s="44" t="n"/>
      <c r="C479" s="44" t="n"/>
      <c r="D479" s="44" t="n"/>
      <c r="E479" s="44" t="n"/>
      <c r="F479" s="44" t="n"/>
      <c r="G479" s="44" t="n"/>
      <c r="H479" s="44" t="n"/>
      <c r="I479" s="44" t="n"/>
    </row>
    <row r="480" ht="15" customHeight="1" s="28">
      <c r="A480" s="45" t="n"/>
      <c r="B480" s="44" t="n"/>
      <c r="C480" s="44" t="n"/>
      <c r="D480" s="44" t="n"/>
      <c r="E480" s="44" t="n"/>
      <c r="F480" s="44" t="n"/>
      <c r="G480" s="44" t="n"/>
      <c r="H480" s="44" t="n"/>
      <c r="I480" s="44" t="n"/>
    </row>
    <row r="481" ht="15" customHeight="1" s="28">
      <c r="A481" s="45" t="n"/>
      <c r="B481" s="44" t="n"/>
      <c r="C481" s="44" t="n"/>
      <c r="D481" s="44" t="n"/>
      <c r="E481" s="44" t="n"/>
      <c r="F481" s="44" t="n"/>
      <c r="G481" s="44" t="n"/>
      <c r="H481" s="44" t="n"/>
      <c r="I481" s="44" t="n"/>
    </row>
    <row r="482" ht="15" customHeight="1" s="28">
      <c r="A482" s="45" t="n"/>
      <c r="B482" s="44" t="n"/>
      <c r="C482" s="44" t="n"/>
      <c r="D482" s="44" t="n"/>
      <c r="E482" s="44" t="n"/>
      <c r="F482" s="44" t="n"/>
      <c r="G482" s="44" t="n"/>
      <c r="H482" s="44" t="n"/>
      <c r="I482" s="44" t="n"/>
    </row>
    <row r="483" ht="15" customHeight="1" s="28">
      <c r="A483" s="45" t="n"/>
      <c r="B483" s="44" t="n"/>
      <c r="C483" s="44" t="n"/>
      <c r="D483" s="44" t="n"/>
      <c r="E483" s="44" t="n"/>
      <c r="F483" s="44" t="n"/>
      <c r="G483" s="44" t="n"/>
      <c r="H483" s="44" t="n"/>
      <c r="I483" s="44" t="n"/>
    </row>
    <row r="484" ht="15" customHeight="1" s="28">
      <c r="A484" s="45" t="n"/>
      <c r="B484" s="44" t="n"/>
      <c r="C484" s="44" t="n"/>
      <c r="D484" s="44" t="n"/>
      <c r="E484" s="44" t="n"/>
      <c r="F484" s="44" t="n"/>
      <c r="G484" s="44" t="n"/>
      <c r="H484" s="44" t="n"/>
      <c r="I484" s="44" t="n"/>
    </row>
    <row r="485" ht="15" customHeight="1" s="28">
      <c r="A485" s="45" t="n"/>
      <c r="B485" s="44" t="n"/>
      <c r="C485" s="44" t="n"/>
      <c r="D485" s="44" t="n"/>
      <c r="E485" s="44" t="n"/>
      <c r="F485" s="44" t="n"/>
      <c r="G485" s="44" t="n"/>
      <c r="H485" s="44" t="n"/>
      <c r="I485" s="44" t="n"/>
    </row>
    <row r="486" ht="15" customHeight="1" s="28">
      <c r="A486" s="45" t="n"/>
      <c r="B486" s="44" t="n"/>
      <c r="C486" s="44" t="n"/>
      <c r="D486" s="44" t="n"/>
      <c r="E486" s="44" t="n"/>
      <c r="F486" s="44" t="n"/>
      <c r="G486" s="44" t="n"/>
      <c r="H486" s="44" t="n"/>
      <c r="I486" s="44" t="n"/>
    </row>
    <row r="487" ht="15" customHeight="1" s="28">
      <c r="A487" s="45" t="n"/>
      <c r="B487" s="44" t="n"/>
      <c r="C487" s="44" t="n"/>
      <c r="D487" s="44" t="n"/>
      <c r="E487" s="44" t="n"/>
      <c r="F487" s="44" t="n"/>
      <c r="G487" s="44" t="n"/>
      <c r="H487" s="44" t="n"/>
      <c r="I487" s="44" t="n"/>
    </row>
    <row r="488" ht="15" customHeight="1" s="28">
      <c r="A488" s="45" t="n"/>
      <c r="B488" s="44" t="n"/>
      <c r="C488" s="44" t="n"/>
      <c r="D488" s="44" t="n"/>
      <c r="E488" s="44" t="n"/>
      <c r="F488" s="44" t="n"/>
      <c r="G488" s="44" t="n"/>
      <c r="H488" s="44" t="n"/>
      <c r="I488" s="44" t="n"/>
    </row>
    <row r="489" ht="15" customHeight="1" s="28">
      <c r="A489" s="45" t="n"/>
      <c r="B489" s="44" t="n"/>
      <c r="C489" s="44" t="n"/>
      <c r="D489" s="44" t="n"/>
      <c r="E489" s="44" t="n"/>
      <c r="F489" s="44" t="n"/>
      <c r="G489" s="44" t="n"/>
      <c r="H489" s="44" t="n"/>
      <c r="I489" s="44" t="n"/>
    </row>
    <row r="490" ht="15" customHeight="1" s="28">
      <c r="A490" s="45" t="n"/>
      <c r="B490" s="44" t="n"/>
      <c r="C490" s="44" t="n"/>
      <c r="D490" s="44" t="n"/>
      <c r="E490" s="44" t="n"/>
      <c r="F490" s="44" t="n"/>
      <c r="G490" s="44" t="n"/>
      <c r="H490" s="44" t="n"/>
      <c r="I490" s="44" t="n"/>
    </row>
    <row r="491" ht="15" customHeight="1" s="28">
      <c r="A491" s="45" t="n"/>
      <c r="B491" s="44" t="n"/>
      <c r="C491" s="44" t="n"/>
      <c r="D491" s="44" t="n"/>
      <c r="E491" s="44" t="n"/>
      <c r="F491" s="44" t="n"/>
      <c r="G491" s="44" t="n"/>
      <c r="H491" s="44" t="n"/>
      <c r="I491" s="44" t="n"/>
    </row>
    <row r="492" ht="15" customHeight="1" s="28">
      <c r="A492" s="45" t="n"/>
      <c r="B492" s="44" t="n"/>
      <c r="C492" s="44" t="n"/>
      <c r="D492" s="44" t="n"/>
      <c r="E492" s="44" t="n"/>
      <c r="F492" s="44" t="n"/>
      <c r="G492" s="44" t="n"/>
      <c r="H492" s="44" t="n"/>
      <c r="I492" s="44" t="n"/>
    </row>
    <row r="493" ht="15" customHeight="1" s="28">
      <c r="A493" s="45" t="n"/>
      <c r="B493" s="44" t="n"/>
      <c r="C493" s="44" t="n"/>
      <c r="D493" s="44" t="n"/>
      <c r="E493" s="44" t="n"/>
      <c r="F493" s="44" t="n"/>
      <c r="G493" s="44" t="n"/>
      <c r="H493" s="44" t="n"/>
      <c r="I493" s="44" t="n"/>
    </row>
    <row r="494" ht="15" customHeight="1" s="28">
      <c r="A494" s="45" t="n"/>
      <c r="B494" s="44" t="n"/>
      <c r="C494" s="44" t="n"/>
      <c r="D494" s="44" t="n"/>
      <c r="E494" s="44" t="n"/>
      <c r="F494" s="44" t="n"/>
      <c r="G494" s="44" t="n"/>
      <c r="H494" s="44" t="n"/>
      <c r="I494" s="44" t="n"/>
    </row>
    <row r="495" ht="15" customHeight="1" s="28">
      <c r="A495" s="45" t="n"/>
      <c r="B495" s="44" t="n"/>
      <c r="C495" s="44" t="n"/>
      <c r="D495" s="44" t="n"/>
      <c r="E495" s="44" t="n"/>
      <c r="F495" s="44" t="n"/>
      <c r="G495" s="44" t="n"/>
      <c r="H495" s="44" t="n"/>
      <c r="I495" s="44" t="n"/>
    </row>
    <row r="496" ht="15" customHeight="1" s="28">
      <c r="A496" s="45" t="n"/>
      <c r="B496" s="44" t="n"/>
      <c r="C496" s="44" t="n"/>
      <c r="D496" s="44" t="n"/>
      <c r="E496" s="44" t="n"/>
      <c r="F496" s="44" t="n"/>
      <c r="G496" s="44" t="n"/>
      <c r="H496" s="44" t="n"/>
      <c r="I496" s="44" t="n"/>
    </row>
    <row r="497" ht="15" customHeight="1" s="28">
      <c r="A497" s="45" t="n"/>
      <c r="B497" s="44" t="n"/>
      <c r="C497" s="44" t="n"/>
      <c r="D497" s="44" t="n"/>
      <c r="E497" s="44" t="n"/>
      <c r="F497" s="44" t="n"/>
      <c r="G497" s="44" t="n"/>
      <c r="H497" s="44" t="n"/>
      <c r="I497" s="44" t="n"/>
    </row>
    <row r="498" ht="15" customHeight="1" s="28">
      <c r="A498" s="45" t="n"/>
      <c r="B498" s="44" t="n"/>
      <c r="C498" s="44" t="n"/>
      <c r="D498" s="44" t="n"/>
      <c r="E498" s="44" t="n"/>
      <c r="F498" s="44" t="n"/>
      <c r="G498" s="44" t="n"/>
      <c r="H498" s="44" t="n"/>
      <c r="I498" s="44" t="n"/>
    </row>
    <row r="499" ht="15" customHeight="1" s="28">
      <c r="A499" s="45" t="n"/>
      <c r="B499" s="44" t="n"/>
      <c r="C499" s="44" t="n"/>
      <c r="D499" s="44" t="n"/>
      <c r="E499" s="44" t="n"/>
      <c r="F499" s="44" t="n"/>
      <c r="G499" s="44" t="n"/>
      <c r="H499" s="44" t="n"/>
      <c r="I499" s="44" t="n"/>
    </row>
    <row r="500" ht="15" customHeight="1" s="28">
      <c r="A500" s="45" t="n"/>
      <c r="B500" s="44" t="n"/>
      <c r="C500" s="44" t="n"/>
      <c r="D500" s="44" t="n"/>
      <c r="E500" s="44" t="n"/>
      <c r="F500" s="44" t="n"/>
      <c r="G500" s="44" t="n"/>
      <c r="H500" s="44" t="n"/>
      <c r="I500" s="44" t="n"/>
    </row>
    <row r="501" ht="15" customHeight="1" s="28">
      <c r="A501" s="45" t="n"/>
      <c r="B501" s="44" t="n"/>
      <c r="C501" s="44" t="n"/>
      <c r="D501" s="44" t="n"/>
      <c r="E501" s="44" t="n"/>
      <c r="F501" s="44" t="n"/>
      <c r="G501" s="44" t="n"/>
      <c r="H501" s="44" t="n"/>
      <c r="I501" s="44" t="n"/>
    </row>
    <row r="502" ht="15" customHeight="1" s="28">
      <c r="A502" s="45" t="n"/>
      <c r="B502" s="44" t="n"/>
      <c r="C502" s="44" t="n"/>
      <c r="D502" s="44" t="n"/>
      <c r="E502" s="44" t="n"/>
      <c r="F502" s="44" t="n"/>
      <c r="G502" s="44" t="n"/>
      <c r="H502" s="44" t="n"/>
      <c r="I502" s="44" t="n"/>
    </row>
    <row r="503" ht="15" customHeight="1" s="28">
      <c r="A503" s="45" t="n"/>
      <c r="B503" s="44" t="n"/>
      <c r="C503" s="44" t="n"/>
      <c r="D503" s="44" t="n"/>
      <c r="E503" s="44" t="n"/>
      <c r="F503" s="44" t="n"/>
      <c r="G503" s="44" t="n"/>
      <c r="H503" s="44" t="n"/>
      <c r="I503" s="44" t="n"/>
    </row>
    <row r="504" ht="15" customHeight="1" s="28">
      <c r="A504" s="45" t="n"/>
      <c r="B504" s="44" t="n"/>
      <c r="C504" s="44" t="n"/>
      <c r="D504" s="44" t="n"/>
      <c r="E504" s="44" t="n"/>
      <c r="F504" s="44" t="n"/>
      <c r="G504" s="44" t="n"/>
      <c r="H504" s="44" t="n"/>
      <c r="I504" s="44" t="n"/>
    </row>
    <row r="505" ht="15" customHeight="1" s="28">
      <c r="A505" s="45" t="n"/>
      <c r="B505" s="44" t="n"/>
      <c r="C505" s="44" t="n"/>
      <c r="D505" s="44" t="n"/>
      <c r="E505" s="44" t="n"/>
      <c r="F505" s="44" t="n"/>
      <c r="G505" s="44" t="n"/>
      <c r="H505" s="44" t="n"/>
      <c r="I505" s="44" t="n"/>
    </row>
    <row r="506" ht="15" customHeight="1" s="28">
      <c r="A506" s="45" t="n"/>
      <c r="B506" s="44" t="n"/>
      <c r="C506" s="44" t="n"/>
      <c r="D506" s="44" t="n"/>
      <c r="E506" s="44" t="n"/>
      <c r="F506" s="44" t="n"/>
      <c r="G506" s="44" t="n"/>
      <c r="H506" s="44" t="n"/>
      <c r="I506" s="44" t="n"/>
    </row>
    <row r="507" ht="15" customHeight="1" s="28">
      <c r="A507" s="45" t="n"/>
      <c r="B507" s="44" t="n"/>
      <c r="C507" s="44" t="n"/>
      <c r="D507" s="44" t="n"/>
      <c r="E507" s="44" t="n"/>
      <c r="F507" s="44" t="n"/>
      <c r="G507" s="44" t="n"/>
      <c r="H507" s="44" t="n"/>
      <c r="I507" s="44" t="n"/>
    </row>
    <row r="508" ht="15" customHeight="1" s="28">
      <c r="A508" s="45" t="n"/>
      <c r="B508" s="44" t="n"/>
      <c r="C508" s="44" t="n"/>
      <c r="D508" s="44" t="n"/>
      <c r="E508" s="44" t="n"/>
      <c r="F508" s="44" t="n"/>
      <c r="G508" s="44" t="n"/>
      <c r="H508" s="44" t="n"/>
      <c r="I508" s="44" t="n"/>
    </row>
    <row r="509" ht="15" customHeight="1" s="28">
      <c r="A509" s="45" t="n"/>
      <c r="B509" s="44" t="n"/>
      <c r="C509" s="44" t="n"/>
      <c r="D509" s="44" t="n"/>
      <c r="E509" s="44" t="n"/>
      <c r="F509" s="44" t="n"/>
      <c r="G509" s="44" t="n"/>
      <c r="H509" s="44" t="n"/>
      <c r="I509" s="44" t="n"/>
    </row>
    <row r="510" ht="15" customHeight="1" s="28">
      <c r="A510" s="45" t="n"/>
      <c r="B510" s="44" t="n"/>
      <c r="C510" s="44" t="n"/>
      <c r="D510" s="44" t="n"/>
      <c r="E510" s="44" t="n"/>
      <c r="F510" s="44" t="n"/>
      <c r="G510" s="44" t="n"/>
      <c r="H510" s="44" t="n"/>
      <c r="I510" s="44" t="n"/>
    </row>
    <row r="511" ht="15" customHeight="1" s="28">
      <c r="A511" s="45" t="n"/>
      <c r="B511" s="44" t="n"/>
      <c r="C511" s="44" t="n"/>
      <c r="D511" s="44" t="n"/>
      <c r="E511" s="44" t="n"/>
      <c r="F511" s="44" t="n"/>
      <c r="G511" s="44" t="n"/>
      <c r="H511" s="44" t="n"/>
      <c r="I511" s="44" t="n"/>
    </row>
    <row r="512" ht="15" customHeight="1" s="28">
      <c r="A512" s="45" t="n"/>
      <c r="B512" s="44" t="n"/>
      <c r="C512" s="44" t="n"/>
      <c r="D512" s="44" t="n"/>
      <c r="E512" s="44" t="n"/>
      <c r="F512" s="44" t="n"/>
      <c r="G512" s="44" t="n"/>
      <c r="H512" s="44" t="n"/>
      <c r="I512" s="44" t="n"/>
    </row>
    <row r="513" ht="15" customHeight="1" s="28">
      <c r="A513" s="45" t="n"/>
      <c r="B513" s="44" t="n"/>
      <c r="C513" s="44" t="n"/>
      <c r="D513" s="44" t="n"/>
      <c r="E513" s="44" t="n"/>
      <c r="F513" s="44" t="n"/>
      <c r="G513" s="44" t="n"/>
      <c r="H513" s="44" t="n"/>
      <c r="I513" s="44" t="n"/>
    </row>
    <row r="514" ht="15" customHeight="1" s="28">
      <c r="A514" s="45" t="n"/>
      <c r="B514" s="44" t="n"/>
      <c r="C514" s="44" t="n"/>
      <c r="D514" s="44" t="n"/>
      <c r="E514" s="44" t="n"/>
      <c r="F514" s="44" t="n"/>
      <c r="G514" s="44" t="n"/>
      <c r="H514" s="44" t="n"/>
      <c r="I514" s="44" t="n"/>
    </row>
    <row r="515" ht="15" customHeight="1" s="28">
      <c r="A515" s="45" t="n"/>
      <c r="B515" s="44" t="n"/>
      <c r="C515" s="44" t="n"/>
      <c r="D515" s="44" t="n"/>
      <c r="E515" s="44" t="n"/>
      <c r="F515" s="44" t="n"/>
      <c r="G515" s="44" t="n"/>
      <c r="H515" s="44" t="n"/>
      <c r="I515" s="44" t="n"/>
    </row>
    <row r="516" ht="15" customHeight="1" s="28">
      <c r="A516" s="45" t="n"/>
      <c r="B516" s="44" t="n"/>
      <c r="C516" s="44" t="n"/>
      <c r="D516" s="44" t="n"/>
      <c r="E516" s="44" t="n"/>
      <c r="F516" s="44" t="n"/>
      <c r="G516" s="44" t="n"/>
      <c r="H516" s="44" t="n"/>
      <c r="I516" s="44" t="n"/>
    </row>
    <row r="517" ht="15" customHeight="1" s="28">
      <c r="A517" s="45" t="n"/>
      <c r="B517" s="44" t="n"/>
      <c r="C517" s="44" t="n"/>
      <c r="D517" s="44" t="n"/>
      <c r="E517" s="44" t="n"/>
      <c r="F517" s="44" t="n"/>
      <c r="G517" s="44" t="n"/>
      <c r="H517" s="44" t="n"/>
      <c r="I517" s="44" t="n"/>
    </row>
    <row r="518" ht="15" customHeight="1" s="28">
      <c r="A518" s="45" t="n"/>
      <c r="B518" s="44" t="n"/>
      <c r="C518" s="44" t="n"/>
      <c r="D518" s="44" t="n"/>
      <c r="E518" s="44" t="n"/>
      <c r="F518" s="44" t="n"/>
      <c r="G518" s="44" t="n"/>
      <c r="H518" s="44" t="n"/>
      <c r="I518" s="44" t="n"/>
    </row>
    <row r="519" ht="15" customHeight="1" s="28">
      <c r="A519" s="45" t="n"/>
      <c r="B519" s="44" t="n"/>
      <c r="C519" s="44" t="n"/>
      <c r="D519" s="44" t="n"/>
      <c r="E519" s="44" t="n"/>
      <c r="F519" s="44" t="n"/>
      <c r="G519" s="44" t="n"/>
      <c r="H519" s="44" t="n"/>
      <c r="I519" s="44" t="n"/>
    </row>
    <row r="520" ht="15" customHeight="1" s="28">
      <c r="A520" s="45" t="n"/>
      <c r="B520" s="44" t="n"/>
      <c r="C520" s="44" t="n"/>
      <c r="D520" s="44" t="n"/>
      <c r="E520" s="44" t="n"/>
      <c r="F520" s="44" t="n"/>
      <c r="G520" s="44" t="n"/>
      <c r="H520" s="44" t="n"/>
      <c r="I520" s="44" t="n"/>
    </row>
    <row r="521" ht="15" customHeight="1" s="28">
      <c r="A521" s="45" t="n"/>
      <c r="B521" s="44" t="n"/>
      <c r="C521" s="44" t="n"/>
      <c r="D521" s="44" t="n"/>
      <c r="E521" s="44" t="n"/>
      <c r="F521" s="44" t="n"/>
      <c r="G521" s="44" t="n"/>
      <c r="H521" s="44" t="n"/>
      <c r="I521" s="44" t="n"/>
    </row>
    <row r="522" ht="15" customHeight="1" s="28">
      <c r="A522" s="45" t="n"/>
      <c r="B522" s="44" t="n"/>
      <c r="C522" s="44" t="n"/>
      <c r="D522" s="44" t="n"/>
      <c r="E522" s="44" t="n"/>
      <c r="F522" s="44" t="n"/>
      <c r="G522" s="44" t="n"/>
      <c r="H522" s="44" t="n"/>
      <c r="I522" s="44" t="n"/>
    </row>
    <row r="523" ht="15" customHeight="1" s="28">
      <c r="A523" s="45" t="n"/>
      <c r="B523" s="44" t="n"/>
      <c r="C523" s="44" t="n"/>
      <c r="D523" s="44" t="n"/>
      <c r="E523" s="44" t="n"/>
      <c r="F523" s="44" t="n"/>
      <c r="G523" s="44" t="n"/>
      <c r="H523" s="44" t="n"/>
      <c r="I523" s="44" t="n"/>
    </row>
    <row r="524" ht="15" customHeight="1" s="28">
      <c r="A524" s="45" t="n"/>
      <c r="B524" s="44" t="n"/>
      <c r="C524" s="44" t="n"/>
      <c r="D524" s="44" t="n"/>
      <c r="E524" s="44" t="n"/>
      <c r="F524" s="44" t="n"/>
      <c r="G524" s="44" t="n"/>
      <c r="H524" s="44" t="n"/>
      <c r="I524" s="44" t="n"/>
    </row>
    <row r="525" ht="15" customHeight="1" s="28">
      <c r="A525" s="45" t="n"/>
      <c r="B525" s="44" t="n"/>
      <c r="C525" s="44" t="n"/>
      <c r="D525" s="44" t="n"/>
      <c r="E525" s="44" t="n"/>
      <c r="F525" s="44" t="n"/>
      <c r="G525" s="44" t="n"/>
      <c r="H525" s="44" t="n"/>
      <c r="I525" s="44" t="n"/>
    </row>
    <row r="526" ht="15" customHeight="1" s="28">
      <c r="A526" s="45" t="n"/>
      <c r="B526" s="44" t="n"/>
      <c r="C526" s="44" t="n"/>
      <c r="D526" s="44" t="n"/>
      <c r="E526" s="44" t="n"/>
      <c r="F526" s="44" t="n"/>
      <c r="G526" s="44" t="n"/>
      <c r="H526" s="44" t="n"/>
      <c r="I526" s="44" t="n"/>
    </row>
    <row r="527" ht="15" customHeight="1" s="28">
      <c r="A527" s="45" t="n"/>
      <c r="B527" s="44" t="n"/>
      <c r="C527" s="44" t="n"/>
      <c r="D527" s="44" t="n"/>
      <c r="E527" s="44" t="n"/>
      <c r="F527" s="44" t="n"/>
      <c r="G527" s="44" t="n"/>
      <c r="H527" s="44" t="n"/>
      <c r="I527" s="44" t="n"/>
    </row>
    <row r="528" ht="15" customHeight="1" s="28">
      <c r="A528" s="45" t="n"/>
      <c r="B528" s="44" t="n"/>
      <c r="C528" s="44" t="n"/>
      <c r="D528" s="44" t="n"/>
      <c r="E528" s="44" t="n"/>
      <c r="F528" s="44" t="n"/>
      <c r="G528" s="44" t="n"/>
      <c r="H528" s="44" t="n"/>
      <c r="I528" s="44" t="n"/>
    </row>
    <row r="529" ht="15" customHeight="1" s="28">
      <c r="A529" s="45" t="n"/>
      <c r="B529" s="44" t="n"/>
      <c r="C529" s="44" t="n"/>
      <c r="D529" s="44" t="n"/>
      <c r="E529" s="44" t="n"/>
      <c r="F529" s="44" t="n"/>
      <c r="G529" s="44" t="n"/>
      <c r="H529" s="44" t="n"/>
      <c r="I529" s="44" t="n"/>
    </row>
    <row r="530" ht="15" customHeight="1" s="28">
      <c r="A530" s="45" t="n"/>
      <c r="B530" s="44" t="n"/>
      <c r="C530" s="44" t="n"/>
      <c r="D530" s="44" t="n"/>
      <c r="E530" s="44" t="n"/>
      <c r="F530" s="44" t="n"/>
      <c r="G530" s="44" t="n"/>
      <c r="H530" s="44" t="n"/>
      <c r="I530" s="44" t="n"/>
    </row>
    <row r="531" ht="15" customHeight="1" s="28">
      <c r="A531" s="45" t="n"/>
      <c r="B531" s="44" t="n"/>
      <c r="C531" s="44" t="n"/>
      <c r="D531" s="44" t="n"/>
      <c r="E531" s="44" t="n"/>
      <c r="F531" s="44" t="n"/>
      <c r="G531" s="44" t="n"/>
      <c r="H531" s="44" t="n"/>
      <c r="I531" s="44" t="n"/>
    </row>
    <row r="532" ht="15" customHeight="1" s="28">
      <c r="A532" s="45" t="n"/>
      <c r="B532" s="44" t="n"/>
      <c r="C532" s="44" t="n"/>
      <c r="D532" s="44" t="n"/>
      <c r="E532" s="44" t="n"/>
      <c r="F532" s="44" t="n"/>
      <c r="G532" s="44" t="n"/>
      <c r="H532" s="44" t="n"/>
      <c r="I532" s="44" t="n"/>
    </row>
    <row r="533" ht="15" customHeight="1" s="28">
      <c r="A533" s="45" t="n"/>
      <c r="B533" s="44" t="n"/>
      <c r="C533" s="44" t="n"/>
      <c r="D533" s="44" t="n"/>
      <c r="E533" s="44" t="n"/>
      <c r="F533" s="44" t="n"/>
      <c r="G533" s="44" t="n"/>
      <c r="H533" s="44" t="n"/>
      <c r="I533" s="44" t="n"/>
    </row>
    <row r="534" ht="15" customHeight="1" s="28">
      <c r="A534" s="45" t="n"/>
      <c r="B534" s="44" t="n"/>
      <c r="C534" s="44" t="n"/>
      <c r="D534" s="44" t="n"/>
      <c r="E534" s="44" t="n"/>
      <c r="F534" s="44" t="n"/>
      <c r="G534" s="44" t="n"/>
      <c r="H534" s="44" t="n"/>
      <c r="I534" s="44" t="n"/>
    </row>
    <row r="535" ht="15" customHeight="1" s="28">
      <c r="A535" s="45" t="n"/>
      <c r="B535" s="44" t="n"/>
      <c r="C535" s="44" t="n"/>
      <c r="D535" s="44" t="n"/>
      <c r="E535" s="44" t="n"/>
      <c r="F535" s="44" t="n"/>
      <c r="G535" s="44" t="n"/>
      <c r="H535" s="44" t="n"/>
      <c r="I535" s="44" t="n"/>
    </row>
    <row r="536" ht="15" customHeight="1" s="28">
      <c r="A536" s="45" t="n"/>
      <c r="B536" s="44" t="n"/>
      <c r="C536" s="44" t="n"/>
      <c r="D536" s="44" t="n"/>
      <c r="E536" s="44" t="n"/>
      <c r="F536" s="44" t="n"/>
      <c r="G536" s="44" t="n"/>
      <c r="H536" s="44" t="n"/>
      <c r="I536" s="44" t="n"/>
    </row>
    <row r="537" ht="15" customHeight="1" s="28">
      <c r="A537" s="45" t="n"/>
      <c r="B537" s="44" t="n"/>
      <c r="C537" s="44" t="n"/>
      <c r="D537" s="44" t="n"/>
      <c r="E537" s="44" t="n"/>
      <c r="F537" s="44" t="n"/>
      <c r="G537" s="44" t="n"/>
      <c r="H537" s="44" t="n"/>
      <c r="I537" s="44" t="n"/>
    </row>
    <row r="538" ht="15" customHeight="1" s="28">
      <c r="A538" s="45" t="n"/>
      <c r="B538" s="44" t="n"/>
      <c r="C538" s="44" t="n"/>
      <c r="D538" s="44" t="n"/>
      <c r="E538" s="44" t="n"/>
      <c r="F538" s="44" t="n"/>
      <c r="G538" s="44" t="n"/>
      <c r="H538" s="44" t="n"/>
      <c r="I538" s="44" t="n"/>
    </row>
    <row r="539" ht="15" customHeight="1" s="28">
      <c r="A539" s="45" t="n"/>
      <c r="B539" s="44" t="n"/>
      <c r="C539" s="44" t="n"/>
      <c r="D539" s="44" t="n"/>
      <c r="E539" s="44" t="n"/>
      <c r="F539" s="44" t="n"/>
      <c r="G539" s="44" t="n"/>
      <c r="H539" s="44" t="n"/>
      <c r="I539" s="44" t="n"/>
    </row>
    <row r="540" ht="15" customHeight="1" s="28">
      <c r="A540" s="45" t="n"/>
      <c r="B540" s="44" t="n"/>
      <c r="C540" s="44" t="n"/>
      <c r="D540" s="44" t="n"/>
      <c r="E540" s="44" t="n"/>
      <c r="F540" s="44" t="n"/>
      <c r="G540" s="44" t="n"/>
      <c r="H540" s="44" t="n"/>
      <c r="I540" s="44" t="n"/>
    </row>
    <row r="541" ht="15" customHeight="1" s="28">
      <c r="A541" s="45" t="n"/>
      <c r="B541" s="44" t="n"/>
      <c r="C541" s="44" t="n"/>
      <c r="D541" s="44" t="n"/>
      <c r="E541" s="44" t="n"/>
      <c r="F541" s="44" t="n"/>
      <c r="G541" s="44" t="n"/>
      <c r="H541" s="44" t="n"/>
      <c r="I541" s="44" t="n"/>
    </row>
    <row r="542" ht="15" customHeight="1" s="28">
      <c r="A542" s="45" t="n"/>
      <c r="B542" s="44" t="n"/>
      <c r="C542" s="44" t="n"/>
      <c r="D542" s="44" t="n"/>
      <c r="E542" s="44" t="n"/>
      <c r="F542" s="44" t="n"/>
      <c r="G542" s="44" t="n"/>
      <c r="H542" s="44" t="n"/>
      <c r="I542" s="44" t="n"/>
    </row>
    <row r="543" ht="15" customHeight="1" s="28">
      <c r="A543" s="45" t="n"/>
      <c r="B543" s="44" t="n"/>
      <c r="C543" s="44" t="n"/>
      <c r="D543" s="44" t="n"/>
      <c r="E543" s="44" t="n"/>
      <c r="F543" s="44" t="n"/>
      <c r="G543" s="44" t="n"/>
      <c r="H543" s="44" t="n"/>
      <c r="I543" s="44" t="n"/>
    </row>
    <row r="544" ht="15" customHeight="1" s="28">
      <c r="A544" s="45" t="n"/>
      <c r="B544" s="44" t="n"/>
      <c r="C544" s="44" t="n"/>
      <c r="D544" s="44" t="n"/>
      <c r="E544" s="44" t="n"/>
      <c r="F544" s="44" t="n"/>
      <c r="G544" s="44" t="n"/>
      <c r="H544" s="44" t="n"/>
      <c r="I544" s="44" t="n"/>
    </row>
    <row r="545" ht="15" customHeight="1" s="28">
      <c r="A545" s="45" t="n"/>
      <c r="B545" s="44" t="n"/>
      <c r="C545" s="44" t="n"/>
      <c r="D545" s="44" t="n"/>
      <c r="E545" s="44" t="n"/>
      <c r="F545" s="44" t="n"/>
      <c r="G545" s="44" t="n"/>
      <c r="H545" s="44" t="n"/>
      <c r="I545" s="44" t="n"/>
    </row>
    <row r="546" ht="15" customHeight="1" s="28">
      <c r="A546" s="45" t="n"/>
      <c r="B546" s="44" t="n"/>
      <c r="C546" s="44" t="n"/>
      <c r="D546" s="44" t="n"/>
      <c r="E546" s="44" t="n"/>
      <c r="F546" s="44" t="n"/>
      <c r="G546" s="44" t="n"/>
      <c r="H546" s="44" t="n"/>
      <c r="I546" s="44" t="n"/>
    </row>
    <row r="547" ht="15" customHeight="1" s="28">
      <c r="A547" s="45" t="n"/>
      <c r="B547" s="44" t="n"/>
      <c r="C547" s="44" t="n"/>
      <c r="D547" s="44" t="n"/>
      <c r="E547" s="44" t="n"/>
      <c r="F547" s="44" t="n"/>
      <c r="G547" s="44" t="n"/>
      <c r="H547" s="44" t="n"/>
      <c r="I547" s="44" t="n"/>
    </row>
    <row r="548" ht="15" customHeight="1" s="28">
      <c r="A548" s="45" t="n"/>
      <c r="B548" s="44" t="n"/>
      <c r="C548" s="44" t="n"/>
      <c r="D548" s="44" t="n"/>
      <c r="E548" s="44" t="n"/>
      <c r="F548" s="44" t="n"/>
      <c r="G548" s="44" t="n"/>
      <c r="H548" s="44" t="n"/>
      <c r="I548" s="44" t="n"/>
    </row>
    <row r="549" ht="15" customHeight="1" s="28">
      <c r="A549" s="45" t="n"/>
      <c r="B549" s="44" t="n"/>
      <c r="C549" s="44" t="n"/>
      <c r="D549" s="44" t="n"/>
      <c r="E549" s="44" t="n"/>
      <c r="F549" s="44" t="n"/>
      <c r="G549" s="44" t="n"/>
      <c r="H549" s="44" t="n"/>
      <c r="I549" s="44" t="n"/>
    </row>
    <row r="550" ht="15" customHeight="1" s="28">
      <c r="A550" s="45" t="n"/>
      <c r="B550" s="44" t="n"/>
      <c r="C550" s="44" t="n"/>
      <c r="D550" s="44" t="n"/>
      <c r="E550" s="44" t="n"/>
      <c r="F550" s="44" t="n"/>
      <c r="G550" s="44" t="n"/>
      <c r="H550" s="44" t="n"/>
      <c r="I550" s="44" t="n"/>
    </row>
    <row r="551" ht="15" customHeight="1" s="28">
      <c r="A551" s="45" t="n"/>
      <c r="B551" s="44" t="n"/>
      <c r="C551" s="44" t="n"/>
      <c r="D551" s="44" t="n"/>
      <c r="E551" s="44" t="n"/>
      <c r="F551" s="44" t="n"/>
      <c r="G551" s="44" t="n"/>
      <c r="H551" s="44" t="n"/>
      <c r="I551" s="44" t="n"/>
    </row>
    <row r="552" ht="15" customHeight="1" s="28">
      <c r="A552" s="45" t="n"/>
      <c r="B552" s="44" t="n"/>
      <c r="C552" s="44" t="n"/>
      <c r="D552" s="44" t="n"/>
      <c r="E552" s="44" t="n"/>
      <c r="F552" s="44" t="n"/>
      <c r="G552" s="44" t="n"/>
      <c r="H552" s="44" t="n"/>
      <c r="I552" s="44" t="n"/>
    </row>
    <row r="553" ht="15" customHeight="1" s="28">
      <c r="A553" s="45" t="n"/>
      <c r="B553" s="44" t="n"/>
      <c r="C553" s="44" t="n"/>
      <c r="D553" s="44" t="n"/>
      <c r="E553" s="44" t="n"/>
      <c r="F553" s="44" t="n"/>
      <c r="G553" s="44" t="n"/>
      <c r="H553" s="44" t="n"/>
      <c r="I553" s="44" t="n"/>
    </row>
    <row r="554" ht="15" customHeight="1" s="28">
      <c r="A554" s="45" t="n"/>
      <c r="B554" s="44" t="n"/>
      <c r="C554" s="44" t="n"/>
      <c r="D554" s="44" t="n"/>
      <c r="E554" s="44" t="n"/>
      <c r="F554" s="44" t="n"/>
      <c r="G554" s="44" t="n"/>
      <c r="H554" s="44" t="n"/>
      <c r="I554" s="44" t="n"/>
    </row>
    <row r="555" ht="15" customHeight="1" s="28">
      <c r="A555" s="45" t="n"/>
      <c r="B555" s="44" t="n"/>
      <c r="C555" s="44" t="n"/>
      <c r="D555" s="44" t="n"/>
      <c r="E555" s="44" t="n"/>
      <c r="F555" s="44" t="n"/>
      <c r="G555" s="44" t="n"/>
      <c r="H555" s="44" t="n"/>
      <c r="I555" s="44" t="n"/>
    </row>
    <row r="556" ht="15" customHeight="1" s="28">
      <c r="A556" s="45" t="n"/>
      <c r="B556" s="44" t="n"/>
      <c r="C556" s="44" t="n"/>
      <c r="D556" s="44" t="n"/>
      <c r="E556" s="44" t="n"/>
      <c r="F556" s="44" t="n"/>
      <c r="G556" s="44" t="n"/>
      <c r="H556" s="44" t="n"/>
      <c r="I556" s="44" t="n"/>
    </row>
    <row r="557" ht="15" customHeight="1" s="28">
      <c r="A557" s="45" t="n"/>
      <c r="B557" s="44" t="n"/>
      <c r="C557" s="44" t="n"/>
      <c r="D557" s="44" t="n"/>
      <c r="E557" s="44" t="n"/>
      <c r="F557" s="44" t="n"/>
      <c r="G557" s="44" t="n"/>
      <c r="H557" s="44" t="n"/>
      <c r="I557" s="44" t="n"/>
    </row>
    <row r="558" ht="15" customHeight="1" s="28">
      <c r="A558" s="45" t="n"/>
      <c r="B558" s="44" t="n"/>
      <c r="C558" s="44" t="n"/>
      <c r="D558" s="44" t="n"/>
      <c r="E558" s="44" t="n"/>
      <c r="F558" s="44" t="n"/>
      <c r="G558" s="44" t="n"/>
      <c r="H558" s="44" t="n"/>
      <c r="I558" s="44" t="n"/>
    </row>
    <row r="559" ht="15" customHeight="1" s="28">
      <c r="A559" s="45" t="n"/>
      <c r="B559" s="44" t="n"/>
      <c r="C559" s="44" t="n"/>
      <c r="D559" s="44" t="n"/>
      <c r="E559" s="44" t="n"/>
      <c r="F559" s="44" t="n"/>
      <c r="G559" s="44" t="n"/>
      <c r="H559" s="44" t="n"/>
      <c r="I559" s="44" t="n"/>
    </row>
    <row r="560" ht="15" customHeight="1" s="28">
      <c r="A560" s="45" t="n"/>
      <c r="B560" s="44" t="n"/>
      <c r="C560" s="44" t="n"/>
      <c r="D560" s="44" t="n"/>
      <c r="E560" s="44" t="n"/>
      <c r="F560" s="44" t="n"/>
      <c r="G560" s="44" t="n"/>
      <c r="H560" s="44" t="n"/>
      <c r="I560" s="44" t="n"/>
    </row>
    <row r="561" ht="15" customHeight="1" s="28">
      <c r="A561" s="45" t="n"/>
      <c r="B561" s="44" t="n"/>
      <c r="C561" s="44" t="n"/>
      <c r="D561" s="44" t="n"/>
      <c r="E561" s="44" t="n"/>
      <c r="F561" s="44" t="n"/>
      <c r="G561" s="44" t="n"/>
      <c r="H561" s="44" t="n"/>
      <c r="I561" s="44" t="n"/>
    </row>
    <row r="562" ht="15" customHeight="1" s="28">
      <c r="A562" s="45" t="n"/>
      <c r="B562" s="44" t="n"/>
      <c r="C562" s="44" t="n"/>
      <c r="D562" s="44" t="n"/>
      <c r="E562" s="44" t="n"/>
      <c r="F562" s="44" t="n"/>
      <c r="G562" s="44" t="n"/>
      <c r="H562" s="44" t="n"/>
      <c r="I562" s="44" t="n"/>
    </row>
    <row r="563" ht="15" customHeight="1" s="28">
      <c r="A563" s="45" t="n"/>
      <c r="B563" s="44" t="n"/>
      <c r="C563" s="44" t="n"/>
      <c r="D563" s="44" t="n"/>
      <c r="E563" s="44" t="n"/>
      <c r="F563" s="44" t="n"/>
      <c r="G563" s="44" t="n"/>
      <c r="H563" s="44" t="n"/>
      <c r="I563" s="44" t="n"/>
    </row>
    <row r="564" ht="15" customHeight="1" s="28">
      <c r="A564" s="45" t="n"/>
      <c r="B564" s="44" t="n"/>
      <c r="C564" s="44" t="n"/>
      <c r="D564" s="44" t="n"/>
      <c r="E564" s="44" t="n"/>
      <c r="F564" s="44" t="n"/>
      <c r="G564" s="44" t="n"/>
      <c r="H564" s="44" t="n"/>
      <c r="I564" s="44" t="n"/>
    </row>
    <row r="565" ht="15" customHeight="1" s="28">
      <c r="A565" s="45" t="n"/>
      <c r="B565" s="44" t="n"/>
      <c r="C565" s="44" t="n"/>
      <c r="D565" s="44" t="n"/>
      <c r="E565" s="44" t="n"/>
      <c r="F565" s="44" t="n"/>
      <c r="G565" s="44" t="n"/>
      <c r="H565" s="44" t="n"/>
      <c r="I565" s="44" t="n"/>
    </row>
    <row r="566" ht="15" customHeight="1" s="28">
      <c r="A566" s="45" t="n"/>
      <c r="B566" s="44" t="n"/>
      <c r="C566" s="44" t="n"/>
      <c r="D566" s="44" t="n"/>
      <c r="E566" s="44" t="n"/>
      <c r="F566" s="44" t="n"/>
      <c r="G566" s="44" t="n"/>
      <c r="H566" s="44" t="n"/>
      <c r="I566" s="44" t="n"/>
    </row>
    <row r="567" ht="15" customHeight="1" s="28">
      <c r="A567" s="45" t="n"/>
      <c r="B567" s="44" t="n"/>
      <c r="C567" s="44" t="n"/>
      <c r="D567" s="44" t="n"/>
      <c r="E567" s="44" t="n"/>
      <c r="F567" s="44" t="n"/>
      <c r="G567" s="44" t="n"/>
      <c r="H567" s="44" t="n"/>
      <c r="I567" s="44" t="n"/>
    </row>
    <row r="568" ht="15" customHeight="1" s="28">
      <c r="A568" s="45" t="n"/>
      <c r="B568" s="44" t="n"/>
      <c r="C568" s="44" t="n"/>
      <c r="D568" s="44" t="n"/>
      <c r="E568" s="44" t="n"/>
      <c r="F568" s="44" t="n"/>
      <c r="G568" s="44" t="n"/>
      <c r="H568" s="44" t="n"/>
      <c r="I568" s="44" t="n"/>
    </row>
    <row r="569" ht="15" customHeight="1" s="28">
      <c r="A569" s="45" t="n"/>
      <c r="B569" s="44" t="n"/>
      <c r="C569" s="44" t="n"/>
      <c r="D569" s="44" t="n"/>
      <c r="E569" s="44" t="n"/>
      <c r="F569" s="44" t="n"/>
      <c r="G569" s="44" t="n"/>
      <c r="H569" s="44" t="n"/>
      <c r="I569" s="44" t="n"/>
    </row>
    <row r="570" ht="15" customHeight="1" s="28">
      <c r="A570" s="45" t="n"/>
      <c r="B570" s="44" t="n"/>
      <c r="C570" s="44" t="n"/>
      <c r="D570" s="44" t="n"/>
      <c r="E570" s="44" t="n"/>
      <c r="F570" s="44" t="n"/>
      <c r="G570" s="44" t="n"/>
      <c r="H570" s="44" t="n"/>
      <c r="I570" s="44" t="n"/>
    </row>
    <row r="571" ht="15" customHeight="1" s="28">
      <c r="A571" s="45" t="n"/>
      <c r="B571" s="44" t="n"/>
      <c r="C571" s="44" t="n"/>
      <c r="D571" s="44" t="n"/>
      <c r="E571" s="44" t="n"/>
      <c r="F571" s="44" t="n"/>
      <c r="G571" s="44" t="n"/>
      <c r="H571" s="44" t="n"/>
      <c r="I571" s="44" t="n"/>
    </row>
    <row r="572" ht="15" customHeight="1" s="28">
      <c r="A572" s="45" t="n"/>
      <c r="B572" s="44" t="n"/>
      <c r="C572" s="44" t="n"/>
      <c r="D572" s="44" t="n"/>
      <c r="E572" s="44" t="n"/>
      <c r="F572" s="44" t="n"/>
      <c r="G572" s="44" t="n"/>
      <c r="H572" s="44" t="n"/>
      <c r="I572" s="44" t="n"/>
    </row>
    <row r="573" ht="15" customHeight="1" s="28">
      <c r="A573" s="45" t="n"/>
      <c r="B573" s="44" t="n"/>
      <c r="C573" s="44" t="n"/>
      <c r="D573" s="44" t="n"/>
      <c r="E573" s="44" t="n"/>
      <c r="F573" s="44" t="n"/>
      <c r="G573" s="44" t="n"/>
      <c r="H573" s="44" t="n"/>
      <c r="I573" s="44" t="n"/>
    </row>
    <row r="574" ht="15" customHeight="1" s="28">
      <c r="A574" s="45" t="n"/>
      <c r="B574" s="44" t="n"/>
      <c r="C574" s="44" t="n"/>
      <c r="D574" s="44" t="n"/>
      <c r="E574" s="44" t="n"/>
      <c r="F574" s="44" t="n"/>
      <c r="G574" s="44" t="n"/>
      <c r="H574" s="44" t="n"/>
      <c r="I574" s="44" t="n"/>
    </row>
    <row r="575" ht="15" customHeight="1" s="28">
      <c r="A575" s="45" t="n"/>
      <c r="B575" s="44" t="n"/>
      <c r="C575" s="44" t="n"/>
      <c r="D575" s="44" t="n"/>
      <c r="E575" s="44" t="n"/>
      <c r="F575" s="44" t="n"/>
      <c r="G575" s="44" t="n"/>
      <c r="H575" s="44" t="n"/>
      <c r="I575" s="44" t="n"/>
    </row>
    <row r="576" ht="15" customHeight="1" s="28">
      <c r="A576" s="45" t="n"/>
      <c r="B576" s="44" t="n"/>
      <c r="C576" s="44" t="n"/>
      <c r="D576" s="44" t="n"/>
      <c r="E576" s="44" t="n"/>
      <c r="F576" s="44" t="n"/>
      <c r="G576" s="44" t="n"/>
      <c r="H576" s="44" t="n"/>
      <c r="I576" s="44" t="n"/>
    </row>
    <row r="577" ht="15" customHeight="1" s="28">
      <c r="A577" s="45" t="n"/>
      <c r="B577" s="44" t="n"/>
      <c r="C577" s="44" t="n"/>
      <c r="D577" s="44" t="n"/>
      <c r="E577" s="44" t="n"/>
      <c r="F577" s="44" t="n"/>
      <c r="G577" s="44" t="n"/>
      <c r="H577" s="44" t="n"/>
      <c r="I577" s="44" t="n"/>
    </row>
    <row r="578" ht="15" customHeight="1" s="28">
      <c r="A578" s="45" t="n"/>
      <c r="B578" s="44" t="n"/>
      <c r="C578" s="44" t="n"/>
      <c r="D578" s="44" t="n"/>
      <c r="E578" s="44" t="n"/>
      <c r="F578" s="44" t="n"/>
      <c r="G578" s="44" t="n"/>
      <c r="H578" s="44" t="n"/>
      <c r="I578" s="44" t="n"/>
    </row>
    <row r="579" ht="15" customHeight="1" s="28">
      <c r="A579" s="45" t="n"/>
      <c r="B579" s="44" t="n"/>
      <c r="C579" s="44" t="n"/>
      <c r="D579" s="44" t="n"/>
      <c r="E579" s="44" t="n"/>
      <c r="F579" s="44" t="n"/>
      <c r="G579" s="44" t="n"/>
      <c r="H579" s="44" t="n"/>
      <c r="I579" s="44" t="n"/>
    </row>
    <row r="580" ht="15" customHeight="1" s="28">
      <c r="A580" s="45" t="n"/>
      <c r="B580" s="44" t="n"/>
      <c r="C580" s="44" t="n"/>
      <c r="D580" s="44" t="n"/>
      <c r="E580" s="44" t="n"/>
      <c r="F580" s="44" t="n"/>
      <c r="G580" s="44" t="n"/>
      <c r="H580" s="44" t="n"/>
      <c r="I580" s="44" t="n"/>
    </row>
    <row r="581" ht="15" customHeight="1" s="28">
      <c r="A581" s="45" t="n"/>
      <c r="B581" s="44" t="n"/>
      <c r="C581" s="44" t="n"/>
      <c r="D581" s="44" t="n"/>
      <c r="E581" s="44" t="n"/>
      <c r="F581" s="44" t="n"/>
      <c r="G581" s="44" t="n"/>
      <c r="H581" s="44" t="n"/>
      <c r="I581" s="44" t="n"/>
    </row>
    <row r="582" ht="15" customHeight="1" s="28">
      <c r="A582" s="45" t="n"/>
      <c r="B582" s="44" t="n"/>
      <c r="C582" s="44" t="n"/>
      <c r="D582" s="44" t="n"/>
      <c r="E582" s="44" t="n"/>
      <c r="F582" s="44" t="n"/>
      <c r="G582" s="44" t="n"/>
      <c r="H582" s="44" t="n"/>
      <c r="I582" s="44" t="n"/>
    </row>
    <row r="583" ht="15" customHeight="1" s="28">
      <c r="A583" s="45" t="n"/>
      <c r="B583" s="44" t="n"/>
      <c r="C583" s="44" t="n"/>
      <c r="D583" s="44" t="n"/>
      <c r="E583" s="44" t="n"/>
      <c r="F583" s="44" t="n"/>
      <c r="G583" s="44" t="n"/>
      <c r="H583" s="44" t="n"/>
      <c r="I583" s="44" t="n"/>
    </row>
    <row r="584" ht="15" customHeight="1" s="28">
      <c r="A584" s="45" t="n"/>
      <c r="B584" s="44" t="n"/>
      <c r="C584" s="44" t="n"/>
      <c r="D584" s="44" t="n"/>
      <c r="E584" s="44" t="n"/>
      <c r="F584" s="44" t="n"/>
      <c r="G584" s="44" t="n"/>
      <c r="H584" s="44" t="n"/>
      <c r="I584" s="44" t="n"/>
    </row>
    <row r="585" ht="15" customHeight="1" s="28">
      <c r="A585" s="45" t="n"/>
      <c r="B585" s="44" t="n"/>
      <c r="C585" s="44" t="n"/>
      <c r="D585" s="44" t="n"/>
      <c r="E585" s="44" t="n"/>
      <c r="F585" s="44" t="n"/>
      <c r="G585" s="44" t="n"/>
      <c r="H585" s="44" t="n"/>
      <c r="I585" s="44" t="n"/>
    </row>
    <row r="586" ht="15" customHeight="1" s="28">
      <c r="A586" s="45" t="n"/>
      <c r="B586" s="44" t="n"/>
      <c r="C586" s="44" t="n"/>
      <c r="D586" s="44" t="n"/>
      <c r="E586" s="44" t="n"/>
      <c r="F586" s="44" t="n"/>
      <c r="G586" s="44" t="n"/>
      <c r="H586" s="44" t="n"/>
      <c r="I586" s="44" t="n"/>
    </row>
    <row r="587" ht="15" customHeight="1" s="28">
      <c r="A587" s="45" t="n"/>
      <c r="B587" s="44" t="n"/>
      <c r="C587" s="44" t="n"/>
      <c r="D587" s="44" t="n"/>
      <c r="E587" s="44" t="n"/>
      <c r="F587" s="44" t="n"/>
      <c r="G587" s="44" t="n"/>
      <c r="H587" s="44" t="n"/>
      <c r="I587" s="44" t="n"/>
    </row>
    <row r="588" ht="15" customHeight="1" s="28">
      <c r="A588" s="45" t="n"/>
      <c r="B588" s="44" t="n"/>
      <c r="C588" s="44" t="n"/>
      <c r="D588" s="44" t="n"/>
      <c r="E588" s="44" t="n"/>
      <c r="F588" s="44" t="n"/>
      <c r="G588" s="44" t="n"/>
      <c r="H588" s="44" t="n"/>
      <c r="I588" s="44" t="n"/>
    </row>
    <row r="589" ht="15" customHeight="1" s="28">
      <c r="A589" s="45" t="n"/>
      <c r="B589" s="44" t="n"/>
      <c r="C589" s="44" t="n"/>
      <c r="D589" s="44" t="n"/>
      <c r="E589" s="44" t="n"/>
      <c r="F589" s="44" t="n"/>
      <c r="G589" s="44" t="n"/>
      <c r="H589" s="44" t="n"/>
      <c r="I589" s="44" t="n"/>
    </row>
    <row r="590" ht="15" customHeight="1" s="28">
      <c r="A590" s="45" t="n"/>
      <c r="B590" s="44" t="n"/>
      <c r="C590" s="44" t="n"/>
      <c r="D590" s="44" t="n"/>
      <c r="E590" s="44" t="n"/>
      <c r="F590" s="44" t="n"/>
      <c r="G590" s="44" t="n"/>
      <c r="H590" s="44" t="n"/>
      <c r="I590" s="44" t="n"/>
    </row>
    <row r="591" ht="15" customHeight="1" s="28">
      <c r="A591" s="45" t="n"/>
      <c r="B591" s="44" t="n"/>
      <c r="C591" s="44" t="n"/>
      <c r="D591" s="44" t="n"/>
      <c r="E591" s="44" t="n"/>
      <c r="F591" s="44" t="n"/>
      <c r="G591" s="44" t="n"/>
      <c r="H591" s="44" t="n"/>
      <c r="I591" s="44" t="n"/>
    </row>
    <row r="592" ht="15" customHeight="1" s="28">
      <c r="A592" s="45" t="n"/>
      <c r="B592" s="44" t="n"/>
      <c r="C592" s="44" t="n"/>
      <c r="D592" s="44" t="n"/>
      <c r="E592" s="44" t="n"/>
      <c r="F592" s="44" t="n"/>
      <c r="G592" s="44" t="n"/>
      <c r="H592" s="44" t="n"/>
      <c r="I592" s="44" t="n"/>
    </row>
    <row r="593" ht="15" customHeight="1" s="28">
      <c r="A593" s="45" t="n"/>
      <c r="B593" s="44" t="n"/>
      <c r="C593" s="44" t="n"/>
      <c r="D593" s="44" t="n"/>
      <c r="E593" s="44" t="n"/>
      <c r="F593" s="44" t="n"/>
      <c r="G593" s="44" t="n"/>
      <c r="H593" s="44" t="n"/>
      <c r="I593" s="44" t="n"/>
    </row>
    <row r="594" ht="15" customHeight="1" s="28">
      <c r="A594" s="45" t="n"/>
      <c r="B594" s="44" t="n"/>
      <c r="C594" s="44" t="n"/>
      <c r="D594" s="44" t="n"/>
      <c r="E594" s="44" t="n"/>
      <c r="F594" s="44" t="n"/>
      <c r="G594" s="44" t="n"/>
      <c r="H594" s="44" t="n"/>
      <c r="I594" s="44" t="n"/>
    </row>
    <row r="595" ht="15" customHeight="1" s="28">
      <c r="A595" s="45" t="n"/>
      <c r="B595" s="44" t="n"/>
      <c r="C595" s="44" t="n"/>
      <c r="D595" s="44" t="n"/>
      <c r="E595" s="44" t="n"/>
      <c r="F595" s="44" t="n"/>
      <c r="G595" s="44" t="n"/>
      <c r="H595" s="44" t="n"/>
      <c r="I595" s="44" t="n"/>
    </row>
    <row r="596" ht="15" customHeight="1" s="28">
      <c r="A596" s="45" t="n"/>
      <c r="B596" s="44" t="n"/>
      <c r="C596" s="44" t="n"/>
      <c r="D596" s="44" t="n"/>
      <c r="E596" s="44" t="n"/>
      <c r="F596" s="44" t="n"/>
      <c r="G596" s="44" t="n"/>
      <c r="H596" s="44" t="n"/>
      <c r="I596" s="44" t="n"/>
    </row>
    <row r="597" ht="15" customHeight="1" s="28">
      <c r="A597" s="45" t="n"/>
      <c r="B597" s="44" t="n"/>
      <c r="C597" s="44" t="n"/>
      <c r="D597" s="44" t="n"/>
      <c r="E597" s="44" t="n"/>
      <c r="F597" s="44" t="n"/>
      <c r="G597" s="44" t="n"/>
      <c r="H597" s="44" t="n"/>
      <c r="I597" s="44" t="n"/>
    </row>
    <row r="598" ht="15" customHeight="1" s="28">
      <c r="A598" s="45" t="n"/>
      <c r="B598" s="44" t="n"/>
      <c r="C598" s="44" t="n"/>
      <c r="D598" s="44" t="n"/>
      <c r="E598" s="44" t="n"/>
      <c r="F598" s="44" t="n"/>
      <c r="G598" s="44" t="n"/>
      <c r="H598" s="44" t="n"/>
      <c r="I598" s="44" t="n"/>
    </row>
    <row r="599" ht="15" customHeight="1" s="28">
      <c r="A599" s="45" t="n"/>
      <c r="B599" s="44" t="n"/>
      <c r="C599" s="44" t="n"/>
      <c r="D599" s="44" t="n"/>
      <c r="E599" s="44" t="n"/>
      <c r="F599" s="44" t="n"/>
      <c r="G599" s="44" t="n"/>
      <c r="H599" s="44" t="n"/>
      <c r="I599" s="44" t="n"/>
    </row>
    <row r="600" ht="15" customHeight="1" s="28">
      <c r="A600" s="45" t="n"/>
      <c r="B600" s="44" t="n"/>
      <c r="C600" s="44" t="n"/>
      <c r="D600" s="44" t="n"/>
      <c r="E600" s="44" t="n"/>
      <c r="F600" s="44" t="n"/>
      <c r="G600" s="44" t="n"/>
      <c r="H600" s="44" t="n"/>
      <c r="I600" s="44" t="n"/>
    </row>
    <row r="601" ht="15" customHeight="1" s="28">
      <c r="A601" s="45" t="n"/>
      <c r="B601" s="44" t="n"/>
      <c r="C601" s="44" t="n"/>
      <c r="D601" s="44" t="n"/>
      <c r="E601" s="44" t="n"/>
      <c r="F601" s="44" t="n"/>
      <c r="G601" s="44" t="n"/>
      <c r="H601" s="44" t="n"/>
      <c r="I601" s="44" t="n"/>
    </row>
    <row r="602" ht="15" customHeight="1" s="28">
      <c r="A602" s="45" t="n"/>
      <c r="B602" s="44" t="n"/>
      <c r="C602" s="44" t="n"/>
      <c r="D602" s="44" t="n"/>
      <c r="E602" s="44" t="n"/>
      <c r="F602" s="44" t="n"/>
      <c r="G602" s="44" t="n"/>
      <c r="H602" s="44" t="n"/>
      <c r="I602" s="44" t="n"/>
    </row>
    <row r="603" ht="15" customHeight="1" s="28">
      <c r="A603" s="45" t="n"/>
      <c r="B603" s="44" t="n"/>
      <c r="C603" s="44" t="n"/>
      <c r="D603" s="44" t="n"/>
      <c r="E603" s="44" t="n"/>
      <c r="F603" s="44" t="n"/>
      <c r="G603" s="44" t="n"/>
      <c r="H603" s="44" t="n"/>
      <c r="I603" s="44" t="n"/>
    </row>
    <row r="604" ht="15" customHeight="1" s="28">
      <c r="A604" s="45" t="n"/>
      <c r="B604" s="44" t="n"/>
      <c r="C604" s="44" t="n"/>
      <c r="D604" s="44" t="n"/>
      <c r="E604" s="44" t="n"/>
      <c r="F604" s="44" t="n"/>
      <c r="G604" s="44" t="n"/>
      <c r="H604" s="44" t="n"/>
      <c r="I604" s="44" t="n"/>
    </row>
    <row r="605" ht="15" customHeight="1" s="28">
      <c r="A605" s="45" t="n"/>
      <c r="B605" s="44" t="n"/>
      <c r="C605" s="44" t="n"/>
      <c r="D605" s="44" t="n"/>
      <c r="E605" s="44" t="n"/>
      <c r="F605" s="44" t="n"/>
      <c r="G605" s="44" t="n"/>
      <c r="H605" s="44" t="n"/>
      <c r="I605" s="44" t="n"/>
    </row>
    <row r="606" ht="15" customHeight="1" s="28">
      <c r="A606" s="45" t="n"/>
      <c r="B606" s="44" t="n"/>
      <c r="C606" s="44" t="n"/>
      <c r="D606" s="44" t="n"/>
      <c r="E606" s="44" t="n"/>
      <c r="F606" s="44" t="n"/>
      <c r="G606" s="44" t="n"/>
      <c r="H606" s="44" t="n"/>
      <c r="I606" s="44" t="n"/>
    </row>
  </sheetData>
  <autoFilter ref="A4:I606"/>
  <conditionalFormatting sqref="D5:D606">
    <cfRule type="cellIs" rank="0" priority="2" equalAverage="0" operator="equal" aboveAverage="0" dxfId="7" text="" percent="0" bottom="0">
      <formula>"Sukses"</formula>
    </cfRule>
    <cfRule type="cellIs" rank="0" priority="3" equalAverage="0" operator="equal" aboveAverage="0" dxfId="8" text="" percent="0" bottom="0">
      <formula>"Gagal"</formula>
    </cfRule>
    <cfRule type="cellIs" rank="0" priority="4" equalAverage="0" operator="equal" aboveAverage="0" dxfId="9" text="" percent="0" bottom="0">
      <formula>"Peringatan"</formula>
    </cfRule>
  </conditionalFormatting>
  <dataValidations count="3">
    <dataValidation sqref="B5:B606" showDropDown="0" showInputMessage="0" showErrorMessage="0" allowBlank="1" type="list" errorStyle="stop" operator="between">
      <formula1>Daftar!$D$2:$D$4</formula1>
      <formula2>0</formula2>
    </dataValidation>
    <dataValidation sqref="D5:D606" showDropDown="0" showInputMessage="0" showErrorMessage="0" allowBlank="1" type="list" errorStyle="stop" operator="between">
      <formula1>Daftar!$C$2:$C$4</formula1>
      <formula2>0</formula2>
    </dataValidation>
    <dataValidation sqref="C5:C606" showDropDown="0" showInputMessage="0" showErrorMessage="0" allowBlank="1" type="list" errorStyle="stop" operator="between">
      <formula1>'Daftar Job'!$A$5:$A$86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Q1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27" min="1" max="1"/>
    <col width="11" customWidth="1" style="27" min="2" max="2"/>
    <col width="15" customWidth="1" style="27" min="3" max="3"/>
    <col width="9" customWidth="1" style="27" min="4" max="4"/>
    <col width="24" customWidth="1" style="27" min="5" max="5"/>
    <col width="18" customWidth="1" style="27" min="6" max="6"/>
    <col width="15" customWidth="1" style="27" min="7" max="8"/>
    <col width="9" customWidth="1" style="27" min="9" max="9"/>
    <col width="8" customWidth="1" style="27" min="10" max="11"/>
    <col width="10" customWidth="1" style="27" min="12" max="13"/>
    <col width="14" customWidth="1" style="27" min="14" max="15"/>
    <col width="24" customWidth="1" style="27" min="16" max="16"/>
    <col width="16" customWidth="1" style="27" min="17" max="17"/>
  </cols>
  <sheetData>
    <row r="1" ht="16.15" customHeight="1" s="28">
      <c r="A1" s="41" t="inlineStr">
        <is>
          <t>Record restore dan uji restore</t>
        </is>
      </c>
    </row>
    <row r="2" ht="15" customHeight="1" s="28">
      <c r="A2" s="30" t="inlineStr">
        <is>
          <t>Durasi, RTO, dan kepatuhan dihitung otomatis. Restore ke produksi butuh approval Lead NOC dan persetujuan pelanggan.</t>
        </is>
      </c>
    </row>
    <row r="4" ht="31.5" customHeight="1" s="28">
      <c r="A4" s="43" t="inlineStr">
        <is>
          <t>ID restore</t>
        </is>
      </c>
      <c r="B4" s="43" t="inlineStr">
        <is>
          <t>Tanggal</t>
        </is>
      </c>
      <c r="C4" s="43" t="inlineStr">
        <is>
          <t>Jenis</t>
        </is>
      </c>
      <c r="D4" s="43" t="inlineStr">
        <is>
          <t>Job ID</t>
        </is>
      </c>
      <c r="E4" s="43" t="inlineStr">
        <is>
          <t>Data dipulihkan</t>
        </is>
      </c>
      <c r="F4" s="43" t="inlineStr">
        <is>
          <t>Lokasi tujuan</t>
        </is>
      </c>
      <c r="G4" s="43" t="inlineStr">
        <is>
          <t>Mulai</t>
        </is>
      </c>
      <c r="H4" s="43" t="inlineStr">
        <is>
          <t>Selesai</t>
        </is>
      </c>
      <c r="I4" s="43" t="inlineStr">
        <is>
          <t>Durasi (menit)</t>
        </is>
      </c>
      <c r="J4" s="43" t="inlineStr">
        <is>
          <t>RTO (jam)</t>
        </is>
      </c>
      <c r="K4" s="43" t="inlineStr">
        <is>
          <t>Dalam RTO</t>
        </is>
      </c>
      <c r="L4" s="43" t="inlineStr">
        <is>
          <t>Integritas terverifikasi</t>
        </is>
      </c>
      <c r="M4" s="43" t="inlineStr">
        <is>
          <t>Hasil</t>
        </is>
      </c>
      <c r="N4" s="43" t="inlineStr">
        <is>
          <t>Disetujui oleh</t>
        </is>
      </c>
      <c r="O4" s="43" t="inlineStr">
        <is>
          <t>Pelaksana</t>
        </is>
      </c>
      <c r="P4" s="43" t="inlineStr">
        <is>
          <t>Bukti</t>
        </is>
      </c>
      <c r="Q4" s="43" t="inlineStr">
        <is>
          <t>Catatan</t>
        </is>
      </c>
    </row>
    <row r="5" ht="23.85" customHeight="1" s="28">
      <c r="A5" s="44" t="n"/>
      <c r="B5" s="45" t="n"/>
      <c r="C5" s="44" t="n"/>
      <c r="D5" s="44" t="n"/>
      <c r="E5" s="44" t="n"/>
      <c r="F5" s="44" t="n"/>
      <c r="G5" s="46" t="n"/>
      <c r="H5" s="46" t="n"/>
      <c r="I5" s="47">
        <f>IF(OR(G5="",H5=""),"",ROUND((H5-G5)*1440,0))</f>
        <v/>
      </c>
      <c r="J5" s="47">
        <f>IF(D5="","",IFERROR(INDEX('Daftar Job'!$J$5:$J$86,MATCH(D5,'Daftar Job'!$A$5:$A$86,0)),""))</f>
        <v/>
      </c>
      <c r="K5" s="47">
        <f>IF(OR(I5="",J5=""),"",IF(I5&lt;=J5*60,"Ya","Tidak"))</f>
        <v/>
      </c>
      <c r="L5" s="44" t="n"/>
      <c r="M5" s="44" t="n"/>
      <c r="N5" s="44" t="n"/>
      <c r="O5" s="44" t="n"/>
      <c r="P5" s="44" t="n"/>
      <c r="Q5" s="44" t="n"/>
    </row>
    <row r="6" ht="15" customHeight="1" s="28">
      <c r="A6" s="44" t="n"/>
      <c r="B6" s="45" t="n"/>
      <c r="C6" s="44" t="n"/>
      <c r="D6" s="44" t="n"/>
      <c r="E6" s="44" t="n"/>
      <c r="F6" s="44" t="n"/>
      <c r="G6" s="46" t="n"/>
      <c r="H6" s="46" t="n"/>
      <c r="I6" s="47">
        <f>IF(OR(G6="",H6=""),"",ROUND((H6-G6)*1440,0))</f>
        <v/>
      </c>
      <c r="J6" s="47">
        <f>IF(D6="","",IFERROR(INDEX('Daftar Job'!$J$5:$J$86,MATCH(D6,'Daftar Job'!$A$5:$A$86,0)),""))</f>
        <v/>
      </c>
      <c r="K6" s="47">
        <f>IF(OR(I6="",J6=""),"",IF(I6&lt;=J6*60,"Ya","Tidak"))</f>
        <v/>
      </c>
      <c r="L6" s="44" t="n"/>
      <c r="M6" s="44" t="n"/>
      <c r="N6" s="44" t="n"/>
      <c r="O6" s="44" t="n"/>
      <c r="P6" s="44" t="n"/>
      <c r="Q6" s="44" t="n"/>
    </row>
    <row r="7" ht="15" customHeight="1" s="28">
      <c r="A7" s="44" t="n"/>
      <c r="B7" s="45" t="n"/>
      <c r="C7" s="44" t="n"/>
      <c r="D7" s="44" t="n"/>
      <c r="E7" s="44" t="n"/>
      <c r="F7" s="44" t="n"/>
      <c r="G7" s="46" t="n"/>
      <c r="H7" s="46" t="n"/>
      <c r="I7" s="47">
        <f>IF(OR(G7="",H7=""),"",ROUND((H7-G7)*1440,0))</f>
        <v/>
      </c>
      <c r="J7" s="47">
        <f>IF(D7="","",IFERROR(INDEX('Daftar Job'!$J$5:$J$86,MATCH(D7,'Daftar Job'!$A$5:$A$86,0)),""))</f>
        <v/>
      </c>
      <c r="K7" s="47">
        <f>IF(OR(I7="",J7=""),"",IF(I7&lt;=J7*60,"Ya","Tidak"))</f>
        <v/>
      </c>
      <c r="L7" s="44" t="n"/>
      <c r="M7" s="44" t="n"/>
      <c r="N7" s="44" t="n"/>
      <c r="O7" s="44" t="n"/>
      <c r="P7" s="44" t="n"/>
      <c r="Q7" s="44" t="n"/>
    </row>
    <row r="8" ht="15" customHeight="1" s="28">
      <c r="A8" s="44" t="n"/>
      <c r="B8" s="45" t="n"/>
      <c r="C8" s="44" t="n"/>
      <c r="D8" s="44" t="n"/>
      <c r="E8" s="44" t="n"/>
      <c r="F8" s="44" t="n"/>
      <c r="G8" s="46" t="n"/>
      <c r="H8" s="46" t="n"/>
      <c r="I8" s="47">
        <f>IF(OR(G8="",H8=""),"",ROUND((H8-G8)*1440,0))</f>
        <v/>
      </c>
      <c r="J8" s="47">
        <f>IF(D8="","",IFERROR(INDEX('Daftar Job'!$J$5:$J$86,MATCH(D8,'Daftar Job'!$A$5:$A$86,0)),""))</f>
        <v/>
      </c>
      <c r="K8" s="47">
        <f>IF(OR(I8="",J8=""),"",IF(I8&lt;=J8*60,"Ya","Tidak"))</f>
        <v/>
      </c>
      <c r="L8" s="44" t="n"/>
      <c r="M8" s="44" t="n"/>
      <c r="N8" s="44" t="n"/>
      <c r="O8" s="44" t="n"/>
      <c r="P8" s="44" t="n"/>
      <c r="Q8" s="44" t="n"/>
    </row>
    <row r="9" ht="15" customHeight="1" s="28">
      <c r="A9" s="44" t="n"/>
      <c r="B9" s="45" t="n"/>
      <c r="C9" s="44" t="n"/>
      <c r="D9" s="44" t="n"/>
      <c r="E9" s="44" t="n"/>
      <c r="F9" s="44" t="n"/>
      <c r="G9" s="46" t="n"/>
      <c r="H9" s="46" t="n"/>
      <c r="I9" s="47">
        <f>IF(OR(G9="",H9=""),"",ROUND((H9-G9)*1440,0))</f>
        <v/>
      </c>
      <c r="J9" s="47">
        <f>IF(D9="","",IFERROR(INDEX('Daftar Job'!$J$5:$J$86,MATCH(D9,'Daftar Job'!$A$5:$A$86,0)),""))</f>
        <v/>
      </c>
      <c r="K9" s="47">
        <f>IF(OR(I9="",J9=""),"",IF(I9&lt;=J9*60,"Ya","Tidak"))</f>
        <v/>
      </c>
      <c r="L9" s="44" t="n"/>
      <c r="M9" s="44" t="n"/>
      <c r="N9" s="44" t="n"/>
      <c r="O9" s="44" t="n"/>
      <c r="P9" s="44" t="n"/>
      <c r="Q9" s="44" t="n"/>
    </row>
    <row r="10" ht="15" customHeight="1" s="28">
      <c r="A10" s="44" t="n"/>
      <c r="B10" s="45" t="n"/>
      <c r="C10" s="44" t="n"/>
      <c r="D10" s="44" t="n"/>
      <c r="E10" s="44" t="n"/>
      <c r="F10" s="44" t="n"/>
      <c r="G10" s="46" t="n"/>
      <c r="H10" s="46" t="n"/>
      <c r="I10" s="47">
        <f>IF(OR(G10="",H10=""),"",ROUND((H10-G10)*1440,0))</f>
        <v/>
      </c>
      <c r="J10" s="47">
        <f>IF(D10="","",IFERROR(INDEX('Daftar Job'!$J$5:$J$86,MATCH(D10,'Daftar Job'!$A$5:$A$86,0)),""))</f>
        <v/>
      </c>
      <c r="K10" s="47">
        <f>IF(OR(I10="",J10=""),"",IF(I10&lt;=J10*60,"Ya","Tidak"))</f>
        <v/>
      </c>
      <c r="L10" s="44" t="n"/>
      <c r="M10" s="44" t="n"/>
      <c r="N10" s="44" t="n"/>
      <c r="O10" s="44" t="n"/>
      <c r="P10" s="44" t="n"/>
      <c r="Q10" s="44" t="n"/>
    </row>
    <row r="11" ht="15" customHeight="1" s="28">
      <c r="A11" s="44" t="n"/>
      <c r="B11" s="45" t="n"/>
      <c r="C11" s="44" t="n"/>
      <c r="D11" s="44" t="n"/>
      <c r="E11" s="44" t="n"/>
      <c r="F11" s="44" t="n"/>
      <c r="G11" s="46" t="n"/>
      <c r="H11" s="46" t="n"/>
      <c r="I11" s="47">
        <f>IF(OR(G11="",H11=""),"",ROUND((H11-G11)*1440,0))</f>
        <v/>
      </c>
      <c r="J11" s="47">
        <f>IF(D11="","",IFERROR(INDEX('Daftar Job'!$J$5:$J$86,MATCH(D11,'Daftar Job'!$A$5:$A$86,0)),""))</f>
        <v/>
      </c>
      <c r="K11" s="47">
        <f>IF(OR(I11="",J11=""),"",IF(I11&lt;=J11*60,"Ya","Tidak"))</f>
        <v/>
      </c>
      <c r="L11" s="44" t="n"/>
      <c r="M11" s="44" t="n"/>
      <c r="N11" s="44" t="n"/>
      <c r="O11" s="44" t="n"/>
      <c r="P11" s="44" t="n"/>
      <c r="Q11" s="44" t="n"/>
    </row>
    <row r="12" ht="15" customHeight="1" s="28">
      <c r="A12" s="44" t="n"/>
      <c r="B12" s="45" t="n"/>
      <c r="C12" s="44" t="n"/>
      <c r="D12" s="44" t="n"/>
      <c r="E12" s="44" t="n"/>
      <c r="F12" s="44" t="n"/>
      <c r="G12" s="46" t="n"/>
      <c r="H12" s="46" t="n"/>
      <c r="I12" s="47">
        <f>IF(OR(G12="",H12=""),"",ROUND((H12-G12)*1440,0))</f>
        <v/>
      </c>
      <c r="J12" s="47">
        <f>IF(D12="","",IFERROR(INDEX('Daftar Job'!$J$5:$J$86,MATCH(D12,'Daftar Job'!$A$5:$A$86,0)),""))</f>
        <v/>
      </c>
      <c r="K12" s="47">
        <f>IF(OR(I12="",J12=""),"",IF(I12&lt;=J12*60,"Ya","Tidak"))</f>
        <v/>
      </c>
      <c r="L12" s="44" t="n"/>
      <c r="M12" s="44" t="n"/>
      <c r="N12" s="44" t="n"/>
      <c r="O12" s="44" t="n"/>
      <c r="P12" s="44" t="n"/>
      <c r="Q12" s="44" t="n"/>
    </row>
    <row r="13" ht="15" customHeight="1" s="28">
      <c r="A13" s="44" t="n"/>
      <c r="B13" s="45" t="n"/>
      <c r="C13" s="44" t="n"/>
      <c r="D13" s="44" t="n"/>
      <c r="E13" s="44" t="n"/>
      <c r="F13" s="44" t="n"/>
      <c r="G13" s="46" t="n"/>
      <c r="H13" s="46" t="n"/>
      <c r="I13" s="47">
        <f>IF(OR(G13="",H13=""),"",ROUND((H13-G13)*1440,0))</f>
        <v/>
      </c>
      <c r="J13" s="47">
        <f>IF(D13="","",IFERROR(INDEX('Daftar Job'!$J$5:$J$86,MATCH(D13,'Daftar Job'!$A$5:$A$86,0)),""))</f>
        <v/>
      </c>
      <c r="K13" s="47">
        <f>IF(OR(I13="",J13=""),"",IF(I13&lt;=J13*60,"Ya","Tidak"))</f>
        <v/>
      </c>
      <c r="L13" s="44" t="n"/>
      <c r="M13" s="44" t="n"/>
      <c r="N13" s="44" t="n"/>
      <c r="O13" s="44" t="n"/>
      <c r="P13" s="44" t="n"/>
      <c r="Q13" s="44" t="n"/>
    </row>
    <row r="14" ht="15" customHeight="1" s="28">
      <c r="A14" s="44" t="n"/>
      <c r="B14" s="45" t="n"/>
      <c r="C14" s="44" t="n"/>
      <c r="D14" s="44" t="n"/>
      <c r="E14" s="44" t="n"/>
      <c r="F14" s="44" t="n"/>
      <c r="G14" s="46" t="n"/>
      <c r="H14" s="46" t="n"/>
      <c r="I14" s="47">
        <f>IF(OR(G14="",H14=""),"",ROUND((H14-G14)*1440,0))</f>
        <v/>
      </c>
      <c r="J14" s="47">
        <f>IF(D14="","",IFERROR(INDEX('Daftar Job'!$J$5:$J$86,MATCH(D14,'Daftar Job'!$A$5:$A$86,0)),""))</f>
        <v/>
      </c>
      <c r="K14" s="47">
        <f>IF(OR(I14="",J14=""),"",IF(I14&lt;=J14*60,"Ya","Tidak"))</f>
        <v/>
      </c>
      <c r="L14" s="44" t="n"/>
      <c r="M14" s="44" t="n"/>
      <c r="N14" s="44" t="n"/>
      <c r="O14" s="44" t="n"/>
      <c r="P14" s="44" t="n"/>
      <c r="Q14" s="44" t="n"/>
    </row>
    <row r="15" ht="15" customHeight="1" s="28">
      <c r="A15" s="44" t="n"/>
      <c r="B15" s="45" t="n"/>
      <c r="C15" s="44" t="n"/>
      <c r="D15" s="44" t="n"/>
      <c r="E15" s="44" t="n"/>
      <c r="F15" s="44" t="n"/>
      <c r="G15" s="46" t="n"/>
      <c r="H15" s="46" t="n"/>
      <c r="I15" s="47">
        <f>IF(OR(G15="",H15=""),"",ROUND((H15-G15)*1440,0))</f>
        <v/>
      </c>
      <c r="J15" s="47">
        <f>IF(D15="","",IFERROR(INDEX('Daftar Job'!$J$5:$J$86,MATCH(D15,'Daftar Job'!$A$5:$A$86,0)),""))</f>
        <v/>
      </c>
      <c r="K15" s="47">
        <f>IF(OR(I15="",J15=""),"",IF(I15&lt;=J15*60,"Ya","Tidak"))</f>
        <v/>
      </c>
      <c r="L15" s="44" t="n"/>
      <c r="M15" s="44" t="n"/>
      <c r="N15" s="44" t="n"/>
      <c r="O15" s="44" t="n"/>
      <c r="P15" s="44" t="n"/>
      <c r="Q15" s="44" t="n"/>
    </row>
    <row r="16" ht="15" customHeight="1" s="28">
      <c r="A16" s="44" t="n"/>
      <c r="B16" s="45" t="n"/>
      <c r="C16" s="44" t="n"/>
      <c r="D16" s="44" t="n"/>
      <c r="E16" s="44" t="n"/>
      <c r="F16" s="44" t="n"/>
      <c r="G16" s="46" t="n"/>
      <c r="H16" s="46" t="n"/>
      <c r="I16" s="47">
        <f>IF(OR(G16="",H16=""),"",ROUND((H16-G16)*1440,0))</f>
        <v/>
      </c>
      <c r="J16" s="47">
        <f>IF(D16="","",IFERROR(INDEX('Daftar Job'!$J$5:$J$86,MATCH(D16,'Daftar Job'!$A$5:$A$86,0)),""))</f>
        <v/>
      </c>
      <c r="K16" s="47">
        <f>IF(OR(I16="",J16=""),"",IF(I16&lt;=J16*60,"Ya","Tidak"))</f>
        <v/>
      </c>
      <c r="L16" s="44" t="n"/>
      <c r="M16" s="44" t="n"/>
      <c r="N16" s="44" t="n"/>
      <c r="O16" s="44" t="n"/>
      <c r="P16" s="44" t="n"/>
      <c r="Q16" s="44" t="n"/>
    </row>
    <row r="17" ht="15" customHeight="1" s="28">
      <c r="A17" s="44" t="n"/>
      <c r="B17" s="45" t="n"/>
      <c r="C17" s="44" t="n"/>
      <c r="D17" s="44" t="n"/>
      <c r="E17" s="44" t="n"/>
      <c r="F17" s="44" t="n"/>
      <c r="G17" s="46" t="n"/>
      <c r="H17" s="46" t="n"/>
      <c r="I17" s="47">
        <f>IF(OR(G17="",H17=""),"",ROUND((H17-G17)*1440,0))</f>
        <v/>
      </c>
      <c r="J17" s="47">
        <f>IF(D17="","",IFERROR(INDEX('Daftar Job'!$J$5:$J$86,MATCH(D17,'Daftar Job'!$A$5:$A$86,0)),""))</f>
        <v/>
      </c>
      <c r="K17" s="47">
        <f>IF(OR(I17="",J17=""),"",IF(I17&lt;=J17*60,"Ya","Tidak"))</f>
        <v/>
      </c>
      <c r="L17" s="44" t="n"/>
      <c r="M17" s="44" t="n"/>
      <c r="N17" s="44" t="n"/>
      <c r="O17" s="44" t="n"/>
      <c r="P17" s="44" t="n"/>
      <c r="Q17" s="44" t="n"/>
    </row>
    <row r="18" ht="15" customHeight="1" s="28">
      <c r="A18" s="44" t="n"/>
      <c r="B18" s="45" t="n"/>
      <c r="C18" s="44" t="n"/>
      <c r="D18" s="44" t="n"/>
      <c r="E18" s="44" t="n"/>
      <c r="F18" s="44" t="n"/>
      <c r="G18" s="46" t="n"/>
      <c r="H18" s="46" t="n"/>
      <c r="I18" s="47">
        <f>IF(OR(G18="",H18=""),"",ROUND((H18-G18)*1440,0))</f>
        <v/>
      </c>
      <c r="J18" s="47">
        <f>IF(D18="","",IFERROR(INDEX('Daftar Job'!$J$5:$J$86,MATCH(D18,'Daftar Job'!$A$5:$A$86,0)),""))</f>
        <v/>
      </c>
      <c r="K18" s="47">
        <f>IF(OR(I18="",J18=""),"",IF(I18&lt;=J18*60,"Ya","Tidak"))</f>
        <v/>
      </c>
      <c r="L18" s="44" t="n"/>
      <c r="M18" s="44" t="n"/>
      <c r="N18" s="44" t="n"/>
      <c r="O18" s="44" t="n"/>
      <c r="P18" s="44" t="n"/>
      <c r="Q18" s="44" t="n"/>
    </row>
    <row r="19" ht="15" customHeight="1" s="28">
      <c r="A19" s="44" t="n"/>
      <c r="B19" s="45" t="n"/>
      <c r="C19" s="44" t="n"/>
      <c r="D19" s="44" t="n"/>
      <c r="E19" s="44" t="n"/>
      <c r="F19" s="44" t="n"/>
      <c r="G19" s="46" t="n"/>
      <c r="H19" s="46" t="n"/>
      <c r="I19" s="47">
        <f>IF(OR(G19="",H19=""),"",ROUND((H19-G19)*1440,0))</f>
        <v/>
      </c>
      <c r="J19" s="47">
        <f>IF(D19="","",IFERROR(INDEX('Daftar Job'!$J$5:$J$86,MATCH(D19,'Daftar Job'!$A$5:$A$86,0)),""))</f>
        <v/>
      </c>
      <c r="K19" s="47">
        <f>IF(OR(I19="",J19=""),"",IF(I19&lt;=J19*60,"Ya","Tidak"))</f>
        <v/>
      </c>
      <c r="L19" s="44" t="n"/>
      <c r="M19" s="44" t="n"/>
      <c r="N19" s="44" t="n"/>
      <c r="O19" s="44" t="n"/>
      <c r="P19" s="44" t="n"/>
      <c r="Q19" s="44" t="n"/>
    </row>
    <row r="20" ht="15" customHeight="1" s="28">
      <c r="A20" s="44" t="n"/>
      <c r="B20" s="45" t="n"/>
      <c r="C20" s="44" t="n"/>
      <c r="D20" s="44" t="n"/>
      <c r="E20" s="44" t="n"/>
      <c r="F20" s="44" t="n"/>
      <c r="G20" s="46" t="n"/>
      <c r="H20" s="46" t="n"/>
      <c r="I20" s="47">
        <f>IF(OR(G20="",H20=""),"",ROUND((H20-G20)*1440,0))</f>
        <v/>
      </c>
      <c r="J20" s="47">
        <f>IF(D20="","",IFERROR(INDEX('Daftar Job'!$J$5:$J$86,MATCH(D20,'Daftar Job'!$A$5:$A$86,0)),""))</f>
        <v/>
      </c>
      <c r="K20" s="47">
        <f>IF(OR(I20="",J20=""),"",IF(I20&lt;=J20*60,"Ya","Tidak"))</f>
        <v/>
      </c>
      <c r="L20" s="44" t="n"/>
      <c r="M20" s="44" t="n"/>
      <c r="N20" s="44" t="n"/>
      <c r="O20" s="44" t="n"/>
      <c r="P20" s="44" t="n"/>
      <c r="Q20" s="44" t="n"/>
    </row>
    <row r="21" ht="15" customHeight="1" s="28">
      <c r="A21" s="44" t="n"/>
      <c r="B21" s="45" t="n"/>
      <c r="C21" s="44" t="n"/>
      <c r="D21" s="44" t="n"/>
      <c r="E21" s="44" t="n"/>
      <c r="F21" s="44" t="n"/>
      <c r="G21" s="46" t="n"/>
      <c r="H21" s="46" t="n"/>
      <c r="I21" s="47">
        <f>IF(OR(G21="",H21=""),"",ROUND((H21-G21)*1440,0))</f>
        <v/>
      </c>
      <c r="J21" s="47">
        <f>IF(D21="","",IFERROR(INDEX('Daftar Job'!$J$5:$J$86,MATCH(D21,'Daftar Job'!$A$5:$A$86,0)),""))</f>
        <v/>
      </c>
      <c r="K21" s="47">
        <f>IF(OR(I21="",J21=""),"",IF(I21&lt;=J21*60,"Ya","Tidak"))</f>
        <v/>
      </c>
      <c r="L21" s="44" t="n"/>
      <c r="M21" s="44" t="n"/>
      <c r="N21" s="44" t="n"/>
      <c r="O21" s="44" t="n"/>
      <c r="P21" s="44" t="n"/>
      <c r="Q21" s="44" t="n"/>
    </row>
    <row r="22" ht="15" customHeight="1" s="28">
      <c r="A22" s="44" t="n"/>
      <c r="B22" s="45" t="n"/>
      <c r="C22" s="44" t="n"/>
      <c r="D22" s="44" t="n"/>
      <c r="E22" s="44" t="n"/>
      <c r="F22" s="44" t="n"/>
      <c r="G22" s="46" t="n"/>
      <c r="H22" s="46" t="n"/>
      <c r="I22" s="47">
        <f>IF(OR(G22="",H22=""),"",ROUND((H22-G22)*1440,0))</f>
        <v/>
      </c>
      <c r="J22" s="47">
        <f>IF(D22="","",IFERROR(INDEX('Daftar Job'!$J$5:$J$86,MATCH(D22,'Daftar Job'!$A$5:$A$86,0)),""))</f>
        <v/>
      </c>
      <c r="K22" s="47">
        <f>IF(OR(I22="",J22=""),"",IF(I22&lt;=J22*60,"Ya","Tidak"))</f>
        <v/>
      </c>
      <c r="L22" s="44" t="n"/>
      <c r="M22" s="44" t="n"/>
      <c r="N22" s="44" t="n"/>
      <c r="O22" s="44" t="n"/>
      <c r="P22" s="44" t="n"/>
      <c r="Q22" s="44" t="n"/>
    </row>
    <row r="23" ht="15" customHeight="1" s="28">
      <c r="A23" s="44" t="n"/>
      <c r="B23" s="45" t="n"/>
      <c r="C23" s="44" t="n"/>
      <c r="D23" s="44" t="n"/>
      <c r="E23" s="44" t="n"/>
      <c r="F23" s="44" t="n"/>
      <c r="G23" s="46" t="n"/>
      <c r="H23" s="46" t="n"/>
      <c r="I23" s="47">
        <f>IF(OR(G23="",H23=""),"",ROUND((H23-G23)*1440,0))</f>
        <v/>
      </c>
      <c r="J23" s="47">
        <f>IF(D23="","",IFERROR(INDEX('Daftar Job'!$J$5:$J$86,MATCH(D23,'Daftar Job'!$A$5:$A$86,0)),""))</f>
        <v/>
      </c>
      <c r="K23" s="47">
        <f>IF(OR(I23="",J23=""),"",IF(I23&lt;=J23*60,"Ya","Tidak"))</f>
        <v/>
      </c>
      <c r="L23" s="44" t="n"/>
      <c r="M23" s="44" t="n"/>
      <c r="N23" s="44" t="n"/>
      <c r="O23" s="44" t="n"/>
      <c r="P23" s="44" t="n"/>
      <c r="Q23" s="44" t="n"/>
    </row>
    <row r="24" ht="15" customHeight="1" s="28">
      <c r="A24" s="44" t="n"/>
      <c r="B24" s="45" t="n"/>
      <c r="C24" s="44" t="n"/>
      <c r="D24" s="44" t="n"/>
      <c r="E24" s="44" t="n"/>
      <c r="F24" s="44" t="n"/>
      <c r="G24" s="46" t="n"/>
      <c r="H24" s="46" t="n"/>
      <c r="I24" s="47">
        <f>IF(OR(G24="",H24=""),"",ROUND((H24-G24)*1440,0))</f>
        <v/>
      </c>
      <c r="J24" s="47">
        <f>IF(D24="","",IFERROR(INDEX('Daftar Job'!$J$5:$J$86,MATCH(D24,'Daftar Job'!$A$5:$A$86,0)),""))</f>
        <v/>
      </c>
      <c r="K24" s="47">
        <f>IF(OR(I24="",J24=""),"",IF(I24&lt;=J24*60,"Ya","Tidak"))</f>
        <v/>
      </c>
      <c r="L24" s="44" t="n"/>
      <c r="M24" s="44" t="n"/>
      <c r="N24" s="44" t="n"/>
      <c r="O24" s="44" t="n"/>
      <c r="P24" s="44" t="n"/>
      <c r="Q24" s="44" t="n"/>
    </row>
    <row r="25" ht="15" customHeight="1" s="28">
      <c r="A25" s="44" t="n"/>
      <c r="B25" s="45" t="n"/>
      <c r="C25" s="44" t="n"/>
      <c r="D25" s="44" t="n"/>
      <c r="E25" s="44" t="n"/>
      <c r="F25" s="44" t="n"/>
      <c r="G25" s="46" t="n"/>
      <c r="H25" s="46" t="n"/>
      <c r="I25" s="47">
        <f>IF(OR(G25="",H25=""),"",ROUND((H25-G25)*1440,0))</f>
        <v/>
      </c>
      <c r="J25" s="47">
        <f>IF(D25="","",IFERROR(INDEX('Daftar Job'!$J$5:$J$86,MATCH(D25,'Daftar Job'!$A$5:$A$86,0)),""))</f>
        <v/>
      </c>
      <c r="K25" s="47">
        <f>IF(OR(I25="",J25=""),"",IF(I25&lt;=J25*60,"Ya","Tidak"))</f>
        <v/>
      </c>
      <c r="L25" s="44" t="n"/>
      <c r="M25" s="44" t="n"/>
      <c r="N25" s="44" t="n"/>
      <c r="O25" s="44" t="n"/>
      <c r="P25" s="44" t="n"/>
      <c r="Q25" s="44" t="n"/>
    </row>
    <row r="26" ht="15" customHeight="1" s="28">
      <c r="A26" s="44" t="n"/>
      <c r="B26" s="45" t="n"/>
      <c r="C26" s="44" t="n"/>
      <c r="D26" s="44" t="n"/>
      <c r="E26" s="44" t="n"/>
      <c r="F26" s="44" t="n"/>
      <c r="G26" s="46" t="n"/>
      <c r="H26" s="46" t="n"/>
      <c r="I26" s="47">
        <f>IF(OR(G26="",H26=""),"",ROUND((H26-G26)*1440,0))</f>
        <v/>
      </c>
      <c r="J26" s="47">
        <f>IF(D26="","",IFERROR(INDEX('Daftar Job'!$J$5:$J$86,MATCH(D26,'Daftar Job'!$A$5:$A$86,0)),""))</f>
        <v/>
      </c>
      <c r="K26" s="47">
        <f>IF(OR(I26="",J26=""),"",IF(I26&lt;=J26*60,"Ya","Tidak"))</f>
        <v/>
      </c>
      <c r="L26" s="44" t="n"/>
      <c r="M26" s="44" t="n"/>
      <c r="N26" s="44" t="n"/>
      <c r="O26" s="44" t="n"/>
      <c r="P26" s="44" t="n"/>
      <c r="Q26" s="44" t="n"/>
    </row>
    <row r="27" ht="15" customHeight="1" s="28">
      <c r="A27" s="44" t="n"/>
      <c r="B27" s="45" t="n"/>
      <c r="C27" s="44" t="n"/>
      <c r="D27" s="44" t="n"/>
      <c r="E27" s="44" t="n"/>
      <c r="F27" s="44" t="n"/>
      <c r="G27" s="46" t="n"/>
      <c r="H27" s="46" t="n"/>
      <c r="I27" s="47">
        <f>IF(OR(G27="",H27=""),"",ROUND((H27-G27)*1440,0))</f>
        <v/>
      </c>
      <c r="J27" s="47">
        <f>IF(D27="","",IFERROR(INDEX('Daftar Job'!$J$5:$J$86,MATCH(D27,'Daftar Job'!$A$5:$A$86,0)),""))</f>
        <v/>
      </c>
      <c r="K27" s="47">
        <f>IF(OR(I27="",J27=""),"",IF(I27&lt;=J27*60,"Ya","Tidak"))</f>
        <v/>
      </c>
      <c r="L27" s="44" t="n"/>
      <c r="M27" s="44" t="n"/>
      <c r="N27" s="44" t="n"/>
      <c r="O27" s="44" t="n"/>
      <c r="P27" s="44" t="n"/>
      <c r="Q27" s="44" t="n"/>
    </row>
    <row r="28" ht="15" customHeight="1" s="28">
      <c r="A28" s="44" t="n"/>
      <c r="B28" s="45" t="n"/>
      <c r="C28" s="44" t="n"/>
      <c r="D28" s="44" t="n"/>
      <c r="E28" s="44" t="n"/>
      <c r="F28" s="44" t="n"/>
      <c r="G28" s="46" t="n"/>
      <c r="H28" s="46" t="n"/>
      <c r="I28" s="47">
        <f>IF(OR(G28="",H28=""),"",ROUND((H28-G28)*1440,0))</f>
        <v/>
      </c>
      <c r="J28" s="47">
        <f>IF(D28="","",IFERROR(INDEX('Daftar Job'!$J$5:$J$86,MATCH(D28,'Daftar Job'!$A$5:$A$86,0)),""))</f>
        <v/>
      </c>
      <c r="K28" s="47">
        <f>IF(OR(I28="",J28=""),"",IF(I28&lt;=J28*60,"Ya","Tidak"))</f>
        <v/>
      </c>
      <c r="L28" s="44" t="n"/>
      <c r="M28" s="44" t="n"/>
      <c r="N28" s="44" t="n"/>
      <c r="O28" s="44" t="n"/>
      <c r="P28" s="44" t="n"/>
      <c r="Q28" s="44" t="n"/>
    </row>
    <row r="29" ht="15" customHeight="1" s="28">
      <c r="A29" s="44" t="n"/>
      <c r="B29" s="45" t="n"/>
      <c r="C29" s="44" t="n"/>
      <c r="D29" s="44" t="n"/>
      <c r="E29" s="44" t="n"/>
      <c r="F29" s="44" t="n"/>
      <c r="G29" s="46" t="n"/>
      <c r="H29" s="46" t="n"/>
      <c r="I29" s="47">
        <f>IF(OR(G29="",H29=""),"",ROUND((H29-G29)*1440,0))</f>
        <v/>
      </c>
      <c r="J29" s="47">
        <f>IF(D29="","",IFERROR(INDEX('Daftar Job'!$J$5:$J$86,MATCH(D29,'Daftar Job'!$A$5:$A$86,0)),""))</f>
        <v/>
      </c>
      <c r="K29" s="47">
        <f>IF(OR(I29="",J29=""),"",IF(I29&lt;=J29*60,"Ya","Tidak"))</f>
        <v/>
      </c>
      <c r="L29" s="44" t="n"/>
      <c r="M29" s="44" t="n"/>
      <c r="N29" s="44" t="n"/>
      <c r="O29" s="44" t="n"/>
      <c r="P29" s="44" t="n"/>
      <c r="Q29" s="44" t="n"/>
    </row>
    <row r="30" ht="15" customHeight="1" s="28">
      <c r="A30" s="44" t="n"/>
      <c r="B30" s="45" t="n"/>
      <c r="C30" s="44" t="n"/>
      <c r="D30" s="44" t="n"/>
      <c r="E30" s="44" t="n"/>
      <c r="F30" s="44" t="n"/>
      <c r="G30" s="46" t="n"/>
      <c r="H30" s="46" t="n"/>
      <c r="I30" s="47">
        <f>IF(OR(G30="",H30=""),"",ROUND((H30-G30)*1440,0))</f>
        <v/>
      </c>
      <c r="J30" s="47">
        <f>IF(D30="","",IFERROR(INDEX('Daftar Job'!$J$5:$J$86,MATCH(D30,'Daftar Job'!$A$5:$A$86,0)),""))</f>
        <v/>
      </c>
      <c r="K30" s="47">
        <f>IF(OR(I30="",J30=""),"",IF(I30&lt;=J30*60,"Ya","Tidak"))</f>
        <v/>
      </c>
      <c r="L30" s="44" t="n"/>
      <c r="M30" s="44" t="n"/>
      <c r="N30" s="44" t="n"/>
      <c r="O30" s="44" t="n"/>
      <c r="P30" s="44" t="n"/>
      <c r="Q30" s="44" t="n"/>
    </row>
    <row r="31" ht="15" customHeight="1" s="28">
      <c r="A31" s="44" t="n"/>
      <c r="B31" s="45" t="n"/>
      <c r="C31" s="44" t="n"/>
      <c r="D31" s="44" t="n"/>
      <c r="E31" s="44" t="n"/>
      <c r="F31" s="44" t="n"/>
      <c r="G31" s="46" t="n"/>
      <c r="H31" s="46" t="n"/>
      <c r="I31" s="47">
        <f>IF(OR(G31="",H31=""),"",ROUND((H31-G31)*1440,0))</f>
        <v/>
      </c>
      <c r="J31" s="47">
        <f>IF(D31="","",IFERROR(INDEX('Daftar Job'!$J$5:$J$86,MATCH(D31,'Daftar Job'!$A$5:$A$86,0)),""))</f>
        <v/>
      </c>
      <c r="K31" s="47">
        <f>IF(OR(I31="",J31=""),"",IF(I31&lt;=J31*60,"Ya","Tidak"))</f>
        <v/>
      </c>
      <c r="L31" s="44" t="n"/>
      <c r="M31" s="44" t="n"/>
      <c r="N31" s="44" t="n"/>
      <c r="O31" s="44" t="n"/>
      <c r="P31" s="44" t="n"/>
      <c r="Q31" s="44" t="n"/>
    </row>
    <row r="32" ht="15" customHeight="1" s="28">
      <c r="A32" s="44" t="n"/>
      <c r="B32" s="45" t="n"/>
      <c r="C32" s="44" t="n"/>
      <c r="D32" s="44" t="n"/>
      <c r="E32" s="44" t="n"/>
      <c r="F32" s="44" t="n"/>
      <c r="G32" s="46" t="n"/>
      <c r="H32" s="46" t="n"/>
      <c r="I32" s="47">
        <f>IF(OR(G32="",H32=""),"",ROUND((H32-G32)*1440,0))</f>
        <v/>
      </c>
      <c r="J32" s="47">
        <f>IF(D32="","",IFERROR(INDEX('Daftar Job'!$J$5:$J$86,MATCH(D32,'Daftar Job'!$A$5:$A$86,0)),""))</f>
        <v/>
      </c>
      <c r="K32" s="47">
        <f>IF(OR(I32="",J32=""),"",IF(I32&lt;=J32*60,"Ya","Tidak"))</f>
        <v/>
      </c>
      <c r="L32" s="44" t="n"/>
      <c r="M32" s="44" t="n"/>
      <c r="N32" s="44" t="n"/>
      <c r="O32" s="44" t="n"/>
      <c r="P32" s="44" t="n"/>
      <c r="Q32" s="44" t="n"/>
    </row>
    <row r="33" ht="15" customHeight="1" s="28">
      <c r="A33" s="44" t="n"/>
      <c r="B33" s="45" t="n"/>
      <c r="C33" s="44" t="n"/>
      <c r="D33" s="44" t="n"/>
      <c r="E33" s="44" t="n"/>
      <c r="F33" s="44" t="n"/>
      <c r="G33" s="46" t="n"/>
      <c r="H33" s="46" t="n"/>
      <c r="I33" s="47">
        <f>IF(OR(G33="",H33=""),"",ROUND((H33-G33)*1440,0))</f>
        <v/>
      </c>
      <c r="J33" s="47">
        <f>IF(D33="","",IFERROR(INDEX('Daftar Job'!$J$5:$J$86,MATCH(D33,'Daftar Job'!$A$5:$A$86,0)),""))</f>
        <v/>
      </c>
      <c r="K33" s="47">
        <f>IF(OR(I33="",J33=""),"",IF(I33&lt;=J33*60,"Ya","Tidak"))</f>
        <v/>
      </c>
      <c r="L33" s="44" t="n"/>
      <c r="M33" s="44" t="n"/>
      <c r="N33" s="44" t="n"/>
      <c r="O33" s="44" t="n"/>
      <c r="P33" s="44" t="n"/>
      <c r="Q33" s="44" t="n"/>
    </row>
    <row r="34" ht="15" customHeight="1" s="28">
      <c r="A34" s="44" t="n"/>
      <c r="B34" s="45" t="n"/>
      <c r="C34" s="44" t="n"/>
      <c r="D34" s="44" t="n"/>
      <c r="E34" s="44" t="n"/>
      <c r="F34" s="44" t="n"/>
      <c r="G34" s="46" t="n"/>
      <c r="H34" s="46" t="n"/>
      <c r="I34" s="47">
        <f>IF(OR(G34="",H34=""),"",ROUND((H34-G34)*1440,0))</f>
        <v/>
      </c>
      <c r="J34" s="47">
        <f>IF(D34="","",IFERROR(INDEX('Daftar Job'!$J$5:$J$86,MATCH(D34,'Daftar Job'!$A$5:$A$86,0)),""))</f>
        <v/>
      </c>
      <c r="K34" s="47">
        <f>IF(OR(I34="",J34=""),"",IF(I34&lt;=J34*60,"Ya","Tidak"))</f>
        <v/>
      </c>
      <c r="L34" s="44" t="n"/>
      <c r="M34" s="44" t="n"/>
      <c r="N34" s="44" t="n"/>
      <c r="O34" s="44" t="n"/>
      <c r="P34" s="44" t="n"/>
      <c r="Q34" s="44" t="n"/>
    </row>
    <row r="35" ht="15" customHeight="1" s="28">
      <c r="A35" s="44" t="n"/>
      <c r="B35" s="45" t="n"/>
      <c r="C35" s="44" t="n"/>
      <c r="D35" s="44" t="n"/>
      <c r="E35" s="44" t="n"/>
      <c r="F35" s="44" t="n"/>
      <c r="G35" s="46" t="n"/>
      <c r="H35" s="46" t="n"/>
      <c r="I35" s="47">
        <f>IF(OR(G35="",H35=""),"",ROUND((H35-G35)*1440,0))</f>
        <v/>
      </c>
      <c r="J35" s="47">
        <f>IF(D35="","",IFERROR(INDEX('Daftar Job'!$J$5:$J$86,MATCH(D35,'Daftar Job'!$A$5:$A$86,0)),""))</f>
        <v/>
      </c>
      <c r="K35" s="47">
        <f>IF(OR(I35="",J35=""),"",IF(I35&lt;=J35*60,"Ya","Tidak"))</f>
        <v/>
      </c>
      <c r="L35" s="44" t="n"/>
      <c r="M35" s="44" t="n"/>
      <c r="N35" s="44" t="n"/>
      <c r="O35" s="44" t="n"/>
      <c r="P35" s="44" t="n"/>
      <c r="Q35" s="44" t="n"/>
    </row>
    <row r="36" ht="15" customHeight="1" s="28">
      <c r="A36" s="44" t="n"/>
      <c r="B36" s="45" t="n"/>
      <c r="C36" s="44" t="n"/>
      <c r="D36" s="44" t="n"/>
      <c r="E36" s="44" t="n"/>
      <c r="F36" s="44" t="n"/>
      <c r="G36" s="46" t="n"/>
      <c r="H36" s="46" t="n"/>
      <c r="I36" s="47">
        <f>IF(OR(G36="",H36=""),"",ROUND((H36-G36)*1440,0))</f>
        <v/>
      </c>
      <c r="J36" s="47">
        <f>IF(D36="","",IFERROR(INDEX('Daftar Job'!$J$5:$J$86,MATCH(D36,'Daftar Job'!$A$5:$A$86,0)),""))</f>
        <v/>
      </c>
      <c r="K36" s="47">
        <f>IF(OR(I36="",J36=""),"",IF(I36&lt;=J36*60,"Ya","Tidak"))</f>
        <v/>
      </c>
      <c r="L36" s="44" t="n"/>
      <c r="M36" s="44" t="n"/>
      <c r="N36" s="44" t="n"/>
      <c r="O36" s="44" t="n"/>
      <c r="P36" s="44" t="n"/>
      <c r="Q36" s="44" t="n"/>
    </row>
    <row r="37" ht="15" customHeight="1" s="28">
      <c r="A37" s="44" t="n"/>
      <c r="B37" s="45" t="n"/>
      <c r="C37" s="44" t="n"/>
      <c r="D37" s="44" t="n"/>
      <c r="E37" s="44" t="n"/>
      <c r="F37" s="44" t="n"/>
      <c r="G37" s="46" t="n"/>
      <c r="H37" s="46" t="n"/>
      <c r="I37" s="47">
        <f>IF(OR(G37="",H37=""),"",ROUND((H37-G37)*1440,0))</f>
        <v/>
      </c>
      <c r="J37" s="47">
        <f>IF(D37="","",IFERROR(INDEX('Daftar Job'!$J$5:$J$86,MATCH(D37,'Daftar Job'!$A$5:$A$86,0)),""))</f>
        <v/>
      </c>
      <c r="K37" s="47">
        <f>IF(OR(I37="",J37=""),"",IF(I37&lt;=J37*60,"Ya","Tidak"))</f>
        <v/>
      </c>
      <c r="L37" s="44" t="n"/>
      <c r="M37" s="44" t="n"/>
      <c r="N37" s="44" t="n"/>
      <c r="O37" s="44" t="n"/>
      <c r="P37" s="44" t="n"/>
      <c r="Q37" s="44" t="n"/>
    </row>
    <row r="38" ht="15" customHeight="1" s="28">
      <c r="A38" s="44" t="n"/>
      <c r="B38" s="45" t="n"/>
      <c r="C38" s="44" t="n"/>
      <c r="D38" s="44" t="n"/>
      <c r="E38" s="44" t="n"/>
      <c r="F38" s="44" t="n"/>
      <c r="G38" s="46" t="n"/>
      <c r="H38" s="46" t="n"/>
      <c r="I38" s="47">
        <f>IF(OR(G38="",H38=""),"",ROUND((H38-G38)*1440,0))</f>
        <v/>
      </c>
      <c r="J38" s="47">
        <f>IF(D38="","",IFERROR(INDEX('Daftar Job'!$J$5:$J$86,MATCH(D38,'Daftar Job'!$A$5:$A$86,0)),""))</f>
        <v/>
      </c>
      <c r="K38" s="47">
        <f>IF(OR(I38="",J38=""),"",IF(I38&lt;=J38*60,"Ya","Tidak"))</f>
        <v/>
      </c>
      <c r="L38" s="44" t="n"/>
      <c r="M38" s="44" t="n"/>
      <c r="N38" s="44" t="n"/>
      <c r="O38" s="44" t="n"/>
      <c r="P38" s="44" t="n"/>
      <c r="Q38" s="44" t="n"/>
    </row>
    <row r="39" ht="15" customHeight="1" s="28">
      <c r="A39" s="44" t="n"/>
      <c r="B39" s="45" t="n"/>
      <c r="C39" s="44" t="n"/>
      <c r="D39" s="44" t="n"/>
      <c r="E39" s="44" t="n"/>
      <c r="F39" s="44" t="n"/>
      <c r="G39" s="46" t="n"/>
      <c r="H39" s="46" t="n"/>
      <c r="I39" s="47">
        <f>IF(OR(G39="",H39=""),"",ROUND((H39-G39)*1440,0))</f>
        <v/>
      </c>
      <c r="J39" s="47">
        <f>IF(D39="","",IFERROR(INDEX('Daftar Job'!$J$5:$J$86,MATCH(D39,'Daftar Job'!$A$5:$A$86,0)),""))</f>
        <v/>
      </c>
      <c r="K39" s="47">
        <f>IF(OR(I39="",J39=""),"",IF(I39&lt;=J39*60,"Ya","Tidak"))</f>
        <v/>
      </c>
      <c r="L39" s="44" t="n"/>
      <c r="M39" s="44" t="n"/>
      <c r="N39" s="44" t="n"/>
      <c r="O39" s="44" t="n"/>
      <c r="P39" s="44" t="n"/>
      <c r="Q39" s="44" t="n"/>
    </row>
    <row r="40" ht="15" customHeight="1" s="28">
      <c r="A40" s="44" t="n"/>
      <c r="B40" s="45" t="n"/>
      <c r="C40" s="44" t="n"/>
      <c r="D40" s="44" t="n"/>
      <c r="E40" s="44" t="n"/>
      <c r="F40" s="44" t="n"/>
      <c r="G40" s="46" t="n"/>
      <c r="H40" s="46" t="n"/>
      <c r="I40" s="47">
        <f>IF(OR(G40="",H40=""),"",ROUND((H40-G40)*1440,0))</f>
        <v/>
      </c>
      <c r="J40" s="47">
        <f>IF(D40="","",IFERROR(INDEX('Daftar Job'!$J$5:$J$86,MATCH(D40,'Daftar Job'!$A$5:$A$86,0)),""))</f>
        <v/>
      </c>
      <c r="K40" s="47">
        <f>IF(OR(I40="",J40=""),"",IF(I40&lt;=J40*60,"Ya","Tidak"))</f>
        <v/>
      </c>
      <c r="L40" s="44" t="n"/>
      <c r="M40" s="44" t="n"/>
      <c r="N40" s="44" t="n"/>
      <c r="O40" s="44" t="n"/>
      <c r="P40" s="44" t="n"/>
      <c r="Q40" s="44" t="n"/>
    </row>
    <row r="41" ht="15" customHeight="1" s="28">
      <c r="A41" s="44" t="n"/>
      <c r="B41" s="45" t="n"/>
      <c r="C41" s="44" t="n"/>
      <c r="D41" s="44" t="n"/>
      <c r="E41" s="44" t="n"/>
      <c r="F41" s="44" t="n"/>
      <c r="G41" s="46" t="n"/>
      <c r="H41" s="46" t="n"/>
      <c r="I41" s="47">
        <f>IF(OR(G41="",H41=""),"",ROUND((H41-G41)*1440,0))</f>
        <v/>
      </c>
      <c r="J41" s="47">
        <f>IF(D41="","",IFERROR(INDEX('Daftar Job'!$J$5:$J$86,MATCH(D41,'Daftar Job'!$A$5:$A$86,0)),""))</f>
        <v/>
      </c>
      <c r="K41" s="47">
        <f>IF(OR(I41="",J41=""),"",IF(I41&lt;=J41*60,"Ya","Tidak"))</f>
        <v/>
      </c>
      <c r="L41" s="44" t="n"/>
      <c r="M41" s="44" t="n"/>
      <c r="N41" s="44" t="n"/>
      <c r="O41" s="44" t="n"/>
      <c r="P41" s="44" t="n"/>
      <c r="Q41" s="44" t="n"/>
    </row>
    <row r="42" ht="15" customHeight="1" s="28">
      <c r="A42" s="44" t="n"/>
      <c r="B42" s="45" t="n"/>
      <c r="C42" s="44" t="n"/>
      <c r="D42" s="44" t="n"/>
      <c r="E42" s="44" t="n"/>
      <c r="F42" s="44" t="n"/>
      <c r="G42" s="46" t="n"/>
      <c r="H42" s="46" t="n"/>
      <c r="I42" s="47">
        <f>IF(OR(G42="",H42=""),"",ROUND((H42-G42)*1440,0))</f>
        <v/>
      </c>
      <c r="J42" s="47">
        <f>IF(D42="","",IFERROR(INDEX('Daftar Job'!$J$5:$J$86,MATCH(D42,'Daftar Job'!$A$5:$A$86,0)),""))</f>
        <v/>
      </c>
      <c r="K42" s="47">
        <f>IF(OR(I42="",J42=""),"",IF(I42&lt;=J42*60,"Ya","Tidak"))</f>
        <v/>
      </c>
      <c r="L42" s="44" t="n"/>
      <c r="M42" s="44" t="n"/>
      <c r="N42" s="44" t="n"/>
      <c r="O42" s="44" t="n"/>
      <c r="P42" s="44" t="n"/>
      <c r="Q42" s="44" t="n"/>
    </row>
    <row r="43" ht="15" customHeight="1" s="28">
      <c r="A43" s="44" t="n"/>
      <c r="B43" s="45" t="n"/>
      <c r="C43" s="44" t="n"/>
      <c r="D43" s="44" t="n"/>
      <c r="E43" s="44" t="n"/>
      <c r="F43" s="44" t="n"/>
      <c r="G43" s="46" t="n"/>
      <c r="H43" s="46" t="n"/>
      <c r="I43" s="47">
        <f>IF(OR(G43="",H43=""),"",ROUND((H43-G43)*1440,0))</f>
        <v/>
      </c>
      <c r="J43" s="47">
        <f>IF(D43="","",IFERROR(INDEX('Daftar Job'!$J$5:$J$86,MATCH(D43,'Daftar Job'!$A$5:$A$86,0)),""))</f>
        <v/>
      </c>
      <c r="K43" s="47">
        <f>IF(OR(I43="",J43=""),"",IF(I43&lt;=J43*60,"Ya","Tidak"))</f>
        <v/>
      </c>
      <c r="L43" s="44" t="n"/>
      <c r="M43" s="44" t="n"/>
      <c r="N43" s="44" t="n"/>
      <c r="O43" s="44" t="n"/>
      <c r="P43" s="44" t="n"/>
      <c r="Q43" s="44" t="n"/>
    </row>
    <row r="44" ht="15" customHeight="1" s="28">
      <c r="A44" s="44" t="n"/>
      <c r="B44" s="45" t="n"/>
      <c r="C44" s="44" t="n"/>
      <c r="D44" s="44" t="n"/>
      <c r="E44" s="44" t="n"/>
      <c r="F44" s="44" t="n"/>
      <c r="G44" s="46" t="n"/>
      <c r="H44" s="46" t="n"/>
      <c r="I44" s="47">
        <f>IF(OR(G44="",H44=""),"",ROUND((H44-G44)*1440,0))</f>
        <v/>
      </c>
      <c r="J44" s="47">
        <f>IF(D44="","",IFERROR(INDEX('Daftar Job'!$J$5:$J$86,MATCH(D44,'Daftar Job'!$A$5:$A$86,0)),""))</f>
        <v/>
      </c>
      <c r="K44" s="47">
        <f>IF(OR(I44="",J44=""),"",IF(I44&lt;=J44*60,"Ya","Tidak"))</f>
        <v/>
      </c>
      <c r="L44" s="44" t="n"/>
      <c r="M44" s="44" t="n"/>
      <c r="N44" s="44" t="n"/>
      <c r="O44" s="44" t="n"/>
      <c r="P44" s="44" t="n"/>
      <c r="Q44" s="44" t="n"/>
    </row>
    <row r="45" ht="15" customHeight="1" s="28">
      <c r="A45" s="44" t="n"/>
      <c r="B45" s="45" t="n"/>
      <c r="C45" s="44" t="n"/>
      <c r="D45" s="44" t="n"/>
      <c r="E45" s="44" t="n"/>
      <c r="F45" s="44" t="n"/>
      <c r="G45" s="46" t="n"/>
      <c r="H45" s="46" t="n"/>
      <c r="I45" s="47">
        <f>IF(OR(G45="",H45=""),"",ROUND((H45-G45)*1440,0))</f>
        <v/>
      </c>
      <c r="J45" s="47">
        <f>IF(D45="","",IFERROR(INDEX('Daftar Job'!$J$5:$J$86,MATCH(D45,'Daftar Job'!$A$5:$A$86,0)),""))</f>
        <v/>
      </c>
      <c r="K45" s="47">
        <f>IF(OR(I45="",J45=""),"",IF(I45&lt;=J45*60,"Ya","Tidak"))</f>
        <v/>
      </c>
      <c r="L45" s="44" t="n"/>
      <c r="M45" s="44" t="n"/>
      <c r="N45" s="44" t="n"/>
      <c r="O45" s="44" t="n"/>
      <c r="P45" s="44" t="n"/>
      <c r="Q45" s="44" t="n"/>
    </row>
    <row r="46" ht="15" customHeight="1" s="28">
      <c r="A46" s="44" t="n"/>
      <c r="B46" s="45" t="n"/>
      <c r="C46" s="44" t="n"/>
      <c r="D46" s="44" t="n"/>
      <c r="E46" s="44" t="n"/>
      <c r="F46" s="44" t="n"/>
      <c r="G46" s="46" t="n"/>
      <c r="H46" s="46" t="n"/>
      <c r="I46" s="47">
        <f>IF(OR(G46="",H46=""),"",ROUND((H46-G46)*1440,0))</f>
        <v/>
      </c>
      <c r="J46" s="47">
        <f>IF(D46="","",IFERROR(INDEX('Daftar Job'!$J$5:$J$86,MATCH(D46,'Daftar Job'!$A$5:$A$86,0)),""))</f>
        <v/>
      </c>
      <c r="K46" s="47">
        <f>IF(OR(I46="",J46=""),"",IF(I46&lt;=J46*60,"Ya","Tidak"))</f>
        <v/>
      </c>
      <c r="L46" s="44" t="n"/>
      <c r="M46" s="44" t="n"/>
      <c r="N46" s="44" t="n"/>
      <c r="O46" s="44" t="n"/>
      <c r="P46" s="44" t="n"/>
      <c r="Q46" s="44" t="n"/>
    </row>
    <row r="47" ht="15" customHeight="1" s="28">
      <c r="A47" s="44" t="n"/>
      <c r="B47" s="45" t="n"/>
      <c r="C47" s="44" t="n"/>
      <c r="D47" s="44" t="n"/>
      <c r="E47" s="44" t="n"/>
      <c r="F47" s="44" t="n"/>
      <c r="G47" s="46" t="n"/>
      <c r="H47" s="46" t="n"/>
      <c r="I47" s="47">
        <f>IF(OR(G47="",H47=""),"",ROUND((H47-G47)*1440,0))</f>
        <v/>
      </c>
      <c r="J47" s="47">
        <f>IF(D47="","",IFERROR(INDEX('Daftar Job'!$J$5:$J$86,MATCH(D47,'Daftar Job'!$A$5:$A$86,0)),""))</f>
        <v/>
      </c>
      <c r="K47" s="47">
        <f>IF(OR(I47="",J47=""),"",IF(I47&lt;=J47*60,"Ya","Tidak"))</f>
        <v/>
      </c>
      <c r="L47" s="44" t="n"/>
      <c r="M47" s="44" t="n"/>
      <c r="N47" s="44" t="n"/>
      <c r="O47" s="44" t="n"/>
      <c r="P47" s="44" t="n"/>
      <c r="Q47" s="44" t="n"/>
    </row>
    <row r="48" ht="15" customHeight="1" s="28">
      <c r="A48" s="44" t="n"/>
      <c r="B48" s="45" t="n"/>
      <c r="C48" s="44" t="n"/>
      <c r="D48" s="44" t="n"/>
      <c r="E48" s="44" t="n"/>
      <c r="F48" s="44" t="n"/>
      <c r="G48" s="46" t="n"/>
      <c r="H48" s="46" t="n"/>
      <c r="I48" s="47">
        <f>IF(OR(G48="",H48=""),"",ROUND((H48-G48)*1440,0))</f>
        <v/>
      </c>
      <c r="J48" s="47">
        <f>IF(D48="","",IFERROR(INDEX('Daftar Job'!$J$5:$J$86,MATCH(D48,'Daftar Job'!$A$5:$A$86,0)),""))</f>
        <v/>
      </c>
      <c r="K48" s="47">
        <f>IF(OR(I48="",J48=""),"",IF(I48&lt;=J48*60,"Ya","Tidak"))</f>
        <v/>
      </c>
      <c r="L48" s="44" t="n"/>
      <c r="M48" s="44" t="n"/>
      <c r="N48" s="44" t="n"/>
      <c r="O48" s="44" t="n"/>
      <c r="P48" s="44" t="n"/>
      <c r="Q48" s="44" t="n"/>
    </row>
    <row r="49" ht="15" customHeight="1" s="28">
      <c r="A49" s="44" t="n"/>
      <c r="B49" s="45" t="n"/>
      <c r="C49" s="44" t="n"/>
      <c r="D49" s="44" t="n"/>
      <c r="E49" s="44" t="n"/>
      <c r="F49" s="44" t="n"/>
      <c r="G49" s="46" t="n"/>
      <c r="H49" s="46" t="n"/>
      <c r="I49" s="47">
        <f>IF(OR(G49="",H49=""),"",ROUND((H49-G49)*1440,0))</f>
        <v/>
      </c>
      <c r="J49" s="47">
        <f>IF(D49="","",IFERROR(INDEX('Daftar Job'!$J$5:$J$86,MATCH(D49,'Daftar Job'!$A$5:$A$86,0)),""))</f>
        <v/>
      </c>
      <c r="K49" s="47">
        <f>IF(OR(I49="",J49=""),"",IF(I49&lt;=J49*60,"Ya","Tidak"))</f>
        <v/>
      </c>
      <c r="L49" s="44" t="n"/>
      <c r="M49" s="44" t="n"/>
      <c r="N49" s="44" t="n"/>
      <c r="O49" s="44" t="n"/>
      <c r="P49" s="44" t="n"/>
      <c r="Q49" s="44" t="n"/>
    </row>
    <row r="50" ht="15" customHeight="1" s="28">
      <c r="A50" s="44" t="n"/>
      <c r="B50" s="45" t="n"/>
      <c r="C50" s="44" t="n"/>
      <c r="D50" s="44" t="n"/>
      <c r="E50" s="44" t="n"/>
      <c r="F50" s="44" t="n"/>
      <c r="G50" s="46" t="n"/>
      <c r="H50" s="46" t="n"/>
      <c r="I50" s="47">
        <f>IF(OR(G50="",H50=""),"",ROUND((H50-G50)*1440,0))</f>
        <v/>
      </c>
      <c r="J50" s="47">
        <f>IF(D50="","",IFERROR(INDEX('Daftar Job'!$J$5:$J$86,MATCH(D50,'Daftar Job'!$A$5:$A$86,0)),""))</f>
        <v/>
      </c>
      <c r="K50" s="47">
        <f>IF(OR(I50="",J50=""),"",IF(I50&lt;=J50*60,"Ya","Tidak"))</f>
        <v/>
      </c>
      <c r="L50" s="44" t="n"/>
      <c r="M50" s="44" t="n"/>
      <c r="N50" s="44" t="n"/>
      <c r="O50" s="44" t="n"/>
      <c r="P50" s="44" t="n"/>
      <c r="Q50" s="44" t="n"/>
    </row>
    <row r="51" ht="15" customHeight="1" s="28">
      <c r="A51" s="44" t="n"/>
      <c r="B51" s="45" t="n"/>
      <c r="C51" s="44" t="n"/>
      <c r="D51" s="44" t="n"/>
      <c r="E51" s="44" t="n"/>
      <c r="F51" s="44" t="n"/>
      <c r="G51" s="46" t="n"/>
      <c r="H51" s="46" t="n"/>
      <c r="I51" s="47">
        <f>IF(OR(G51="",H51=""),"",ROUND((H51-G51)*1440,0))</f>
        <v/>
      </c>
      <c r="J51" s="47">
        <f>IF(D51="","",IFERROR(INDEX('Daftar Job'!$J$5:$J$86,MATCH(D51,'Daftar Job'!$A$5:$A$86,0)),""))</f>
        <v/>
      </c>
      <c r="K51" s="47">
        <f>IF(OR(I51="",J51=""),"",IF(I51&lt;=J51*60,"Ya","Tidak"))</f>
        <v/>
      </c>
      <c r="L51" s="44" t="n"/>
      <c r="M51" s="44" t="n"/>
      <c r="N51" s="44" t="n"/>
      <c r="O51" s="44" t="n"/>
      <c r="P51" s="44" t="n"/>
      <c r="Q51" s="44" t="n"/>
    </row>
    <row r="52" ht="15" customHeight="1" s="28">
      <c r="A52" s="44" t="n"/>
      <c r="B52" s="45" t="n"/>
      <c r="C52" s="44" t="n"/>
      <c r="D52" s="44" t="n"/>
      <c r="E52" s="44" t="n"/>
      <c r="F52" s="44" t="n"/>
      <c r="G52" s="46" t="n"/>
      <c r="H52" s="46" t="n"/>
      <c r="I52" s="47">
        <f>IF(OR(G52="",H52=""),"",ROUND((H52-G52)*1440,0))</f>
        <v/>
      </c>
      <c r="J52" s="47">
        <f>IF(D52="","",IFERROR(INDEX('Daftar Job'!$J$5:$J$86,MATCH(D52,'Daftar Job'!$A$5:$A$86,0)),""))</f>
        <v/>
      </c>
      <c r="K52" s="47">
        <f>IF(OR(I52="",J52=""),"",IF(I52&lt;=J52*60,"Ya","Tidak"))</f>
        <v/>
      </c>
      <c r="L52" s="44" t="n"/>
      <c r="M52" s="44" t="n"/>
      <c r="N52" s="44" t="n"/>
      <c r="O52" s="44" t="n"/>
      <c r="P52" s="44" t="n"/>
      <c r="Q52" s="44" t="n"/>
    </row>
    <row r="53" ht="15" customHeight="1" s="28">
      <c r="A53" s="44" t="n"/>
      <c r="B53" s="45" t="n"/>
      <c r="C53" s="44" t="n"/>
      <c r="D53" s="44" t="n"/>
      <c r="E53" s="44" t="n"/>
      <c r="F53" s="44" t="n"/>
      <c r="G53" s="46" t="n"/>
      <c r="H53" s="46" t="n"/>
      <c r="I53" s="47">
        <f>IF(OR(G53="",H53=""),"",ROUND((H53-G53)*1440,0))</f>
        <v/>
      </c>
      <c r="J53" s="47">
        <f>IF(D53="","",IFERROR(INDEX('Daftar Job'!$J$5:$J$86,MATCH(D53,'Daftar Job'!$A$5:$A$86,0)),""))</f>
        <v/>
      </c>
      <c r="K53" s="47">
        <f>IF(OR(I53="",J53=""),"",IF(I53&lt;=J53*60,"Ya","Tidak"))</f>
        <v/>
      </c>
      <c r="L53" s="44" t="n"/>
      <c r="M53" s="44" t="n"/>
      <c r="N53" s="44" t="n"/>
      <c r="O53" s="44" t="n"/>
      <c r="P53" s="44" t="n"/>
      <c r="Q53" s="44" t="n"/>
    </row>
    <row r="54" ht="15" customHeight="1" s="28">
      <c r="A54" s="44" t="n"/>
      <c r="B54" s="45" t="n"/>
      <c r="C54" s="44" t="n"/>
      <c r="D54" s="44" t="n"/>
      <c r="E54" s="44" t="n"/>
      <c r="F54" s="44" t="n"/>
      <c r="G54" s="46" t="n"/>
      <c r="H54" s="46" t="n"/>
      <c r="I54" s="47">
        <f>IF(OR(G54="",H54=""),"",ROUND((H54-G54)*1440,0))</f>
        <v/>
      </c>
      <c r="J54" s="47">
        <f>IF(D54="","",IFERROR(INDEX('Daftar Job'!$J$5:$J$86,MATCH(D54,'Daftar Job'!$A$5:$A$86,0)),""))</f>
        <v/>
      </c>
      <c r="K54" s="47">
        <f>IF(OR(I54="",J54=""),"",IF(I54&lt;=J54*60,"Ya","Tidak"))</f>
        <v/>
      </c>
      <c r="L54" s="44" t="n"/>
      <c r="M54" s="44" t="n"/>
      <c r="N54" s="44" t="n"/>
      <c r="O54" s="44" t="n"/>
      <c r="P54" s="44" t="n"/>
      <c r="Q54" s="44" t="n"/>
    </row>
    <row r="55" ht="15" customHeight="1" s="28">
      <c r="A55" s="44" t="n"/>
      <c r="B55" s="45" t="n"/>
      <c r="C55" s="44" t="n"/>
      <c r="D55" s="44" t="n"/>
      <c r="E55" s="44" t="n"/>
      <c r="F55" s="44" t="n"/>
      <c r="G55" s="46" t="n"/>
      <c r="H55" s="46" t="n"/>
      <c r="I55" s="47">
        <f>IF(OR(G55="",H55=""),"",ROUND((H55-G55)*1440,0))</f>
        <v/>
      </c>
      <c r="J55" s="47">
        <f>IF(D55="","",IFERROR(INDEX('Daftar Job'!$J$5:$J$86,MATCH(D55,'Daftar Job'!$A$5:$A$86,0)),""))</f>
        <v/>
      </c>
      <c r="K55" s="47">
        <f>IF(OR(I55="",J55=""),"",IF(I55&lt;=J55*60,"Ya","Tidak"))</f>
        <v/>
      </c>
      <c r="L55" s="44" t="n"/>
      <c r="M55" s="44" t="n"/>
      <c r="N55" s="44" t="n"/>
      <c r="O55" s="44" t="n"/>
      <c r="P55" s="44" t="n"/>
      <c r="Q55" s="44" t="n"/>
    </row>
    <row r="56" ht="15" customHeight="1" s="28">
      <c r="A56" s="44" t="n"/>
      <c r="B56" s="45" t="n"/>
      <c r="C56" s="44" t="n"/>
      <c r="D56" s="44" t="n"/>
      <c r="E56" s="44" t="n"/>
      <c r="F56" s="44" t="n"/>
      <c r="G56" s="46" t="n"/>
      <c r="H56" s="46" t="n"/>
      <c r="I56" s="47">
        <f>IF(OR(G56="",H56=""),"",ROUND((H56-G56)*1440,0))</f>
        <v/>
      </c>
      <c r="J56" s="47">
        <f>IF(D56="","",IFERROR(INDEX('Daftar Job'!$J$5:$J$86,MATCH(D56,'Daftar Job'!$A$5:$A$86,0)),""))</f>
        <v/>
      </c>
      <c r="K56" s="47">
        <f>IF(OR(I56="",J56=""),"",IF(I56&lt;=J56*60,"Ya","Tidak"))</f>
        <v/>
      </c>
      <c r="L56" s="44" t="n"/>
      <c r="M56" s="44" t="n"/>
      <c r="N56" s="44" t="n"/>
      <c r="O56" s="44" t="n"/>
      <c r="P56" s="44" t="n"/>
      <c r="Q56" s="44" t="n"/>
    </row>
    <row r="57" ht="15" customHeight="1" s="28">
      <c r="A57" s="44" t="n"/>
      <c r="B57" s="45" t="n"/>
      <c r="C57" s="44" t="n"/>
      <c r="D57" s="44" t="n"/>
      <c r="E57" s="44" t="n"/>
      <c r="F57" s="44" t="n"/>
      <c r="G57" s="46" t="n"/>
      <c r="H57" s="46" t="n"/>
      <c r="I57" s="47">
        <f>IF(OR(G57="",H57=""),"",ROUND((H57-G57)*1440,0))</f>
        <v/>
      </c>
      <c r="J57" s="47">
        <f>IF(D57="","",IFERROR(INDEX('Daftar Job'!$J$5:$J$86,MATCH(D57,'Daftar Job'!$A$5:$A$86,0)),""))</f>
        <v/>
      </c>
      <c r="K57" s="47">
        <f>IF(OR(I57="",J57=""),"",IF(I57&lt;=J57*60,"Ya","Tidak"))</f>
        <v/>
      </c>
      <c r="L57" s="44" t="n"/>
      <c r="M57" s="44" t="n"/>
      <c r="N57" s="44" t="n"/>
      <c r="O57" s="44" t="n"/>
      <c r="P57" s="44" t="n"/>
      <c r="Q57" s="44" t="n"/>
    </row>
    <row r="58" ht="15" customHeight="1" s="28">
      <c r="A58" s="44" t="n"/>
      <c r="B58" s="45" t="n"/>
      <c r="C58" s="44" t="n"/>
      <c r="D58" s="44" t="n"/>
      <c r="E58" s="44" t="n"/>
      <c r="F58" s="44" t="n"/>
      <c r="G58" s="46" t="n"/>
      <c r="H58" s="46" t="n"/>
      <c r="I58" s="47">
        <f>IF(OR(G58="",H58=""),"",ROUND((H58-G58)*1440,0))</f>
        <v/>
      </c>
      <c r="J58" s="47">
        <f>IF(D58="","",IFERROR(INDEX('Daftar Job'!$J$5:$J$86,MATCH(D58,'Daftar Job'!$A$5:$A$86,0)),""))</f>
        <v/>
      </c>
      <c r="K58" s="47">
        <f>IF(OR(I58="",J58=""),"",IF(I58&lt;=J58*60,"Ya","Tidak"))</f>
        <v/>
      </c>
      <c r="L58" s="44" t="n"/>
      <c r="M58" s="44" t="n"/>
      <c r="N58" s="44" t="n"/>
      <c r="O58" s="44" t="n"/>
      <c r="P58" s="44" t="n"/>
      <c r="Q58" s="44" t="n"/>
    </row>
    <row r="59" ht="15" customHeight="1" s="28">
      <c r="A59" s="44" t="n"/>
      <c r="B59" s="45" t="n"/>
      <c r="C59" s="44" t="n"/>
      <c r="D59" s="44" t="n"/>
      <c r="E59" s="44" t="n"/>
      <c r="F59" s="44" t="n"/>
      <c r="G59" s="46" t="n"/>
      <c r="H59" s="46" t="n"/>
      <c r="I59" s="47">
        <f>IF(OR(G59="",H59=""),"",ROUND((H59-G59)*1440,0))</f>
        <v/>
      </c>
      <c r="J59" s="47">
        <f>IF(D59="","",IFERROR(INDEX('Daftar Job'!$J$5:$J$86,MATCH(D59,'Daftar Job'!$A$5:$A$86,0)),""))</f>
        <v/>
      </c>
      <c r="K59" s="47">
        <f>IF(OR(I59="",J59=""),"",IF(I59&lt;=J59*60,"Ya","Tidak"))</f>
        <v/>
      </c>
      <c r="L59" s="44" t="n"/>
      <c r="M59" s="44" t="n"/>
      <c r="N59" s="44" t="n"/>
      <c r="O59" s="44" t="n"/>
      <c r="P59" s="44" t="n"/>
      <c r="Q59" s="44" t="n"/>
    </row>
    <row r="60" ht="15" customHeight="1" s="28">
      <c r="A60" s="44" t="n"/>
      <c r="B60" s="45" t="n"/>
      <c r="C60" s="44" t="n"/>
      <c r="D60" s="44" t="n"/>
      <c r="E60" s="44" t="n"/>
      <c r="F60" s="44" t="n"/>
      <c r="G60" s="46" t="n"/>
      <c r="H60" s="46" t="n"/>
      <c r="I60" s="47">
        <f>IF(OR(G60="",H60=""),"",ROUND((H60-G60)*1440,0))</f>
        <v/>
      </c>
      <c r="J60" s="47">
        <f>IF(D60="","",IFERROR(INDEX('Daftar Job'!$J$5:$J$86,MATCH(D60,'Daftar Job'!$A$5:$A$86,0)),""))</f>
        <v/>
      </c>
      <c r="K60" s="47">
        <f>IF(OR(I60="",J60=""),"",IF(I60&lt;=J60*60,"Ya","Tidak"))</f>
        <v/>
      </c>
      <c r="L60" s="44" t="n"/>
      <c r="M60" s="44" t="n"/>
      <c r="N60" s="44" t="n"/>
      <c r="O60" s="44" t="n"/>
      <c r="P60" s="44" t="n"/>
      <c r="Q60" s="44" t="n"/>
    </row>
    <row r="61" ht="15" customHeight="1" s="28">
      <c r="A61" s="44" t="n"/>
      <c r="B61" s="45" t="n"/>
      <c r="C61" s="44" t="n"/>
      <c r="D61" s="44" t="n"/>
      <c r="E61" s="44" t="n"/>
      <c r="F61" s="44" t="n"/>
      <c r="G61" s="46" t="n"/>
      <c r="H61" s="46" t="n"/>
      <c r="I61" s="47">
        <f>IF(OR(G61="",H61=""),"",ROUND((H61-G61)*1440,0))</f>
        <v/>
      </c>
      <c r="J61" s="47">
        <f>IF(D61="","",IFERROR(INDEX('Daftar Job'!$J$5:$J$86,MATCH(D61,'Daftar Job'!$A$5:$A$86,0)),""))</f>
        <v/>
      </c>
      <c r="K61" s="47">
        <f>IF(OR(I61="",J61=""),"",IF(I61&lt;=J61*60,"Ya","Tidak"))</f>
        <v/>
      </c>
      <c r="L61" s="44" t="n"/>
      <c r="M61" s="44" t="n"/>
      <c r="N61" s="44" t="n"/>
      <c r="O61" s="44" t="n"/>
      <c r="P61" s="44" t="n"/>
      <c r="Q61" s="44" t="n"/>
    </row>
    <row r="62" ht="15" customHeight="1" s="28">
      <c r="A62" s="44" t="n"/>
      <c r="B62" s="45" t="n"/>
      <c r="C62" s="44" t="n"/>
      <c r="D62" s="44" t="n"/>
      <c r="E62" s="44" t="n"/>
      <c r="F62" s="44" t="n"/>
      <c r="G62" s="46" t="n"/>
      <c r="H62" s="46" t="n"/>
      <c r="I62" s="47">
        <f>IF(OR(G62="",H62=""),"",ROUND((H62-G62)*1440,0))</f>
        <v/>
      </c>
      <c r="J62" s="47">
        <f>IF(D62="","",IFERROR(INDEX('Daftar Job'!$J$5:$J$86,MATCH(D62,'Daftar Job'!$A$5:$A$86,0)),""))</f>
        <v/>
      </c>
      <c r="K62" s="47">
        <f>IF(OR(I62="",J62=""),"",IF(I62&lt;=J62*60,"Ya","Tidak"))</f>
        <v/>
      </c>
      <c r="L62" s="44" t="n"/>
      <c r="M62" s="44" t="n"/>
      <c r="N62" s="44" t="n"/>
      <c r="O62" s="44" t="n"/>
      <c r="P62" s="44" t="n"/>
      <c r="Q62" s="44" t="n"/>
    </row>
    <row r="63" ht="15" customHeight="1" s="28">
      <c r="A63" s="44" t="n"/>
      <c r="B63" s="45" t="n"/>
      <c r="C63" s="44" t="n"/>
      <c r="D63" s="44" t="n"/>
      <c r="E63" s="44" t="n"/>
      <c r="F63" s="44" t="n"/>
      <c r="G63" s="46" t="n"/>
      <c r="H63" s="46" t="n"/>
      <c r="I63" s="47">
        <f>IF(OR(G63="",H63=""),"",ROUND((H63-G63)*1440,0))</f>
        <v/>
      </c>
      <c r="J63" s="47">
        <f>IF(D63="","",IFERROR(INDEX('Daftar Job'!$J$5:$J$86,MATCH(D63,'Daftar Job'!$A$5:$A$86,0)),""))</f>
        <v/>
      </c>
      <c r="K63" s="47">
        <f>IF(OR(I63="",J63=""),"",IF(I63&lt;=J63*60,"Ya","Tidak"))</f>
        <v/>
      </c>
      <c r="L63" s="44" t="n"/>
      <c r="M63" s="44" t="n"/>
      <c r="N63" s="44" t="n"/>
      <c r="O63" s="44" t="n"/>
      <c r="P63" s="44" t="n"/>
      <c r="Q63" s="44" t="n"/>
    </row>
    <row r="64" ht="15" customHeight="1" s="28">
      <c r="A64" s="44" t="n"/>
      <c r="B64" s="45" t="n"/>
      <c r="C64" s="44" t="n"/>
      <c r="D64" s="44" t="n"/>
      <c r="E64" s="44" t="n"/>
      <c r="F64" s="44" t="n"/>
      <c r="G64" s="46" t="n"/>
      <c r="H64" s="46" t="n"/>
      <c r="I64" s="47">
        <f>IF(OR(G64="",H64=""),"",ROUND((H64-G64)*1440,0))</f>
        <v/>
      </c>
      <c r="J64" s="47">
        <f>IF(D64="","",IFERROR(INDEX('Daftar Job'!$J$5:$J$86,MATCH(D64,'Daftar Job'!$A$5:$A$86,0)),""))</f>
        <v/>
      </c>
      <c r="K64" s="47">
        <f>IF(OR(I64="",J64=""),"",IF(I64&lt;=J64*60,"Ya","Tidak"))</f>
        <v/>
      </c>
      <c r="L64" s="44" t="n"/>
      <c r="M64" s="44" t="n"/>
      <c r="N64" s="44" t="n"/>
      <c r="O64" s="44" t="n"/>
      <c r="P64" s="44" t="n"/>
      <c r="Q64" s="44" t="n"/>
    </row>
    <row r="65" ht="15" customHeight="1" s="28">
      <c r="A65" s="44" t="n"/>
      <c r="B65" s="45" t="n"/>
      <c r="C65" s="44" t="n"/>
      <c r="D65" s="44" t="n"/>
      <c r="E65" s="44" t="n"/>
      <c r="F65" s="44" t="n"/>
      <c r="G65" s="46" t="n"/>
      <c r="H65" s="46" t="n"/>
      <c r="I65" s="47">
        <f>IF(OR(G65="",H65=""),"",ROUND((H65-G65)*1440,0))</f>
        <v/>
      </c>
      <c r="J65" s="47">
        <f>IF(D65="","",IFERROR(INDEX('Daftar Job'!$J$5:$J$86,MATCH(D65,'Daftar Job'!$A$5:$A$86,0)),""))</f>
        <v/>
      </c>
      <c r="K65" s="47">
        <f>IF(OR(I65="",J65=""),"",IF(I65&lt;=J65*60,"Ya","Tidak"))</f>
        <v/>
      </c>
      <c r="L65" s="44" t="n"/>
      <c r="M65" s="44" t="n"/>
      <c r="N65" s="44" t="n"/>
      <c r="O65" s="44" t="n"/>
      <c r="P65" s="44" t="n"/>
      <c r="Q65" s="44" t="n"/>
    </row>
    <row r="66" ht="15" customHeight="1" s="28">
      <c r="A66" s="44" t="n"/>
      <c r="B66" s="45" t="n"/>
      <c r="C66" s="44" t="n"/>
      <c r="D66" s="44" t="n"/>
      <c r="E66" s="44" t="n"/>
      <c r="F66" s="44" t="n"/>
      <c r="G66" s="46" t="n"/>
      <c r="H66" s="46" t="n"/>
      <c r="I66" s="47">
        <f>IF(OR(G66="",H66=""),"",ROUND((H66-G66)*1440,0))</f>
        <v/>
      </c>
      <c r="J66" s="47">
        <f>IF(D66="","",IFERROR(INDEX('Daftar Job'!$J$5:$J$86,MATCH(D66,'Daftar Job'!$A$5:$A$86,0)),""))</f>
        <v/>
      </c>
      <c r="K66" s="47">
        <f>IF(OR(I66="",J66=""),"",IF(I66&lt;=J66*60,"Ya","Tidak"))</f>
        <v/>
      </c>
      <c r="L66" s="44" t="n"/>
      <c r="M66" s="44" t="n"/>
      <c r="N66" s="44" t="n"/>
      <c r="O66" s="44" t="n"/>
      <c r="P66" s="44" t="n"/>
      <c r="Q66" s="44" t="n"/>
    </row>
    <row r="67" ht="15" customHeight="1" s="28">
      <c r="A67" s="44" t="n"/>
      <c r="B67" s="45" t="n"/>
      <c r="C67" s="44" t="n"/>
      <c r="D67" s="44" t="n"/>
      <c r="E67" s="44" t="n"/>
      <c r="F67" s="44" t="n"/>
      <c r="G67" s="46" t="n"/>
      <c r="H67" s="46" t="n"/>
      <c r="I67" s="47">
        <f>IF(OR(G67="",H67=""),"",ROUND((H67-G67)*1440,0))</f>
        <v/>
      </c>
      <c r="J67" s="47">
        <f>IF(D67="","",IFERROR(INDEX('Daftar Job'!$J$5:$J$86,MATCH(D67,'Daftar Job'!$A$5:$A$86,0)),""))</f>
        <v/>
      </c>
      <c r="K67" s="47">
        <f>IF(OR(I67="",J67=""),"",IF(I67&lt;=J67*60,"Ya","Tidak"))</f>
        <v/>
      </c>
      <c r="L67" s="44" t="n"/>
      <c r="M67" s="44" t="n"/>
      <c r="N67" s="44" t="n"/>
      <c r="O67" s="44" t="n"/>
      <c r="P67" s="44" t="n"/>
      <c r="Q67" s="44" t="n"/>
    </row>
    <row r="68" ht="15" customHeight="1" s="28">
      <c r="A68" s="44" t="n"/>
      <c r="B68" s="45" t="n"/>
      <c r="C68" s="44" t="n"/>
      <c r="D68" s="44" t="n"/>
      <c r="E68" s="44" t="n"/>
      <c r="F68" s="44" t="n"/>
      <c r="G68" s="46" t="n"/>
      <c r="H68" s="46" t="n"/>
      <c r="I68" s="47">
        <f>IF(OR(G68="",H68=""),"",ROUND((H68-G68)*1440,0))</f>
        <v/>
      </c>
      <c r="J68" s="47">
        <f>IF(D68="","",IFERROR(INDEX('Daftar Job'!$J$5:$J$86,MATCH(D68,'Daftar Job'!$A$5:$A$86,0)),""))</f>
        <v/>
      </c>
      <c r="K68" s="47">
        <f>IF(OR(I68="",J68=""),"",IF(I68&lt;=J68*60,"Ya","Tidak"))</f>
        <v/>
      </c>
      <c r="L68" s="44" t="n"/>
      <c r="M68" s="44" t="n"/>
      <c r="N68" s="44" t="n"/>
      <c r="O68" s="44" t="n"/>
      <c r="P68" s="44" t="n"/>
      <c r="Q68" s="44" t="n"/>
    </row>
    <row r="69" ht="15" customHeight="1" s="28">
      <c r="A69" s="44" t="n"/>
      <c r="B69" s="45" t="n"/>
      <c r="C69" s="44" t="n"/>
      <c r="D69" s="44" t="n"/>
      <c r="E69" s="44" t="n"/>
      <c r="F69" s="44" t="n"/>
      <c r="G69" s="46" t="n"/>
      <c r="H69" s="46" t="n"/>
      <c r="I69" s="47">
        <f>IF(OR(G69="",H69=""),"",ROUND((H69-G69)*1440,0))</f>
        <v/>
      </c>
      <c r="J69" s="47">
        <f>IF(D69="","",IFERROR(INDEX('Daftar Job'!$J$5:$J$86,MATCH(D69,'Daftar Job'!$A$5:$A$86,0)),""))</f>
        <v/>
      </c>
      <c r="K69" s="47">
        <f>IF(OR(I69="",J69=""),"",IF(I69&lt;=J69*60,"Ya","Tidak"))</f>
        <v/>
      </c>
      <c r="L69" s="44" t="n"/>
      <c r="M69" s="44" t="n"/>
      <c r="N69" s="44" t="n"/>
      <c r="O69" s="44" t="n"/>
      <c r="P69" s="44" t="n"/>
      <c r="Q69" s="44" t="n"/>
    </row>
    <row r="70" ht="15" customHeight="1" s="28">
      <c r="A70" s="44" t="n"/>
      <c r="B70" s="45" t="n"/>
      <c r="C70" s="44" t="n"/>
      <c r="D70" s="44" t="n"/>
      <c r="E70" s="44" t="n"/>
      <c r="F70" s="44" t="n"/>
      <c r="G70" s="46" t="n"/>
      <c r="H70" s="46" t="n"/>
      <c r="I70" s="47">
        <f>IF(OR(G70="",H70=""),"",ROUND((H70-G70)*1440,0))</f>
        <v/>
      </c>
      <c r="J70" s="47">
        <f>IF(D70="","",IFERROR(INDEX('Daftar Job'!$J$5:$J$86,MATCH(D70,'Daftar Job'!$A$5:$A$86,0)),""))</f>
        <v/>
      </c>
      <c r="K70" s="47">
        <f>IF(OR(I70="",J70=""),"",IF(I70&lt;=J70*60,"Ya","Tidak"))</f>
        <v/>
      </c>
      <c r="L70" s="44" t="n"/>
      <c r="M70" s="44" t="n"/>
      <c r="N70" s="44" t="n"/>
      <c r="O70" s="44" t="n"/>
      <c r="P70" s="44" t="n"/>
      <c r="Q70" s="44" t="n"/>
    </row>
    <row r="71" ht="15" customHeight="1" s="28">
      <c r="A71" s="44" t="n"/>
      <c r="B71" s="45" t="n"/>
      <c r="C71" s="44" t="n"/>
      <c r="D71" s="44" t="n"/>
      <c r="E71" s="44" t="n"/>
      <c r="F71" s="44" t="n"/>
      <c r="G71" s="46" t="n"/>
      <c r="H71" s="46" t="n"/>
      <c r="I71" s="47">
        <f>IF(OR(G71="",H71=""),"",ROUND((H71-G71)*1440,0))</f>
        <v/>
      </c>
      <c r="J71" s="47">
        <f>IF(D71="","",IFERROR(INDEX('Daftar Job'!$J$5:$J$86,MATCH(D71,'Daftar Job'!$A$5:$A$86,0)),""))</f>
        <v/>
      </c>
      <c r="K71" s="47">
        <f>IF(OR(I71="",J71=""),"",IF(I71&lt;=J71*60,"Ya","Tidak"))</f>
        <v/>
      </c>
      <c r="L71" s="44" t="n"/>
      <c r="M71" s="44" t="n"/>
      <c r="N71" s="44" t="n"/>
      <c r="O71" s="44" t="n"/>
      <c r="P71" s="44" t="n"/>
      <c r="Q71" s="44" t="n"/>
    </row>
    <row r="72" ht="15" customHeight="1" s="28">
      <c r="A72" s="44" t="n"/>
      <c r="B72" s="45" t="n"/>
      <c r="C72" s="44" t="n"/>
      <c r="D72" s="44" t="n"/>
      <c r="E72" s="44" t="n"/>
      <c r="F72" s="44" t="n"/>
      <c r="G72" s="46" t="n"/>
      <c r="H72" s="46" t="n"/>
      <c r="I72" s="47">
        <f>IF(OR(G72="",H72=""),"",ROUND((H72-G72)*1440,0))</f>
        <v/>
      </c>
      <c r="J72" s="47">
        <f>IF(D72="","",IFERROR(INDEX('Daftar Job'!$J$5:$J$86,MATCH(D72,'Daftar Job'!$A$5:$A$86,0)),""))</f>
        <v/>
      </c>
      <c r="K72" s="47">
        <f>IF(OR(I72="",J72=""),"",IF(I72&lt;=J72*60,"Ya","Tidak"))</f>
        <v/>
      </c>
      <c r="L72" s="44" t="n"/>
      <c r="M72" s="44" t="n"/>
      <c r="N72" s="44" t="n"/>
      <c r="O72" s="44" t="n"/>
      <c r="P72" s="44" t="n"/>
      <c r="Q72" s="44" t="n"/>
    </row>
    <row r="73" ht="15" customHeight="1" s="28">
      <c r="A73" s="44" t="n"/>
      <c r="B73" s="45" t="n"/>
      <c r="C73" s="44" t="n"/>
      <c r="D73" s="44" t="n"/>
      <c r="E73" s="44" t="n"/>
      <c r="F73" s="44" t="n"/>
      <c r="G73" s="46" t="n"/>
      <c r="H73" s="46" t="n"/>
      <c r="I73" s="47">
        <f>IF(OR(G73="",H73=""),"",ROUND((H73-G73)*1440,0))</f>
        <v/>
      </c>
      <c r="J73" s="47">
        <f>IF(D73="","",IFERROR(INDEX('Daftar Job'!$J$5:$J$86,MATCH(D73,'Daftar Job'!$A$5:$A$86,0)),""))</f>
        <v/>
      </c>
      <c r="K73" s="47">
        <f>IF(OR(I73="",J73=""),"",IF(I73&lt;=J73*60,"Ya","Tidak"))</f>
        <v/>
      </c>
      <c r="L73" s="44" t="n"/>
      <c r="M73" s="44" t="n"/>
      <c r="N73" s="44" t="n"/>
      <c r="O73" s="44" t="n"/>
      <c r="P73" s="44" t="n"/>
      <c r="Q73" s="44" t="n"/>
    </row>
    <row r="74" ht="15" customHeight="1" s="28">
      <c r="A74" s="44" t="n"/>
      <c r="B74" s="45" t="n"/>
      <c r="C74" s="44" t="n"/>
      <c r="D74" s="44" t="n"/>
      <c r="E74" s="44" t="n"/>
      <c r="F74" s="44" t="n"/>
      <c r="G74" s="46" t="n"/>
      <c r="H74" s="46" t="n"/>
      <c r="I74" s="47">
        <f>IF(OR(G74="",H74=""),"",ROUND((H74-G74)*1440,0))</f>
        <v/>
      </c>
      <c r="J74" s="47">
        <f>IF(D74="","",IFERROR(INDEX('Daftar Job'!$J$5:$J$86,MATCH(D74,'Daftar Job'!$A$5:$A$86,0)),""))</f>
        <v/>
      </c>
      <c r="K74" s="47">
        <f>IF(OR(I74="",J74=""),"",IF(I74&lt;=J74*60,"Ya","Tidak"))</f>
        <v/>
      </c>
      <c r="L74" s="44" t="n"/>
      <c r="M74" s="44" t="n"/>
      <c r="N74" s="44" t="n"/>
      <c r="O74" s="44" t="n"/>
      <c r="P74" s="44" t="n"/>
      <c r="Q74" s="44" t="n"/>
    </row>
    <row r="75" ht="15" customHeight="1" s="28">
      <c r="A75" s="44" t="n"/>
      <c r="B75" s="45" t="n"/>
      <c r="C75" s="44" t="n"/>
      <c r="D75" s="44" t="n"/>
      <c r="E75" s="44" t="n"/>
      <c r="F75" s="44" t="n"/>
      <c r="G75" s="46" t="n"/>
      <c r="H75" s="46" t="n"/>
      <c r="I75" s="47">
        <f>IF(OR(G75="",H75=""),"",ROUND((H75-G75)*1440,0))</f>
        <v/>
      </c>
      <c r="J75" s="47">
        <f>IF(D75="","",IFERROR(INDEX('Daftar Job'!$J$5:$J$86,MATCH(D75,'Daftar Job'!$A$5:$A$86,0)),""))</f>
        <v/>
      </c>
      <c r="K75" s="47">
        <f>IF(OR(I75="",J75=""),"",IF(I75&lt;=J75*60,"Ya","Tidak"))</f>
        <v/>
      </c>
      <c r="L75" s="44" t="n"/>
      <c r="M75" s="44" t="n"/>
      <c r="N75" s="44" t="n"/>
      <c r="O75" s="44" t="n"/>
      <c r="P75" s="44" t="n"/>
      <c r="Q75" s="44" t="n"/>
    </row>
    <row r="76" ht="15" customHeight="1" s="28">
      <c r="A76" s="44" t="n"/>
      <c r="B76" s="45" t="n"/>
      <c r="C76" s="44" t="n"/>
      <c r="D76" s="44" t="n"/>
      <c r="E76" s="44" t="n"/>
      <c r="F76" s="44" t="n"/>
      <c r="G76" s="46" t="n"/>
      <c r="H76" s="46" t="n"/>
      <c r="I76" s="47">
        <f>IF(OR(G76="",H76=""),"",ROUND((H76-G76)*1440,0))</f>
        <v/>
      </c>
      <c r="J76" s="47">
        <f>IF(D76="","",IFERROR(INDEX('Daftar Job'!$J$5:$J$86,MATCH(D76,'Daftar Job'!$A$5:$A$86,0)),""))</f>
        <v/>
      </c>
      <c r="K76" s="47">
        <f>IF(OR(I76="",J76=""),"",IF(I76&lt;=J76*60,"Ya","Tidak"))</f>
        <v/>
      </c>
      <c r="L76" s="44" t="n"/>
      <c r="M76" s="44" t="n"/>
      <c r="N76" s="44" t="n"/>
      <c r="O76" s="44" t="n"/>
      <c r="P76" s="44" t="n"/>
      <c r="Q76" s="44" t="n"/>
    </row>
    <row r="77" ht="15" customHeight="1" s="28">
      <c r="A77" s="44" t="n"/>
      <c r="B77" s="45" t="n"/>
      <c r="C77" s="44" t="n"/>
      <c r="D77" s="44" t="n"/>
      <c r="E77" s="44" t="n"/>
      <c r="F77" s="44" t="n"/>
      <c r="G77" s="46" t="n"/>
      <c r="H77" s="46" t="n"/>
      <c r="I77" s="47">
        <f>IF(OR(G77="",H77=""),"",ROUND((H77-G77)*1440,0))</f>
        <v/>
      </c>
      <c r="J77" s="47">
        <f>IF(D77="","",IFERROR(INDEX('Daftar Job'!$J$5:$J$86,MATCH(D77,'Daftar Job'!$A$5:$A$86,0)),""))</f>
        <v/>
      </c>
      <c r="K77" s="47">
        <f>IF(OR(I77="",J77=""),"",IF(I77&lt;=J77*60,"Ya","Tidak"))</f>
        <v/>
      </c>
      <c r="L77" s="44" t="n"/>
      <c r="M77" s="44" t="n"/>
      <c r="N77" s="44" t="n"/>
      <c r="O77" s="44" t="n"/>
      <c r="P77" s="44" t="n"/>
      <c r="Q77" s="44" t="n"/>
    </row>
    <row r="78" ht="15" customHeight="1" s="28">
      <c r="A78" s="44" t="n"/>
      <c r="B78" s="45" t="n"/>
      <c r="C78" s="44" t="n"/>
      <c r="D78" s="44" t="n"/>
      <c r="E78" s="44" t="n"/>
      <c r="F78" s="44" t="n"/>
      <c r="G78" s="46" t="n"/>
      <c r="H78" s="46" t="n"/>
      <c r="I78" s="47">
        <f>IF(OR(G78="",H78=""),"",ROUND((H78-G78)*1440,0))</f>
        <v/>
      </c>
      <c r="J78" s="47">
        <f>IF(D78="","",IFERROR(INDEX('Daftar Job'!$J$5:$J$86,MATCH(D78,'Daftar Job'!$A$5:$A$86,0)),""))</f>
        <v/>
      </c>
      <c r="K78" s="47">
        <f>IF(OR(I78="",J78=""),"",IF(I78&lt;=J78*60,"Ya","Tidak"))</f>
        <v/>
      </c>
      <c r="L78" s="44" t="n"/>
      <c r="M78" s="44" t="n"/>
      <c r="N78" s="44" t="n"/>
      <c r="O78" s="44" t="n"/>
      <c r="P78" s="44" t="n"/>
      <c r="Q78" s="44" t="n"/>
    </row>
    <row r="79" ht="15" customHeight="1" s="28">
      <c r="A79" s="44" t="n"/>
      <c r="B79" s="45" t="n"/>
      <c r="C79" s="44" t="n"/>
      <c r="D79" s="44" t="n"/>
      <c r="E79" s="44" t="n"/>
      <c r="F79" s="44" t="n"/>
      <c r="G79" s="46" t="n"/>
      <c r="H79" s="46" t="n"/>
      <c r="I79" s="47">
        <f>IF(OR(G79="",H79=""),"",ROUND((H79-G79)*1440,0))</f>
        <v/>
      </c>
      <c r="J79" s="47">
        <f>IF(D79="","",IFERROR(INDEX('Daftar Job'!$J$5:$J$86,MATCH(D79,'Daftar Job'!$A$5:$A$86,0)),""))</f>
        <v/>
      </c>
      <c r="K79" s="47">
        <f>IF(OR(I79="",J79=""),"",IF(I79&lt;=J79*60,"Ya","Tidak"))</f>
        <v/>
      </c>
      <c r="L79" s="44" t="n"/>
      <c r="M79" s="44" t="n"/>
      <c r="N79" s="44" t="n"/>
      <c r="O79" s="44" t="n"/>
      <c r="P79" s="44" t="n"/>
      <c r="Q79" s="44" t="n"/>
    </row>
    <row r="80" ht="15" customHeight="1" s="28">
      <c r="A80" s="44" t="n"/>
      <c r="B80" s="45" t="n"/>
      <c r="C80" s="44" t="n"/>
      <c r="D80" s="44" t="n"/>
      <c r="E80" s="44" t="n"/>
      <c r="F80" s="44" t="n"/>
      <c r="G80" s="46" t="n"/>
      <c r="H80" s="46" t="n"/>
      <c r="I80" s="47">
        <f>IF(OR(G80="",H80=""),"",ROUND((H80-G80)*1440,0))</f>
        <v/>
      </c>
      <c r="J80" s="47">
        <f>IF(D80="","",IFERROR(INDEX('Daftar Job'!$J$5:$J$86,MATCH(D80,'Daftar Job'!$A$5:$A$86,0)),""))</f>
        <v/>
      </c>
      <c r="K80" s="47">
        <f>IF(OR(I80="",J80=""),"",IF(I80&lt;=J80*60,"Ya","Tidak"))</f>
        <v/>
      </c>
      <c r="L80" s="44" t="n"/>
      <c r="M80" s="44" t="n"/>
      <c r="N80" s="44" t="n"/>
      <c r="O80" s="44" t="n"/>
      <c r="P80" s="44" t="n"/>
      <c r="Q80" s="44" t="n"/>
    </row>
    <row r="81" ht="15" customHeight="1" s="28">
      <c r="A81" s="44" t="n"/>
      <c r="B81" s="45" t="n"/>
      <c r="C81" s="44" t="n"/>
      <c r="D81" s="44" t="n"/>
      <c r="E81" s="44" t="n"/>
      <c r="F81" s="44" t="n"/>
      <c r="G81" s="46" t="n"/>
      <c r="H81" s="46" t="n"/>
      <c r="I81" s="47">
        <f>IF(OR(G81="",H81=""),"",ROUND((H81-G81)*1440,0))</f>
        <v/>
      </c>
      <c r="J81" s="47">
        <f>IF(D81="","",IFERROR(INDEX('Daftar Job'!$J$5:$J$86,MATCH(D81,'Daftar Job'!$A$5:$A$86,0)),""))</f>
        <v/>
      </c>
      <c r="K81" s="47">
        <f>IF(OR(I81="",J81=""),"",IF(I81&lt;=J81*60,"Ya","Tidak"))</f>
        <v/>
      </c>
      <c r="L81" s="44" t="n"/>
      <c r="M81" s="44" t="n"/>
      <c r="N81" s="44" t="n"/>
      <c r="O81" s="44" t="n"/>
      <c r="P81" s="44" t="n"/>
      <c r="Q81" s="44" t="n"/>
    </row>
    <row r="82" ht="15" customHeight="1" s="28">
      <c r="A82" s="44" t="n"/>
      <c r="B82" s="45" t="n"/>
      <c r="C82" s="44" t="n"/>
      <c r="D82" s="44" t="n"/>
      <c r="E82" s="44" t="n"/>
      <c r="F82" s="44" t="n"/>
      <c r="G82" s="46" t="n"/>
      <c r="H82" s="46" t="n"/>
      <c r="I82" s="47">
        <f>IF(OR(G82="",H82=""),"",ROUND((H82-G82)*1440,0))</f>
        <v/>
      </c>
      <c r="J82" s="47">
        <f>IF(D82="","",IFERROR(INDEX('Daftar Job'!$J$5:$J$86,MATCH(D82,'Daftar Job'!$A$5:$A$86,0)),""))</f>
        <v/>
      </c>
      <c r="K82" s="47">
        <f>IF(OR(I82="",J82=""),"",IF(I82&lt;=J82*60,"Ya","Tidak"))</f>
        <v/>
      </c>
      <c r="L82" s="44" t="n"/>
      <c r="M82" s="44" t="n"/>
      <c r="N82" s="44" t="n"/>
      <c r="O82" s="44" t="n"/>
      <c r="P82" s="44" t="n"/>
      <c r="Q82" s="44" t="n"/>
    </row>
    <row r="83" ht="15" customHeight="1" s="28">
      <c r="A83" s="44" t="n"/>
      <c r="B83" s="45" t="n"/>
      <c r="C83" s="44" t="n"/>
      <c r="D83" s="44" t="n"/>
      <c r="E83" s="44" t="n"/>
      <c r="F83" s="44" t="n"/>
      <c r="G83" s="46" t="n"/>
      <c r="H83" s="46" t="n"/>
      <c r="I83" s="47">
        <f>IF(OR(G83="",H83=""),"",ROUND((H83-G83)*1440,0))</f>
        <v/>
      </c>
      <c r="J83" s="47">
        <f>IF(D83="","",IFERROR(INDEX('Daftar Job'!$J$5:$J$86,MATCH(D83,'Daftar Job'!$A$5:$A$86,0)),""))</f>
        <v/>
      </c>
      <c r="K83" s="47">
        <f>IF(OR(I83="",J83=""),"",IF(I83&lt;=J83*60,"Ya","Tidak"))</f>
        <v/>
      </c>
      <c r="L83" s="44" t="n"/>
      <c r="M83" s="44" t="n"/>
      <c r="N83" s="44" t="n"/>
      <c r="O83" s="44" t="n"/>
      <c r="P83" s="44" t="n"/>
      <c r="Q83" s="44" t="n"/>
    </row>
    <row r="84" ht="15" customHeight="1" s="28">
      <c r="A84" s="44" t="n"/>
      <c r="B84" s="45" t="n"/>
      <c r="C84" s="44" t="n"/>
      <c r="D84" s="44" t="n"/>
      <c r="E84" s="44" t="n"/>
      <c r="F84" s="44" t="n"/>
      <c r="G84" s="46" t="n"/>
      <c r="H84" s="46" t="n"/>
      <c r="I84" s="47">
        <f>IF(OR(G84="",H84=""),"",ROUND((H84-G84)*1440,0))</f>
        <v/>
      </c>
      <c r="J84" s="47">
        <f>IF(D84="","",IFERROR(INDEX('Daftar Job'!$J$5:$J$86,MATCH(D84,'Daftar Job'!$A$5:$A$86,0)),""))</f>
        <v/>
      </c>
      <c r="K84" s="47">
        <f>IF(OR(I84="",J84=""),"",IF(I84&lt;=J84*60,"Ya","Tidak"))</f>
        <v/>
      </c>
      <c r="L84" s="44" t="n"/>
      <c r="M84" s="44" t="n"/>
      <c r="N84" s="44" t="n"/>
      <c r="O84" s="44" t="n"/>
      <c r="P84" s="44" t="n"/>
      <c r="Q84" s="44" t="n"/>
    </row>
    <row r="85" ht="15" customHeight="1" s="28">
      <c r="A85" s="44" t="n"/>
      <c r="B85" s="45" t="n"/>
      <c r="C85" s="44" t="n"/>
      <c r="D85" s="44" t="n"/>
      <c r="E85" s="44" t="n"/>
      <c r="F85" s="44" t="n"/>
      <c r="G85" s="46" t="n"/>
      <c r="H85" s="46" t="n"/>
      <c r="I85" s="47">
        <f>IF(OR(G85="",H85=""),"",ROUND((H85-G85)*1440,0))</f>
        <v/>
      </c>
      <c r="J85" s="47">
        <f>IF(D85="","",IFERROR(INDEX('Daftar Job'!$J$5:$J$86,MATCH(D85,'Daftar Job'!$A$5:$A$86,0)),""))</f>
        <v/>
      </c>
      <c r="K85" s="47">
        <f>IF(OR(I85="",J85=""),"",IF(I85&lt;=J85*60,"Ya","Tidak"))</f>
        <v/>
      </c>
      <c r="L85" s="44" t="n"/>
      <c r="M85" s="44" t="n"/>
      <c r="N85" s="44" t="n"/>
      <c r="O85" s="44" t="n"/>
      <c r="P85" s="44" t="n"/>
      <c r="Q85" s="44" t="n"/>
    </row>
    <row r="86" ht="15" customHeight="1" s="28">
      <c r="A86" s="44" t="n"/>
      <c r="B86" s="45" t="n"/>
      <c r="C86" s="44" t="n"/>
      <c r="D86" s="44" t="n"/>
      <c r="E86" s="44" t="n"/>
      <c r="F86" s="44" t="n"/>
      <c r="G86" s="46" t="n"/>
      <c r="H86" s="46" t="n"/>
      <c r="I86" s="47">
        <f>IF(OR(G86="",H86=""),"",ROUND((H86-G86)*1440,0))</f>
        <v/>
      </c>
      <c r="J86" s="47">
        <f>IF(D86="","",IFERROR(INDEX('Daftar Job'!$J$5:$J$86,MATCH(D86,'Daftar Job'!$A$5:$A$86,0)),""))</f>
        <v/>
      </c>
      <c r="K86" s="47">
        <f>IF(OR(I86="",J86=""),"",IF(I86&lt;=J86*60,"Ya","Tidak"))</f>
        <v/>
      </c>
      <c r="L86" s="44" t="n"/>
      <c r="M86" s="44" t="n"/>
      <c r="N86" s="44" t="n"/>
      <c r="O86" s="44" t="n"/>
      <c r="P86" s="44" t="n"/>
      <c r="Q86" s="44" t="n"/>
    </row>
    <row r="87" ht="15" customHeight="1" s="28">
      <c r="A87" s="44" t="n"/>
      <c r="B87" s="45" t="n"/>
      <c r="C87" s="44" t="n"/>
      <c r="D87" s="44" t="n"/>
      <c r="E87" s="44" t="n"/>
      <c r="F87" s="44" t="n"/>
      <c r="G87" s="46" t="n"/>
      <c r="H87" s="46" t="n"/>
      <c r="I87" s="47">
        <f>IF(OR(G87="",H87=""),"",ROUND((H87-G87)*1440,0))</f>
        <v/>
      </c>
      <c r="J87" s="47">
        <f>IF(D87="","",IFERROR(INDEX('Daftar Job'!$J$5:$J$86,MATCH(D87,'Daftar Job'!$A$5:$A$86,0)),""))</f>
        <v/>
      </c>
      <c r="K87" s="47">
        <f>IF(OR(I87="",J87=""),"",IF(I87&lt;=J87*60,"Ya","Tidak"))</f>
        <v/>
      </c>
      <c r="L87" s="44" t="n"/>
      <c r="M87" s="44" t="n"/>
      <c r="N87" s="44" t="n"/>
      <c r="O87" s="44" t="n"/>
      <c r="P87" s="44" t="n"/>
      <c r="Q87" s="44" t="n"/>
    </row>
    <row r="88" ht="15" customHeight="1" s="28">
      <c r="A88" s="44" t="n"/>
      <c r="B88" s="45" t="n"/>
      <c r="C88" s="44" t="n"/>
      <c r="D88" s="44" t="n"/>
      <c r="E88" s="44" t="n"/>
      <c r="F88" s="44" t="n"/>
      <c r="G88" s="46" t="n"/>
      <c r="H88" s="46" t="n"/>
      <c r="I88" s="47">
        <f>IF(OR(G88="",H88=""),"",ROUND((H88-G88)*1440,0))</f>
        <v/>
      </c>
      <c r="J88" s="47">
        <f>IF(D88="","",IFERROR(INDEX('Daftar Job'!$J$5:$J$86,MATCH(D88,'Daftar Job'!$A$5:$A$86,0)),""))</f>
        <v/>
      </c>
      <c r="K88" s="47">
        <f>IF(OR(I88="",J88=""),"",IF(I88&lt;=J88*60,"Ya","Tidak"))</f>
        <v/>
      </c>
      <c r="L88" s="44" t="n"/>
      <c r="M88" s="44" t="n"/>
      <c r="N88" s="44" t="n"/>
      <c r="O88" s="44" t="n"/>
      <c r="P88" s="44" t="n"/>
      <c r="Q88" s="44" t="n"/>
    </row>
    <row r="89" ht="15" customHeight="1" s="28">
      <c r="A89" s="44" t="n"/>
      <c r="B89" s="45" t="n"/>
      <c r="C89" s="44" t="n"/>
      <c r="D89" s="44" t="n"/>
      <c r="E89" s="44" t="n"/>
      <c r="F89" s="44" t="n"/>
      <c r="G89" s="46" t="n"/>
      <c r="H89" s="46" t="n"/>
      <c r="I89" s="47">
        <f>IF(OR(G89="",H89=""),"",ROUND((H89-G89)*1440,0))</f>
        <v/>
      </c>
      <c r="J89" s="47">
        <f>IF(D89="","",IFERROR(INDEX('Daftar Job'!$J$5:$J$86,MATCH(D89,'Daftar Job'!$A$5:$A$86,0)),""))</f>
        <v/>
      </c>
      <c r="K89" s="47">
        <f>IF(OR(I89="",J89=""),"",IF(I89&lt;=J89*60,"Ya","Tidak"))</f>
        <v/>
      </c>
      <c r="L89" s="44" t="n"/>
      <c r="M89" s="44" t="n"/>
      <c r="N89" s="44" t="n"/>
      <c r="O89" s="44" t="n"/>
      <c r="P89" s="44" t="n"/>
      <c r="Q89" s="44" t="n"/>
    </row>
    <row r="90" ht="15" customHeight="1" s="28">
      <c r="A90" s="44" t="n"/>
      <c r="B90" s="45" t="n"/>
      <c r="C90" s="44" t="n"/>
      <c r="D90" s="44" t="n"/>
      <c r="E90" s="44" t="n"/>
      <c r="F90" s="44" t="n"/>
      <c r="G90" s="46" t="n"/>
      <c r="H90" s="46" t="n"/>
      <c r="I90" s="47">
        <f>IF(OR(G90="",H90=""),"",ROUND((H90-G90)*1440,0))</f>
        <v/>
      </c>
      <c r="J90" s="47">
        <f>IF(D90="","",IFERROR(INDEX('Daftar Job'!$J$5:$J$86,MATCH(D90,'Daftar Job'!$A$5:$A$86,0)),""))</f>
        <v/>
      </c>
      <c r="K90" s="47">
        <f>IF(OR(I90="",J90=""),"",IF(I90&lt;=J90*60,"Ya","Tidak"))</f>
        <v/>
      </c>
      <c r="L90" s="44" t="n"/>
      <c r="M90" s="44" t="n"/>
      <c r="N90" s="44" t="n"/>
      <c r="O90" s="44" t="n"/>
      <c r="P90" s="44" t="n"/>
      <c r="Q90" s="44" t="n"/>
    </row>
    <row r="91" ht="15" customHeight="1" s="28">
      <c r="A91" s="44" t="n"/>
      <c r="B91" s="45" t="n"/>
      <c r="C91" s="44" t="n"/>
      <c r="D91" s="44" t="n"/>
      <c r="E91" s="44" t="n"/>
      <c r="F91" s="44" t="n"/>
      <c r="G91" s="46" t="n"/>
      <c r="H91" s="46" t="n"/>
      <c r="I91" s="47">
        <f>IF(OR(G91="",H91=""),"",ROUND((H91-G91)*1440,0))</f>
        <v/>
      </c>
      <c r="J91" s="47">
        <f>IF(D91="","",IFERROR(INDEX('Daftar Job'!$J$5:$J$86,MATCH(D91,'Daftar Job'!$A$5:$A$86,0)),""))</f>
        <v/>
      </c>
      <c r="K91" s="47">
        <f>IF(OR(I91="",J91=""),"",IF(I91&lt;=J91*60,"Ya","Tidak"))</f>
        <v/>
      </c>
      <c r="L91" s="44" t="n"/>
      <c r="M91" s="44" t="n"/>
      <c r="N91" s="44" t="n"/>
      <c r="O91" s="44" t="n"/>
      <c r="P91" s="44" t="n"/>
      <c r="Q91" s="44" t="n"/>
    </row>
    <row r="92" ht="15" customHeight="1" s="28">
      <c r="A92" s="44" t="n"/>
      <c r="B92" s="45" t="n"/>
      <c r="C92" s="44" t="n"/>
      <c r="D92" s="44" t="n"/>
      <c r="E92" s="44" t="n"/>
      <c r="F92" s="44" t="n"/>
      <c r="G92" s="46" t="n"/>
      <c r="H92" s="46" t="n"/>
      <c r="I92" s="47">
        <f>IF(OR(G92="",H92=""),"",ROUND((H92-G92)*1440,0))</f>
        <v/>
      </c>
      <c r="J92" s="47">
        <f>IF(D92="","",IFERROR(INDEX('Daftar Job'!$J$5:$J$86,MATCH(D92,'Daftar Job'!$A$5:$A$86,0)),""))</f>
        <v/>
      </c>
      <c r="K92" s="47">
        <f>IF(OR(I92="",J92=""),"",IF(I92&lt;=J92*60,"Ya","Tidak"))</f>
        <v/>
      </c>
      <c r="L92" s="44" t="n"/>
      <c r="M92" s="44" t="n"/>
      <c r="N92" s="44" t="n"/>
      <c r="O92" s="44" t="n"/>
      <c r="P92" s="44" t="n"/>
      <c r="Q92" s="44" t="n"/>
    </row>
    <row r="93" ht="15" customHeight="1" s="28">
      <c r="A93" s="44" t="n"/>
      <c r="B93" s="45" t="n"/>
      <c r="C93" s="44" t="n"/>
      <c r="D93" s="44" t="n"/>
      <c r="E93" s="44" t="n"/>
      <c r="F93" s="44" t="n"/>
      <c r="G93" s="46" t="n"/>
      <c r="H93" s="46" t="n"/>
      <c r="I93" s="47">
        <f>IF(OR(G93="",H93=""),"",ROUND((H93-G93)*1440,0))</f>
        <v/>
      </c>
      <c r="J93" s="47">
        <f>IF(D93="","",IFERROR(INDEX('Daftar Job'!$J$5:$J$86,MATCH(D93,'Daftar Job'!$A$5:$A$86,0)),""))</f>
        <v/>
      </c>
      <c r="K93" s="47">
        <f>IF(OR(I93="",J93=""),"",IF(I93&lt;=J93*60,"Ya","Tidak"))</f>
        <v/>
      </c>
      <c r="L93" s="44" t="n"/>
      <c r="M93" s="44" t="n"/>
      <c r="N93" s="44" t="n"/>
      <c r="O93" s="44" t="n"/>
      <c r="P93" s="44" t="n"/>
      <c r="Q93" s="44" t="n"/>
    </row>
    <row r="94" ht="15" customHeight="1" s="28">
      <c r="A94" s="44" t="n"/>
      <c r="B94" s="45" t="n"/>
      <c r="C94" s="44" t="n"/>
      <c r="D94" s="44" t="n"/>
      <c r="E94" s="44" t="n"/>
      <c r="F94" s="44" t="n"/>
      <c r="G94" s="46" t="n"/>
      <c r="H94" s="46" t="n"/>
      <c r="I94" s="47">
        <f>IF(OR(G94="",H94=""),"",ROUND((H94-G94)*1440,0))</f>
        <v/>
      </c>
      <c r="J94" s="47">
        <f>IF(D94="","",IFERROR(INDEX('Daftar Job'!$J$5:$J$86,MATCH(D94,'Daftar Job'!$A$5:$A$86,0)),""))</f>
        <v/>
      </c>
      <c r="K94" s="47">
        <f>IF(OR(I94="",J94=""),"",IF(I94&lt;=J94*60,"Ya","Tidak"))</f>
        <v/>
      </c>
      <c r="L94" s="44" t="n"/>
      <c r="M94" s="44" t="n"/>
      <c r="N94" s="44" t="n"/>
      <c r="O94" s="44" t="n"/>
      <c r="P94" s="44" t="n"/>
      <c r="Q94" s="44" t="n"/>
    </row>
    <row r="95" ht="15" customHeight="1" s="28">
      <c r="A95" s="44" t="n"/>
      <c r="B95" s="45" t="n"/>
      <c r="C95" s="44" t="n"/>
      <c r="D95" s="44" t="n"/>
      <c r="E95" s="44" t="n"/>
      <c r="F95" s="44" t="n"/>
      <c r="G95" s="46" t="n"/>
      <c r="H95" s="46" t="n"/>
      <c r="I95" s="47">
        <f>IF(OR(G95="",H95=""),"",ROUND((H95-G95)*1440,0))</f>
        <v/>
      </c>
      <c r="J95" s="47">
        <f>IF(D95="","",IFERROR(INDEX('Daftar Job'!$J$5:$J$86,MATCH(D95,'Daftar Job'!$A$5:$A$86,0)),""))</f>
        <v/>
      </c>
      <c r="K95" s="47">
        <f>IF(OR(I95="",J95=""),"",IF(I95&lt;=J95*60,"Ya","Tidak"))</f>
        <v/>
      </c>
      <c r="L95" s="44" t="n"/>
      <c r="M95" s="44" t="n"/>
      <c r="N95" s="44" t="n"/>
      <c r="O95" s="44" t="n"/>
      <c r="P95" s="44" t="n"/>
      <c r="Q95" s="44" t="n"/>
    </row>
    <row r="96" ht="15" customHeight="1" s="28">
      <c r="A96" s="44" t="n"/>
      <c r="B96" s="45" t="n"/>
      <c r="C96" s="44" t="n"/>
      <c r="D96" s="44" t="n"/>
      <c r="E96" s="44" t="n"/>
      <c r="F96" s="44" t="n"/>
      <c r="G96" s="46" t="n"/>
      <c r="H96" s="46" t="n"/>
      <c r="I96" s="47">
        <f>IF(OR(G96="",H96=""),"",ROUND((H96-G96)*1440,0))</f>
        <v/>
      </c>
      <c r="J96" s="47">
        <f>IF(D96="","",IFERROR(INDEX('Daftar Job'!$J$5:$J$86,MATCH(D96,'Daftar Job'!$A$5:$A$86,0)),""))</f>
        <v/>
      </c>
      <c r="K96" s="47">
        <f>IF(OR(I96="",J96=""),"",IF(I96&lt;=J96*60,"Ya","Tidak"))</f>
        <v/>
      </c>
      <c r="L96" s="44" t="n"/>
      <c r="M96" s="44" t="n"/>
      <c r="N96" s="44" t="n"/>
      <c r="O96" s="44" t="n"/>
      <c r="P96" s="44" t="n"/>
      <c r="Q96" s="44" t="n"/>
    </row>
    <row r="97" ht="15" customHeight="1" s="28">
      <c r="A97" s="44" t="n"/>
      <c r="B97" s="45" t="n"/>
      <c r="C97" s="44" t="n"/>
      <c r="D97" s="44" t="n"/>
      <c r="E97" s="44" t="n"/>
      <c r="F97" s="44" t="n"/>
      <c r="G97" s="46" t="n"/>
      <c r="H97" s="46" t="n"/>
      <c r="I97" s="47">
        <f>IF(OR(G97="",H97=""),"",ROUND((H97-G97)*1440,0))</f>
        <v/>
      </c>
      <c r="J97" s="47">
        <f>IF(D97="","",IFERROR(INDEX('Daftar Job'!$J$5:$J$86,MATCH(D97,'Daftar Job'!$A$5:$A$86,0)),""))</f>
        <v/>
      </c>
      <c r="K97" s="47">
        <f>IF(OR(I97="",J97=""),"",IF(I97&lt;=J97*60,"Ya","Tidak"))</f>
        <v/>
      </c>
      <c r="L97" s="44" t="n"/>
      <c r="M97" s="44" t="n"/>
      <c r="N97" s="44" t="n"/>
      <c r="O97" s="44" t="n"/>
      <c r="P97" s="44" t="n"/>
      <c r="Q97" s="44" t="n"/>
    </row>
    <row r="98" ht="15" customHeight="1" s="28">
      <c r="A98" s="44" t="n"/>
      <c r="B98" s="45" t="n"/>
      <c r="C98" s="44" t="n"/>
      <c r="D98" s="44" t="n"/>
      <c r="E98" s="44" t="n"/>
      <c r="F98" s="44" t="n"/>
      <c r="G98" s="46" t="n"/>
      <c r="H98" s="46" t="n"/>
      <c r="I98" s="47">
        <f>IF(OR(G98="",H98=""),"",ROUND((H98-G98)*1440,0))</f>
        <v/>
      </c>
      <c r="J98" s="47">
        <f>IF(D98="","",IFERROR(INDEX('Daftar Job'!$J$5:$J$86,MATCH(D98,'Daftar Job'!$A$5:$A$86,0)),""))</f>
        <v/>
      </c>
      <c r="K98" s="47">
        <f>IF(OR(I98="",J98=""),"",IF(I98&lt;=J98*60,"Ya","Tidak"))</f>
        <v/>
      </c>
      <c r="L98" s="44" t="n"/>
      <c r="M98" s="44" t="n"/>
      <c r="N98" s="44" t="n"/>
      <c r="O98" s="44" t="n"/>
      <c r="P98" s="44" t="n"/>
      <c r="Q98" s="44" t="n"/>
    </row>
    <row r="99" ht="15" customHeight="1" s="28">
      <c r="A99" s="44" t="n"/>
      <c r="B99" s="45" t="n"/>
      <c r="C99" s="44" t="n"/>
      <c r="D99" s="44" t="n"/>
      <c r="E99" s="44" t="n"/>
      <c r="F99" s="44" t="n"/>
      <c r="G99" s="46" t="n"/>
      <c r="H99" s="46" t="n"/>
      <c r="I99" s="47">
        <f>IF(OR(G99="",H99=""),"",ROUND((H99-G99)*1440,0))</f>
        <v/>
      </c>
      <c r="J99" s="47">
        <f>IF(D99="","",IFERROR(INDEX('Daftar Job'!$J$5:$J$86,MATCH(D99,'Daftar Job'!$A$5:$A$86,0)),""))</f>
        <v/>
      </c>
      <c r="K99" s="47">
        <f>IF(OR(I99="",J99=""),"",IF(I99&lt;=J99*60,"Ya","Tidak"))</f>
        <v/>
      </c>
      <c r="L99" s="44" t="n"/>
      <c r="M99" s="44" t="n"/>
      <c r="N99" s="44" t="n"/>
      <c r="O99" s="44" t="n"/>
      <c r="P99" s="44" t="n"/>
      <c r="Q99" s="44" t="n"/>
    </row>
    <row r="100" ht="15" customHeight="1" s="28">
      <c r="A100" s="44" t="n"/>
      <c r="B100" s="45" t="n"/>
      <c r="C100" s="44" t="n"/>
      <c r="D100" s="44" t="n"/>
      <c r="E100" s="44" t="n"/>
      <c r="F100" s="44" t="n"/>
      <c r="G100" s="46" t="n"/>
      <c r="H100" s="46" t="n"/>
      <c r="I100" s="47">
        <f>IF(OR(G100="",H100=""),"",ROUND((H100-G100)*1440,0))</f>
        <v/>
      </c>
      <c r="J100" s="47">
        <f>IF(D100="","",IFERROR(INDEX('Daftar Job'!$J$5:$J$86,MATCH(D100,'Daftar Job'!$A$5:$A$86,0)),""))</f>
        <v/>
      </c>
      <c r="K100" s="47">
        <f>IF(OR(I100="",J100=""),"",IF(I100&lt;=J100*60,"Ya","Tidak"))</f>
        <v/>
      </c>
      <c r="L100" s="44" t="n"/>
      <c r="M100" s="44" t="n"/>
      <c r="N100" s="44" t="n"/>
      <c r="O100" s="44" t="n"/>
      <c r="P100" s="44" t="n"/>
      <c r="Q100" s="44" t="n"/>
    </row>
    <row r="101" ht="15" customHeight="1" s="28">
      <c r="A101" s="44" t="n"/>
      <c r="B101" s="45" t="n"/>
      <c r="C101" s="44" t="n"/>
      <c r="D101" s="44" t="n"/>
      <c r="E101" s="44" t="n"/>
      <c r="F101" s="44" t="n"/>
      <c r="G101" s="46" t="n"/>
      <c r="H101" s="46" t="n"/>
      <c r="I101" s="47">
        <f>IF(OR(G101="",H101=""),"",ROUND((H101-G101)*1440,0))</f>
        <v/>
      </c>
      <c r="J101" s="47">
        <f>IF(D101="","",IFERROR(INDEX('Daftar Job'!$J$5:$J$86,MATCH(D101,'Daftar Job'!$A$5:$A$86,0)),""))</f>
        <v/>
      </c>
      <c r="K101" s="47">
        <f>IF(OR(I101="",J101=""),"",IF(I101&lt;=J101*60,"Ya","Tidak"))</f>
        <v/>
      </c>
      <c r="L101" s="44" t="n"/>
      <c r="M101" s="44" t="n"/>
      <c r="N101" s="44" t="n"/>
      <c r="O101" s="44" t="n"/>
      <c r="P101" s="44" t="n"/>
      <c r="Q101" s="44" t="n"/>
    </row>
    <row r="102" ht="15" customHeight="1" s="28">
      <c r="A102" s="44" t="n"/>
      <c r="B102" s="45" t="n"/>
      <c r="C102" s="44" t="n"/>
      <c r="D102" s="44" t="n"/>
      <c r="E102" s="44" t="n"/>
      <c r="F102" s="44" t="n"/>
      <c r="G102" s="46" t="n"/>
      <c r="H102" s="46" t="n"/>
      <c r="I102" s="47">
        <f>IF(OR(G102="",H102=""),"",ROUND((H102-G102)*1440,0))</f>
        <v/>
      </c>
      <c r="J102" s="47">
        <f>IF(D102="","",IFERROR(INDEX('Daftar Job'!$J$5:$J$86,MATCH(D102,'Daftar Job'!$A$5:$A$86,0)),""))</f>
        <v/>
      </c>
      <c r="K102" s="47">
        <f>IF(OR(I102="",J102=""),"",IF(I102&lt;=J102*60,"Ya","Tidak"))</f>
        <v/>
      </c>
      <c r="L102" s="44" t="n"/>
      <c r="M102" s="44" t="n"/>
      <c r="N102" s="44" t="n"/>
      <c r="O102" s="44" t="n"/>
      <c r="P102" s="44" t="n"/>
      <c r="Q102" s="44" t="n"/>
    </row>
    <row r="103" ht="15" customHeight="1" s="28">
      <c r="A103" s="44" t="n"/>
      <c r="B103" s="45" t="n"/>
      <c r="C103" s="44" t="n"/>
      <c r="D103" s="44" t="n"/>
      <c r="E103" s="44" t="n"/>
      <c r="F103" s="44" t="n"/>
      <c r="G103" s="46" t="n"/>
      <c r="H103" s="46" t="n"/>
      <c r="I103" s="47">
        <f>IF(OR(G103="",H103=""),"",ROUND((H103-G103)*1440,0))</f>
        <v/>
      </c>
      <c r="J103" s="47">
        <f>IF(D103="","",IFERROR(INDEX('Daftar Job'!$J$5:$J$86,MATCH(D103,'Daftar Job'!$A$5:$A$86,0)),""))</f>
        <v/>
      </c>
      <c r="K103" s="47">
        <f>IF(OR(I103="",J103=""),"",IF(I103&lt;=J103*60,"Ya","Tidak"))</f>
        <v/>
      </c>
      <c r="L103" s="44" t="n"/>
      <c r="M103" s="44" t="n"/>
      <c r="N103" s="44" t="n"/>
      <c r="O103" s="44" t="n"/>
      <c r="P103" s="44" t="n"/>
      <c r="Q103" s="44" t="n"/>
    </row>
    <row r="104" ht="15" customHeight="1" s="28">
      <c r="A104" s="44" t="n"/>
      <c r="B104" s="45" t="n"/>
      <c r="C104" s="44" t="n"/>
      <c r="D104" s="44" t="n"/>
      <c r="E104" s="44" t="n"/>
      <c r="F104" s="44" t="n"/>
      <c r="G104" s="46" t="n"/>
      <c r="H104" s="46" t="n"/>
      <c r="I104" s="47">
        <f>IF(OR(G104="",H104=""),"",ROUND((H104-G104)*1440,0))</f>
        <v/>
      </c>
      <c r="J104" s="47">
        <f>IF(D104="","",IFERROR(INDEX('Daftar Job'!$J$5:$J$86,MATCH(D104,'Daftar Job'!$A$5:$A$86,0)),""))</f>
        <v/>
      </c>
      <c r="K104" s="47">
        <f>IF(OR(I104="",J104=""),"",IF(I104&lt;=J104*60,"Ya","Tidak"))</f>
        <v/>
      </c>
      <c r="L104" s="44" t="n"/>
      <c r="M104" s="44" t="n"/>
      <c r="N104" s="44" t="n"/>
      <c r="O104" s="44" t="n"/>
      <c r="P104" s="44" t="n"/>
      <c r="Q104" s="44" t="n"/>
    </row>
    <row r="105" ht="15" customHeight="1" s="28">
      <c r="A105" s="44" t="n"/>
      <c r="B105" s="45" t="n"/>
      <c r="C105" s="44" t="n"/>
      <c r="D105" s="44" t="n"/>
      <c r="E105" s="44" t="n"/>
      <c r="F105" s="44" t="n"/>
      <c r="G105" s="46" t="n"/>
      <c r="H105" s="46" t="n"/>
      <c r="I105" s="47">
        <f>IF(OR(G105="",H105=""),"",ROUND((H105-G105)*1440,0))</f>
        <v/>
      </c>
      <c r="J105" s="47">
        <f>IF(D105="","",IFERROR(INDEX('Daftar Job'!$J$5:$J$86,MATCH(D105,'Daftar Job'!$A$5:$A$86,0)),""))</f>
        <v/>
      </c>
      <c r="K105" s="47">
        <f>IF(OR(I105="",J105=""),"",IF(I105&lt;=J105*60,"Ya","Tidak"))</f>
        <v/>
      </c>
      <c r="L105" s="44" t="n"/>
      <c r="M105" s="44" t="n"/>
      <c r="N105" s="44" t="n"/>
      <c r="O105" s="44" t="n"/>
      <c r="P105" s="44" t="n"/>
      <c r="Q105" s="44" t="n"/>
    </row>
    <row r="106" ht="15" customHeight="1" s="28">
      <c r="A106" s="44" t="n"/>
      <c r="B106" s="45" t="n"/>
      <c r="C106" s="44" t="n"/>
      <c r="D106" s="44" t="n"/>
      <c r="E106" s="44" t="n"/>
      <c r="F106" s="44" t="n"/>
      <c r="G106" s="46" t="n"/>
      <c r="H106" s="46" t="n"/>
      <c r="I106" s="47">
        <f>IF(OR(G106="",H106=""),"",ROUND((H106-G106)*1440,0))</f>
        <v/>
      </c>
      <c r="J106" s="47">
        <f>IF(D106="","",IFERROR(INDEX('Daftar Job'!$J$5:$J$86,MATCH(D106,'Daftar Job'!$A$5:$A$86,0)),""))</f>
        <v/>
      </c>
      <c r="K106" s="47">
        <f>IF(OR(I106="",J106=""),"",IF(I106&lt;=J106*60,"Ya","Tidak"))</f>
        <v/>
      </c>
      <c r="L106" s="44" t="n"/>
      <c r="M106" s="44" t="n"/>
      <c r="N106" s="44" t="n"/>
      <c r="O106" s="44" t="n"/>
      <c r="P106" s="44" t="n"/>
      <c r="Q106" s="44" t="n"/>
    </row>
    <row r="107" ht="15" customHeight="1" s="28">
      <c r="A107" s="44" t="n"/>
      <c r="B107" s="45" t="n"/>
      <c r="C107" s="44" t="n"/>
      <c r="D107" s="44" t="n"/>
      <c r="E107" s="44" t="n"/>
      <c r="F107" s="44" t="n"/>
      <c r="G107" s="46" t="n"/>
      <c r="H107" s="46" t="n"/>
      <c r="I107" s="47">
        <f>IF(OR(G107="",H107=""),"",ROUND((H107-G107)*1440,0))</f>
        <v/>
      </c>
      <c r="J107" s="47">
        <f>IF(D107="","",IFERROR(INDEX('Daftar Job'!$J$5:$J$86,MATCH(D107,'Daftar Job'!$A$5:$A$86,0)),""))</f>
        <v/>
      </c>
      <c r="K107" s="47">
        <f>IF(OR(I107="",J107=""),"",IF(I107&lt;=J107*60,"Ya","Tidak"))</f>
        <v/>
      </c>
      <c r="L107" s="44" t="n"/>
      <c r="M107" s="44" t="n"/>
      <c r="N107" s="44" t="n"/>
      <c r="O107" s="44" t="n"/>
      <c r="P107" s="44" t="n"/>
      <c r="Q107" s="44" t="n"/>
    </row>
    <row r="108" ht="15" customHeight="1" s="28">
      <c r="A108" s="44" t="n"/>
      <c r="B108" s="45" t="n"/>
      <c r="C108" s="44" t="n"/>
      <c r="D108" s="44" t="n"/>
      <c r="E108" s="44" t="n"/>
      <c r="F108" s="44" t="n"/>
      <c r="G108" s="46" t="n"/>
      <c r="H108" s="46" t="n"/>
      <c r="I108" s="47">
        <f>IF(OR(G108="",H108=""),"",ROUND((H108-G108)*1440,0))</f>
        <v/>
      </c>
      <c r="J108" s="47">
        <f>IF(D108="","",IFERROR(INDEX('Daftar Job'!$J$5:$J$86,MATCH(D108,'Daftar Job'!$A$5:$A$86,0)),""))</f>
        <v/>
      </c>
      <c r="K108" s="47">
        <f>IF(OR(I108="",J108=""),"",IF(I108&lt;=J108*60,"Ya","Tidak"))</f>
        <v/>
      </c>
      <c r="L108" s="44" t="n"/>
      <c r="M108" s="44" t="n"/>
      <c r="N108" s="44" t="n"/>
      <c r="O108" s="44" t="n"/>
      <c r="P108" s="44" t="n"/>
      <c r="Q108" s="44" t="n"/>
    </row>
    <row r="109" ht="15" customHeight="1" s="28">
      <c r="A109" s="44" t="n"/>
      <c r="B109" s="45" t="n"/>
      <c r="C109" s="44" t="n"/>
      <c r="D109" s="44" t="n"/>
      <c r="E109" s="44" t="n"/>
      <c r="F109" s="44" t="n"/>
      <c r="G109" s="46" t="n"/>
      <c r="H109" s="46" t="n"/>
      <c r="I109" s="47">
        <f>IF(OR(G109="",H109=""),"",ROUND((H109-G109)*1440,0))</f>
        <v/>
      </c>
      <c r="J109" s="47">
        <f>IF(D109="","",IFERROR(INDEX('Daftar Job'!$J$5:$J$86,MATCH(D109,'Daftar Job'!$A$5:$A$86,0)),""))</f>
        <v/>
      </c>
      <c r="K109" s="47">
        <f>IF(OR(I109="",J109=""),"",IF(I109&lt;=J109*60,"Ya","Tidak"))</f>
        <v/>
      </c>
      <c r="L109" s="44" t="n"/>
      <c r="M109" s="44" t="n"/>
      <c r="N109" s="44" t="n"/>
      <c r="O109" s="44" t="n"/>
      <c r="P109" s="44" t="n"/>
      <c r="Q109" s="44" t="n"/>
    </row>
    <row r="110" ht="15" customHeight="1" s="28">
      <c r="A110" s="44" t="n"/>
      <c r="B110" s="45" t="n"/>
      <c r="C110" s="44" t="n"/>
      <c r="D110" s="44" t="n"/>
      <c r="E110" s="44" t="n"/>
      <c r="F110" s="44" t="n"/>
      <c r="G110" s="46" t="n"/>
      <c r="H110" s="46" t="n"/>
      <c r="I110" s="47">
        <f>IF(OR(G110="",H110=""),"",ROUND((H110-G110)*1440,0))</f>
        <v/>
      </c>
      <c r="J110" s="47">
        <f>IF(D110="","",IFERROR(INDEX('Daftar Job'!$J$5:$J$86,MATCH(D110,'Daftar Job'!$A$5:$A$86,0)),""))</f>
        <v/>
      </c>
      <c r="K110" s="47">
        <f>IF(OR(I110="",J110=""),"",IF(I110&lt;=J110*60,"Ya","Tidak"))</f>
        <v/>
      </c>
      <c r="L110" s="44" t="n"/>
      <c r="M110" s="44" t="n"/>
      <c r="N110" s="44" t="n"/>
      <c r="O110" s="44" t="n"/>
      <c r="P110" s="44" t="n"/>
      <c r="Q110" s="44" t="n"/>
    </row>
    <row r="111" ht="15" customHeight="1" s="28">
      <c r="A111" s="44" t="n"/>
      <c r="B111" s="45" t="n"/>
      <c r="C111" s="44" t="n"/>
      <c r="D111" s="44" t="n"/>
      <c r="E111" s="44" t="n"/>
      <c r="F111" s="44" t="n"/>
      <c r="G111" s="46" t="n"/>
      <c r="H111" s="46" t="n"/>
      <c r="I111" s="47">
        <f>IF(OR(G111="",H111=""),"",ROUND((H111-G111)*1440,0))</f>
        <v/>
      </c>
      <c r="J111" s="47">
        <f>IF(D111="","",IFERROR(INDEX('Daftar Job'!$J$5:$J$86,MATCH(D111,'Daftar Job'!$A$5:$A$86,0)),""))</f>
        <v/>
      </c>
      <c r="K111" s="47">
        <f>IF(OR(I111="",J111=""),"",IF(I111&lt;=J111*60,"Ya","Tidak"))</f>
        <v/>
      </c>
      <c r="L111" s="44" t="n"/>
      <c r="M111" s="44" t="n"/>
      <c r="N111" s="44" t="n"/>
      <c r="O111" s="44" t="n"/>
      <c r="P111" s="44" t="n"/>
      <c r="Q111" s="44" t="n"/>
    </row>
    <row r="112" ht="15" customHeight="1" s="28">
      <c r="A112" s="44" t="n"/>
      <c r="B112" s="45" t="n"/>
      <c r="C112" s="44" t="n"/>
      <c r="D112" s="44" t="n"/>
      <c r="E112" s="44" t="n"/>
      <c r="F112" s="44" t="n"/>
      <c r="G112" s="46" t="n"/>
      <c r="H112" s="46" t="n"/>
      <c r="I112" s="47">
        <f>IF(OR(G112="",H112=""),"",ROUND((H112-G112)*1440,0))</f>
        <v/>
      </c>
      <c r="J112" s="47">
        <f>IF(D112="","",IFERROR(INDEX('Daftar Job'!$J$5:$J$86,MATCH(D112,'Daftar Job'!$A$5:$A$86,0)),""))</f>
        <v/>
      </c>
      <c r="K112" s="47">
        <f>IF(OR(I112="",J112=""),"",IF(I112&lt;=J112*60,"Ya","Tidak"))</f>
        <v/>
      </c>
      <c r="L112" s="44" t="n"/>
      <c r="M112" s="44" t="n"/>
      <c r="N112" s="44" t="n"/>
      <c r="O112" s="44" t="n"/>
      <c r="P112" s="44" t="n"/>
      <c r="Q112" s="44" t="n"/>
    </row>
    <row r="113" ht="15" customHeight="1" s="28">
      <c r="A113" s="44" t="n"/>
      <c r="B113" s="45" t="n"/>
      <c r="C113" s="44" t="n"/>
      <c r="D113" s="44" t="n"/>
      <c r="E113" s="44" t="n"/>
      <c r="F113" s="44" t="n"/>
      <c r="G113" s="46" t="n"/>
      <c r="H113" s="46" t="n"/>
      <c r="I113" s="47">
        <f>IF(OR(G113="",H113=""),"",ROUND((H113-G113)*1440,0))</f>
        <v/>
      </c>
      <c r="J113" s="47">
        <f>IF(D113="","",IFERROR(INDEX('Daftar Job'!$J$5:$J$86,MATCH(D113,'Daftar Job'!$A$5:$A$86,0)),""))</f>
        <v/>
      </c>
      <c r="K113" s="47">
        <f>IF(OR(I113="",J113=""),"",IF(I113&lt;=J113*60,"Ya","Tidak"))</f>
        <v/>
      </c>
      <c r="L113" s="44" t="n"/>
      <c r="M113" s="44" t="n"/>
      <c r="N113" s="44" t="n"/>
      <c r="O113" s="44" t="n"/>
      <c r="P113" s="44" t="n"/>
      <c r="Q113" s="44" t="n"/>
    </row>
    <row r="114" ht="15" customHeight="1" s="28">
      <c r="A114" s="44" t="n"/>
      <c r="B114" s="45" t="n"/>
      <c r="C114" s="44" t="n"/>
      <c r="D114" s="44" t="n"/>
      <c r="E114" s="44" t="n"/>
      <c r="F114" s="44" t="n"/>
      <c r="G114" s="46" t="n"/>
      <c r="H114" s="46" t="n"/>
      <c r="I114" s="47">
        <f>IF(OR(G114="",H114=""),"",ROUND((H114-G114)*1440,0))</f>
        <v/>
      </c>
      <c r="J114" s="47">
        <f>IF(D114="","",IFERROR(INDEX('Daftar Job'!$J$5:$J$86,MATCH(D114,'Daftar Job'!$A$5:$A$86,0)),""))</f>
        <v/>
      </c>
      <c r="K114" s="47">
        <f>IF(OR(I114="",J114=""),"",IF(I114&lt;=J114*60,"Ya","Tidak"))</f>
        <v/>
      </c>
      <c r="L114" s="44" t="n"/>
      <c r="M114" s="44" t="n"/>
      <c r="N114" s="44" t="n"/>
      <c r="O114" s="44" t="n"/>
      <c r="P114" s="44" t="n"/>
      <c r="Q114" s="44" t="n"/>
    </row>
    <row r="115" ht="15" customHeight="1" s="28">
      <c r="A115" s="44" t="n"/>
      <c r="B115" s="45" t="n"/>
      <c r="C115" s="44" t="n"/>
      <c r="D115" s="44" t="n"/>
      <c r="E115" s="44" t="n"/>
      <c r="F115" s="44" t="n"/>
      <c r="G115" s="46" t="n"/>
      <c r="H115" s="46" t="n"/>
      <c r="I115" s="47">
        <f>IF(OR(G115="",H115=""),"",ROUND((H115-G115)*1440,0))</f>
        <v/>
      </c>
      <c r="J115" s="47">
        <f>IF(D115="","",IFERROR(INDEX('Daftar Job'!$J$5:$J$86,MATCH(D115,'Daftar Job'!$A$5:$A$86,0)),""))</f>
        <v/>
      </c>
      <c r="K115" s="47">
        <f>IF(OR(I115="",J115=""),"",IF(I115&lt;=J115*60,"Ya","Tidak"))</f>
        <v/>
      </c>
      <c r="L115" s="44" t="n"/>
      <c r="M115" s="44" t="n"/>
      <c r="N115" s="44" t="n"/>
      <c r="O115" s="44" t="n"/>
      <c r="P115" s="44" t="n"/>
      <c r="Q115" s="44" t="n"/>
    </row>
    <row r="116" ht="15" customHeight="1" s="28">
      <c r="A116" s="44" t="n"/>
      <c r="B116" s="45" t="n"/>
      <c r="C116" s="44" t="n"/>
      <c r="D116" s="44" t="n"/>
      <c r="E116" s="44" t="n"/>
      <c r="F116" s="44" t="n"/>
      <c r="G116" s="46" t="n"/>
      <c r="H116" s="46" t="n"/>
      <c r="I116" s="47">
        <f>IF(OR(G116="",H116=""),"",ROUND((H116-G116)*1440,0))</f>
        <v/>
      </c>
      <c r="J116" s="47">
        <f>IF(D116="","",IFERROR(INDEX('Daftar Job'!$J$5:$J$86,MATCH(D116,'Daftar Job'!$A$5:$A$86,0)),""))</f>
        <v/>
      </c>
      <c r="K116" s="47">
        <f>IF(OR(I116="",J116=""),"",IF(I116&lt;=J116*60,"Ya","Tidak"))</f>
        <v/>
      </c>
      <c r="L116" s="44" t="n"/>
      <c r="M116" s="44" t="n"/>
      <c r="N116" s="44" t="n"/>
      <c r="O116" s="44" t="n"/>
      <c r="P116" s="44" t="n"/>
      <c r="Q116" s="44" t="n"/>
    </row>
    <row r="117" ht="15" customHeight="1" s="28">
      <c r="A117" s="44" t="n"/>
      <c r="B117" s="45" t="n"/>
      <c r="C117" s="44" t="n"/>
      <c r="D117" s="44" t="n"/>
      <c r="E117" s="44" t="n"/>
      <c r="F117" s="44" t="n"/>
      <c r="G117" s="46" t="n"/>
      <c r="H117" s="46" t="n"/>
      <c r="I117" s="47">
        <f>IF(OR(G117="",H117=""),"",ROUND((H117-G117)*1440,0))</f>
        <v/>
      </c>
      <c r="J117" s="47">
        <f>IF(D117="","",IFERROR(INDEX('Daftar Job'!$J$5:$J$86,MATCH(D117,'Daftar Job'!$A$5:$A$86,0)),""))</f>
        <v/>
      </c>
      <c r="K117" s="47">
        <f>IF(OR(I117="",J117=""),"",IF(I117&lt;=J117*60,"Ya","Tidak"))</f>
        <v/>
      </c>
      <c r="L117" s="44" t="n"/>
      <c r="M117" s="44" t="n"/>
      <c r="N117" s="44" t="n"/>
      <c r="O117" s="44" t="n"/>
      <c r="P117" s="44" t="n"/>
      <c r="Q117" s="44" t="n"/>
    </row>
    <row r="118" ht="15" customHeight="1" s="28">
      <c r="A118" s="44" t="n"/>
      <c r="B118" s="45" t="n"/>
      <c r="C118" s="44" t="n"/>
      <c r="D118" s="44" t="n"/>
      <c r="E118" s="44" t="n"/>
      <c r="F118" s="44" t="n"/>
      <c r="G118" s="46" t="n"/>
      <c r="H118" s="46" t="n"/>
      <c r="I118" s="47">
        <f>IF(OR(G118="",H118=""),"",ROUND((H118-G118)*1440,0))</f>
        <v/>
      </c>
      <c r="J118" s="47">
        <f>IF(D118="","",IFERROR(INDEX('Daftar Job'!$J$5:$J$86,MATCH(D118,'Daftar Job'!$A$5:$A$86,0)),""))</f>
        <v/>
      </c>
      <c r="K118" s="47">
        <f>IF(OR(I118="",J118=""),"",IF(I118&lt;=J118*60,"Ya","Tidak"))</f>
        <v/>
      </c>
      <c r="L118" s="44" t="n"/>
      <c r="M118" s="44" t="n"/>
      <c r="N118" s="44" t="n"/>
      <c r="O118" s="44" t="n"/>
      <c r="P118" s="44" t="n"/>
      <c r="Q118" s="44" t="n"/>
    </row>
    <row r="119" ht="15" customHeight="1" s="28">
      <c r="A119" s="44" t="n"/>
      <c r="B119" s="45" t="n"/>
      <c r="C119" s="44" t="n"/>
      <c r="D119" s="44" t="n"/>
      <c r="E119" s="44" t="n"/>
      <c r="F119" s="44" t="n"/>
      <c r="G119" s="46" t="n"/>
      <c r="H119" s="46" t="n"/>
      <c r="I119" s="47">
        <f>IF(OR(G119="",H119=""),"",ROUND((H119-G119)*1440,0))</f>
        <v/>
      </c>
      <c r="J119" s="47">
        <f>IF(D119="","",IFERROR(INDEX('Daftar Job'!$J$5:$J$86,MATCH(D119,'Daftar Job'!$A$5:$A$86,0)),""))</f>
        <v/>
      </c>
      <c r="K119" s="47">
        <f>IF(OR(I119="",J119=""),"",IF(I119&lt;=J119*60,"Ya","Tidak"))</f>
        <v/>
      </c>
      <c r="L119" s="44" t="n"/>
      <c r="M119" s="44" t="n"/>
      <c r="N119" s="44" t="n"/>
      <c r="O119" s="44" t="n"/>
      <c r="P119" s="44" t="n"/>
      <c r="Q119" s="44" t="n"/>
    </row>
    <row r="120" ht="15" customHeight="1" s="28">
      <c r="A120" s="44" t="n"/>
      <c r="B120" s="45" t="n"/>
      <c r="C120" s="44" t="n"/>
      <c r="D120" s="44" t="n"/>
      <c r="E120" s="44" t="n"/>
      <c r="F120" s="44" t="n"/>
      <c r="G120" s="46" t="n"/>
      <c r="H120" s="46" t="n"/>
      <c r="I120" s="47">
        <f>IF(OR(G120="",H120=""),"",ROUND((H120-G120)*1440,0))</f>
        <v/>
      </c>
      <c r="J120" s="47">
        <f>IF(D120="","",IFERROR(INDEX('Daftar Job'!$J$5:$J$86,MATCH(D120,'Daftar Job'!$A$5:$A$86,0)),""))</f>
        <v/>
      </c>
      <c r="K120" s="47">
        <f>IF(OR(I120="",J120=""),"",IF(I120&lt;=J120*60,"Ya","Tidak"))</f>
        <v/>
      </c>
      <c r="L120" s="44" t="n"/>
      <c r="M120" s="44" t="n"/>
      <c r="N120" s="44" t="n"/>
      <c r="O120" s="44" t="n"/>
      <c r="P120" s="44" t="n"/>
      <c r="Q120" s="44" t="n"/>
    </row>
    <row r="121" ht="15" customHeight="1" s="28">
      <c r="A121" s="44" t="n"/>
      <c r="B121" s="45" t="n"/>
      <c r="C121" s="44" t="n"/>
      <c r="D121" s="44" t="n"/>
      <c r="E121" s="44" t="n"/>
      <c r="F121" s="44" t="n"/>
      <c r="G121" s="46" t="n"/>
      <c r="H121" s="46" t="n"/>
      <c r="I121" s="47">
        <f>IF(OR(G121="",H121=""),"",ROUND((H121-G121)*1440,0))</f>
        <v/>
      </c>
      <c r="J121" s="47">
        <f>IF(D121="","",IFERROR(INDEX('Daftar Job'!$J$5:$J$86,MATCH(D121,'Daftar Job'!$A$5:$A$86,0)),""))</f>
        <v/>
      </c>
      <c r="K121" s="47">
        <f>IF(OR(I121="",J121=""),"",IF(I121&lt;=J121*60,"Ya","Tidak"))</f>
        <v/>
      </c>
      <c r="L121" s="44" t="n"/>
      <c r="M121" s="44" t="n"/>
      <c r="N121" s="44" t="n"/>
      <c r="O121" s="44" t="n"/>
      <c r="P121" s="44" t="n"/>
      <c r="Q121" s="44" t="n"/>
    </row>
    <row r="122" ht="15" customHeight="1" s="28">
      <c r="A122" s="44" t="n"/>
      <c r="B122" s="45" t="n"/>
      <c r="C122" s="44" t="n"/>
      <c r="D122" s="44" t="n"/>
      <c r="E122" s="44" t="n"/>
      <c r="F122" s="44" t="n"/>
      <c r="G122" s="46" t="n"/>
      <c r="H122" s="46" t="n"/>
      <c r="I122" s="47">
        <f>IF(OR(G122="",H122=""),"",ROUND((H122-G122)*1440,0))</f>
        <v/>
      </c>
      <c r="J122" s="47">
        <f>IF(D122="","",IFERROR(INDEX('Daftar Job'!$J$5:$J$86,MATCH(D122,'Daftar Job'!$A$5:$A$86,0)),""))</f>
        <v/>
      </c>
      <c r="K122" s="47">
        <f>IF(OR(I122="",J122=""),"",IF(I122&lt;=J122*60,"Ya","Tidak"))</f>
        <v/>
      </c>
      <c r="L122" s="44" t="n"/>
      <c r="M122" s="44" t="n"/>
      <c r="N122" s="44" t="n"/>
      <c r="O122" s="44" t="n"/>
      <c r="P122" s="44" t="n"/>
      <c r="Q122" s="44" t="n"/>
    </row>
    <row r="123" ht="15" customHeight="1" s="28">
      <c r="A123" s="44" t="n"/>
      <c r="B123" s="45" t="n"/>
      <c r="C123" s="44" t="n"/>
      <c r="D123" s="44" t="n"/>
      <c r="E123" s="44" t="n"/>
      <c r="F123" s="44" t="n"/>
      <c r="G123" s="46" t="n"/>
      <c r="H123" s="46" t="n"/>
      <c r="I123" s="47">
        <f>IF(OR(G123="",H123=""),"",ROUND((H123-G123)*1440,0))</f>
        <v/>
      </c>
      <c r="J123" s="47">
        <f>IF(D123="","",IFERROR(INDEX('Daftar Job'!$J$5:$J$86,MATCH(D123,'Daftar Job'!$A$5:$A$86,0)),""))</f>
        <v/>
      </c>
      <c r="K123" s="47">
        <f>IF(OR(I123="",J123=""),"",IF(I123&lt;=J123*60,"Ya","Tidak"))</f>
        <v/>
      </c>
      <c r="L123" s="44" t="n"/>
      <c r="M123" s="44" t="n"/>
      <c r="N123" s="44" t="n"/>
      <c r="O123" s="44" t="n"/>
      <c r="P123" s="44" t="n"/>
      <c r="Q123" s="44" t="n"/>
    </row>
    <row r="124" ht="15" customHeight="1" s="28">
      <c r="A124" s="44" t="n"/>
      <c r="B124" s="45" t="n"/>
      <c r="C124" s="44" t="n"/>
      <c r="D124" s="44" t="n"/>
      <c r="E124" s="44" t="n"/>
      <c r="F124" s="44" t="n"/>
      <c r="G124" s="46" t="n"/>
      <c r="H124" s="46" t="n"/>
      <c r="I124" s="47">
        <f>IF(OR(G124="",H124=""),"",ROUND((H124-G124)*1440,0))</f>
        <v/>
      </c>
      <c r="J124" s="47">
        <f>IF(D124="","",IFERROR(INDEX('Daftar Job'!$J$5:$J$86,MATCH(D124,'Daftar Job'!$A$5:$A$86,0)),""))</f>
        <v/>
      </c>
      <c r="K124" s="47">
        <f>IF(OR(I124="",J124=""),"",IF(I124&lt;=J124*60,"Ya","Tidak"))</f>
        <v/>
      </c>
      <c r="L124" s="44" t="n"/>
      <c r="M124" s="44" t="n"/>
      <c r="N124" s="44" t="n"/>
      <c r="O124" s="44" t="n"/>
      <c r="P124" s="44" t="n"/>
      <c r="Q124" s="44" t="n"/>
    </row>
    <row r="125" ht="15" customHeight="1" s="28">
      <c r="A125" s="44" t="n"/>
      <c r="B125" s="45" t="n"/>
      <c r="C125" s="44" t="n"/>
      <c r="D125" s="44" t="n"/>
      <c r="E125" s="44" t="n"/>
      <c r="F125" s="44" t="n"/>
      <c r="G125" s="46" t="n"/>
      <c r="H125" s="46" t="n"/>
      <c r="I125" s="47">
        <f>IF(OR(G125="",H125=""),"",ROUND((H125-G125)*1440,0))</f>
        <v/>
      </c>
      <c r="J125" s="47">
        <f>IF(D125="","",IFERROR(INDEX('Daftar Job'!$J$5:$J$86,MATCH(D125,'Daftar Job'!$A$5:$A$86,0)),""))</f>
        <v/>
      </c>
      <c r="K125" s="47">
        <f>IF(OR(I125="",J125=""),"",IF(I125&lt;=J125*60,"Ya","Tidak"))</f>
        <v/>
      </c>
      <c r="L125" s="44" t="n"/>
      <c r="M125" s="44" t="n"/>
      <c r="N125" s="44" t="n"/>
      <c r="O125" s="44" t="n"/>
      <c r="P125" s="44" t="n"/>
      <c r="Q125" s="44" t="n"/>
    </row>
    <row r="126" ht="15" customHeight="1" s="28">
      <c r="A126" s="44" t="n"/>
      <c r="B126" s="45" t="n"/>
      <c r="C126" s="44" t="n"/>
      <c r="D126" s="44" t="n"/>
      <c r="E126" s="44" t="n"/>
      <c r="F126" s="44" t="n"/>
      <c r="G126" s="46" t="n"/>
      <c r="H126" s="46" t="n"/>
      <c r="I126" s="47">
        <f>IF(OR(G126="",H126=""),"",ROUND((H126-G126)*1440,0))</f>
        <v/>
      </c>
      <c r="J126" s="47">
        <f>IF(D126="","",IFERROR(INDEX('Daftar Job'!$J$5:$J$86,MATCH(D126,'Daftar Job'!$A$5:$A$86,0)),""))</f>
        <v/>
      </c>
      <c r="K126" s="47">
        <f>IF(OR(I126="",J126=""),"",IF(I126&lt;=J126*60,"Ya","Tidak"))</f>
        <v/>
      </c>
      <c r="L126" s="44" t="n"/>
      <c r="M126" s="44" t="n"/>
      <c r="N126" s="44" t="n"/>
      <c r="O126" s="44" t="n"/>
      <c r="P126" s="44" t="n"/>
      <c r="Q126" s="44" t="n"/>
    </row>
    <row r="127" ht="15" customHeight="1" s="28">
      <c r="A127" s="44" t="n"/>
      <c r="B127" s="45" t="n"/>
      <c r="C127" s="44" t="n"/>
      <c r="D127" s="44" t="n"/>
      <c r="E127" s="44" t="n"/>
      <c r="F127" s="44" t="n"/>
      <c r="G127" s="46" t="n"/>
      <c r="H127" s="46" t="n"/>
      <c r="I127" s="47">
        <f>IF(OR(G127="",H127=""),"",ROUND((H127-G127)*1440,0))</f>
        <v/>
      </c>
      <c r="J127" s="47">
        <f>IF(D127="","",IFERROR(INDEX('Daftar Job'!$J$5:$J$86,MATCH(D127,'Daftar Job'!$A$5:$A$86,0)),""))</f>
        <v/>
      </c>
      <c r="K127" s="47">
        <f>IF(OR(I127="",J127=""),"",IF(I127&lt;=J127*60,"Ya","Tidak"))</f>
        <v/>
      </c>
      <c r="L127" s="44" t="n"/>
      <c r="M127" s="44" t="n"/>
      <c r="N127" s="44" t="n"/>
      <c r="O127" s="44" t="n"/>
      <c r="P127" s="44" t="n"/>
      <c r="Q127" s="44" t="n"/>
    </row>
    <row r="128" ht="15" customHeight="1" s="28">
      <c r="A128" s="44" t="n"/>
      <c r="B128" s="45" t="n"/>
      <c r="C128" s="44" t="n"/>
      <c r="D128" s="44" t="n"/>
      <c r="E128" s="44" t="n"/>
      <c r="F128" s="44" t="n"/>
      <c r="G128" s="46" t="n"/>
      <c r="H128" s="46" t="n"/>
      <c r="I128" s="47">
        <f>IF(OR(G128="",H128=""),"",ROUND((H128-G128)*1440,0))</f>
        <v/>
      </c>
      <c r="J128" s="47">
        <f>IF(D128="","",IFERROR(INDEX('Daftar Job'!$J$5:$J$86,MATCH(D128,'Daftar Job'!$A$5:$A$86,0)),""))</f>
        <v/>
      </c>
      <c r="K128" s="47">
        <f>IF(OR(I128="",J128=""),"",IF(I128&lt;=J128*60,"Ya","Tidak"))</f>
        <v/>
      </c>
      <c r="L128" s="44" t="n"/>
      <c r="M128" s="44" t="n"/>
      <c r="N128" s="44" t="n"/>
      <c r="O128" s="44" t="n"/>
      <c r="P128" s="44" t="n"/>
      <c r="Q128" s="44" t="n"/>
    </row>
    <row r="129" ht="15" customHeight="1" s="28">
      <c r="A129" s="44" t="n"/>
      <c r="B129" s="45" t="n"/>
      <c r="C129" s="44" t="n"/>
      <c r="D129" s="44" t="n"/>
      <c r="E129" s="44" t="n"/>
      <c r="F129" s="44" t="n"/>
      <c r="G129" s="46" t="n"/>
      <c r="H129" s="46" t="n"/>
      <c r="I129" s="47">
        <f>IF(OR(G129="",H129=""),"",ROUND((H129-G129)*1440,0))</f>
        <v/>
      </c>
      <c r="J129" s="47">
        <f>IF(D129="","",IFERROR(INDEX('Daftar Job'!$J$5:$J$86,MATCH(D129,'Daftar Job'!$A$5:$A$86,0)),""))</f>
        <v/>
      </c>
      <c r="K129" s="47">
        <f>IF(OR(I129="",J129=""),"",IF(I129&lt;=J129*60,"Ya","Tidak"))</f>
        <v/>
      </c>
      <c r="L129" s="44" t="n"/>
      <c r="M129" s="44" t="n"/>
      <c r="N129" s="44" t="n"/>
      <c r="O129" s="44" t="n"/>
      <c r="P129" s="44" t="n"/>
      <c r="Q129" s="44" t="n"/>
    </row>
    <row r="130" ht="15" customHeight="1" s="28">
      <c r="A130" s="44" t="n"/>
      <c r="B130" s="45" t="n"/>
      <c r="C130" s="44" t="n"/>
      <c r="D130" s="44" t="n"/>
      <c r="E130" s="44" t="n"/>
      <c r="F130" s="44" t="n"/>
      <c r="G130" s="46" t="n"/>
      <c r="H130" s="46" t="n"/>
      <c r="I130" s="47">
        <f>IF(OR(G130="",H130=""),"",ROUND((H130-G130)*1440,0))</f>
        <v/>
      </c>
      <c r="J130" s="47">
        <f>IF(D130="","",IFERROR(INDEX('Daftar Job'!$J$5:$J$86,MATCH(D130,'Daftar Job'!$A$5:$A$86,0)),""))</f>
        <v/>
      </c>
      <c r="K130" s="47">
        <f>IF(OR(I130="",J130=""),"",IF(I130&lt;=J130*60,"Ya","Tidak"))</f>
        <v/>
      </c>
      <c r="L130" s="44" t="n"/>
      <c r="M130" s="44" t="n"/>
      <c r="N130" s="44" t="n"/>
      <c r="O130" s="44" t="n"/>
      <c r="P130" s="44" t="n"/>
      <c r="Q130" s="44" t="n"/>
    </row>
    <row r="131" ht="15" customHeight="1" s="28">
      <c r="A131" s="44" t="n"/>
      <c r="B131" s="45" t="n"/>
      <c r="C131" s="44" t="n"/>
      <c r="D131" s="44" t="n"/>
      <c r="E131" s="44" t="n"/>
      <c r="F131" s="44" t="n"/>
      <c r="G131" s="46" t="n"/>
      <c r="H131" s="46" t="n"/>
      <c r="I131" s="47">
        <f>IF(OR(G131="",H131=""),"",ROUND((H131-G131)*1440,0))</f>
        <v/>
      </c>
      <c r="J131" s="47">
        <f>IF(D131="","",IFERROR(INDEX('Daftar Job'!$J$5:$J$86,MATCH(D131,'Daftar Job'!$A$5:$A$86,0)),""))</f>
        <v/>
      </c>
      <c r="K131" s="47">
        <f>IF(OR(I131="",J131=""),"",IF(I131&lt;=J131*60,"Ya","Tidak"))</f>
        <v/>
      </c>
      <c r="L131" s="44" t="n"/>
      <c r="M131" s="44" t="n"/>
      <c r="N131" s="44" t="n"/>
      <c r="O131" s="44" t="n"/>
      <c r="P131" s="44" t="n"/>
      <c r="Q131" s="44" t="n"/>
    </row>
    <row r="132" ht="15" customHeight="1" s="28">
      <c r="A132" s="44" t="n"/>
      <c r="B132" s="45" t="n"/>
      <c r="C132" s="44" t="n"/>
      <c r="D132" s="44" t="n"/>
      <c r="E132" s="44" t="n"/>
      <c r="F132" s="44" t="n"/>
      <c r="G132" s="46" t="n"/>
      <c r="H132" s="46" t="n"/>
      <c r="I132" s="47">
        <f>IF(OR(G132="",H132=""),"",ROUND((H132-G132)*1440,0))</f>
        <v/>
      </c>
      <c r="J132" s="47">
        <f>IF(D132="","",IFERROR(INDEX('Daftar Job'!$J$5:$J$86,MATCH(D132,'Daftar Job'!$A$5:$A$86,0)),""))</f>
        <v/>
      </c>
      <c r="K132" s="47">
        <f>IF(OR(I132="",J132=""),"",IF(I132&lt;=J132*60,"Ya","Tidak"))</f>
        <v/>
      </c>
      <c r="L132" s="44" t="n"/>
      <c r="M132" s="44" t="n"/>
      <c r="N132" s="44" t="n"/>
      <c r="O132" s="44" t="n"/>
      <c r="P132" s="44" t="n"/>
      <c r="Q132" s="44" t="n"/>
    </row>
    <row r="133" ht="15" customHeight="1" s="28">
      <c r="A133" s="44" t="n"/>
      <c r="B133" s="45" t="n"/>
      <c r="C133" s="44" t="n"/>
      <c r="D133" s="44" t="n"/>
      <c r="E133" s="44" t="n"/>
      <c r="F133" s="44" t="n"/>
      <c r="G133" s="46" t="n"/>
      <c r="H133" s="46" t="n"/>
      <c r="I133" s="47">
        <f>IF(OR(G133="",H133=""),"",ROUND((H133-G133)*1440,0))</f>
        <v/>
      </c>
      <c r="J133" s="47">
        <f>IF(D133="","",IFERROR(INDEX('Daftar Job'!$J$5:$J$86,MATCH(D133,'Daftar Job'!$A$5:$A$86,0)),""))</f>
        <v/>
      </c>
      <c r="K133" s="47">
        <f>IF(OR(I133="",J133=""),"",IF(I133&lt;=J133*60,"Ya","Tidak"))</f>
        <v/>
      </c>
      <c r="L133" s="44" t="n"/>
      <c r="M133" s="44" t="n"/>
      <c r="N133" s="44" t="n"/>
      <c r="O133" s="44" t="n"/>
      <c r="P133" s="44" t="n"/>
      <c r="Q133" s="44" t="n"/>
    </row>
    <row r="134" ht="15" customHeight="1" s="28">
      <c r="A134" s="44" t="n"/>
      <c r="B134" s="45" t="n"/>
      <c r="C134" s="44" t="n"/>
      <c r="D134" s="44" t="n"/>
      <c r="E134" s="44" t="n"/>
      <c r="F134" s="44" t="n"/>
      <c r="G134" s="46" t="n"/>
      <c r="H134" s="46" t="n"/>
      <c r="I134" s="47">
        <f>IF(OR(G134="",H134=""),"",ROUND((H134-G134)*1440,0))</f>
        <v/>
      </c>
      <c r="J134" s="47">
        <f>IF(D134="","",IFERROR(INDEX('Daftar Job'!$J$5:$J$86,MATCH(D134,'Daftar Job'!$A$5:$A$86,0)),""))</f>
        <v/>
      </c>
      <c r="K134" s="47">
        <f>IF(OR(I134="",J134=""),"",IF(I134&lt;=J134*60,"Ya","Tidak"))</f>
        <v/>
      </c>
      <c r="L134" s="44" t="n"/>
      <c r="M134" s="44" t="n"/>
      <c r="N134" s="44" t="n"/>
      <c r="O134" s="44" t="n"/>
      <c r="P134" s="44" t="n"/>
      <c r="Q134" s="44" t="n"/>
    </row>
    <row r="135" ht="15" customHeight="1" s="28">
      <c r="A135" s="44" t="n"/>
      <c r="B135" s="45" t="n"/>
      <c r="C135" s="44" t="n"/>
      <c r="D135" s="44" t="n"/>
      <c r="E135" s="44" t="n"/>
      <c r="F135" s="44" t="n"/>
      <c r="G135" s="46" t="n"/>
      <c r="H135" s="46" t="n"/>
      <c r="I135" s="47">
        <f>IF(OR(G135="",H135=""),"",ROUND((H135-G135)*1440,0))</f>
        <v/>
      </c>
      <c r="J135" s="47">
        <f>IF(D135="","",IFERROR(INDEX('Daftar Job'!$J$5:$J$86,MATCH(D135,'Daftar Job'!$A$5:$A$86,0)),""))</f>
        <v/>
      </c>
      <c r="K135" s="47">
        <f>IF(OR(I135="",J135=""),"",IF(I135&lt;=J135*60,"Ya","Tidak"))</f>
        <v/>
      </c>
      <c r="L135" s="44" t="n"/>
      <c r="M135" s="44" t="n"/>
      <c r="N135" s="44" t="n"/>
      <c r="O135" s="44" t="n"/>
      <c r="P135" s="44" t="n"/>
      <c r="Q135" s="44" t="n"/>
    </row>
    <row r="136" ht="15" customHeight="1" s="28">
      <c r="A136" s="44" t="n"/>
      <c r="B136" s="45" t="n"/>
      <c r="C136" s="44" t="n"/>
      <c r="D136" s="44" t="n"/>
      <c r="E136" s="44" t="n"/>
      <c r="F136" s="44" t="n"/>
      <c r="G136" s="46" t="n"/>
      <c r="H136" s="46" t="n"/>
      <c r="I136" s="47">
        <f>IF(OR(G136="",H136=""),"",ROUND((H136-G136)*1440,0))</f>
        <v/>
      </c>
      <c r="J136" s="47">
        <f>IF(D136="","",IFERROR(INDEX('Daftar Job'!$J$5:$J$86,MATCH(D136,'Daftar Job'!$A$5:$A$86,0)),""))</f>
        <v/>
      </c>
      <c r="K136" s="47">
        <f>IF(OR(I136="",J136=""),"",IF(I136&lt;=J136*60,"Ya","Tidak"))</f>
        <v/>
      </c>
      <c r="L136" s="44" t="n"/>
      <c r="M136" s="44" t="n"/>
      <c r="N136" s="44" t="n"/>
      <c r="O136" s="44" t="n"/>
      <c r="P136" s="44" t="n"/>
      <c r="Q136" s="44" t="n"/>
    </row>
    <row r="137" ht="15" customHeight="1" s="28">
      <c r="A137" s="44" t="n"/>
      <c r="B137" s="45" t="n"/>
      <c r="C137" s="44" t="n"/>
      <c r="D137" s="44" t="n"/>
      <c r="E137" s="44" t="n"/>
      <c r="F137" s="44" t="n"/>
      <c r="G137" s="46" t="n"/>
      <c r="H137" s="46" t="n"/>
      <c r="I137" s="47">
        <f>IF(OR(G137="",H137=""),"",ROUND((H137-G137)*1440,0))</f>
        <v/>
      </c>
      <c r="J137" s="47">
        <f>IF(D137="","",IFERROR(INDEX('Daftar Job'!$J$5:$J$86,MATCH(D137,'Daftar Job'!$A$5:$A$86,0)),""))</f>
        <v/>
      </c>
      <c r="K137" s="47">
        <f>IF(OR(I137="",J137=""),"",IF(I137&lt;=J137*60,"Ya","Tidak"))</f>
        <v/>
      </c>
      <c r="L137" s="44" t="n"/>
      <c r="M137" s="44" t="n"/>
      <c r="N137" s="44" t="n"/>
      <c r="O137" s="44" t="n"/>
      <c r="P137" s="44" t="n"/>
      <c r="Q137" s="44" t="n"/>
    </row>
    <row r="138" ht="15" customHeight="1" s="28">
      <c r="A138" s="44" t="n"/>
      <c r="B138" s="45" t="n"/>
      <c r="C138" s="44" t="n"/>
      <c r="D138" s="44" t="n"/>
      <c r="E138" s="44" t="n"/>
      <c r="F138" s="44" t="n"/>
      <c r="G138" s="46" t="n"/>
      <c r="H138" s="46" t="n"/>
      <c r="I138" s="47">
        <f>IF(OR(G138="",H138=""),"",ROUND((H138-G138)*1440,0))</f>
        <v/>
      </c>
      <c r="J138" s="47">
        <f>IF(D138="","",IFERROR(INDEX('Daftar Job'!$J$5:$J$86,MATCH(D138,'Daftar Job'!$A$5:$A$86,0)),""))</f>
        <v/>
      </c>
      <c r="K138" s="47">
        <f>IF(OR(I138="",J138=""),"",IF(I138&lt;=J138*60,"Ya","Tidak"))</f>
        <v/>
      </c>
      <c r="L138" s="44" t="n"/>
      <c r="M138" s="44" t="n"/>
      <c r="N138" s="44" t="n"/>
      <c r="O138" s="44" t="n"/>
      <c r="P138" s="44" t="n"/>
      <c r="Q138" s="44" t="n"/>
    </row>
    <row r="139" ht="15" customHeight="1" s="28">
      <c r="A139" s="44" t="n"/>
      <c r="B139" s="45" t="n"/>
      <c r="C139" s="44" t="n"/>
      <c r="D139" s="44" t="n"/>
      <c r="E139" s="44" t="n"/>
      <c r="F139" s="44" t="n"/>
      <c r="G139" s="46" t="n"/>
      <c r="H139" s="46" t="n"/>
      <c r="I139" s="47">
        <f>IF(OR(G139="",H139=""),"",ROUND((H139-G139)*1440,0))</f>
        <v/>
      </c>
      <c r="J139" s="47">
        <f>IF(D139="","",IFERROR(INDEX('Daftar Job'!$J$5:$J$86,MATCH(D139,'Daftar Job'!$A$5:$A$86,0)),""))</f>
        <v/>
      </c>
      <c r="K139" s="47">
        <f>IF(OR(I139="",J139=""),"",IF(I139&lt;=J139*60,"Ya","Tidak"))</f>
        <v/>
      </c>
      <c r="L139" s="44" t="n"/>
      <c r="M139" s="44" t="n"/>
      <c r="N139" s="44" t="n"/>
      <c r="O139" s="44" t="n"/>
      <c r="P139" s="44" t="n"/>
      <c r="Q139" s="44" t="n"/>
    </row>
    <row r="140" ht="15" customHeight="1" s="28">
      <c r="A140" s="44" t="n"/>
      <c r="B140" s="45" t="n"/>
      <c r="C140" s="44" t="n"/>
      <c r="D140" s="44" t="n"/>
      <c r="E140" s="44" t="n"/>
      <c r="F140" s="44" t="n"/>
      <c r="G140" s="46" t="n"/>
      <c r="H140" s="46" t="n"/>
      <c r="I140" s="47">
        <f>IF(OR(G140="",H140=""),"",ROUND((H140-G140)*1440,0))</f>
        <v/>
      </c>
      <c r="J140" s="47">
        <f>IF(D140="","",IFERROR(INDEX('Daftar Job'!$J$5:$J$86,MATCH(D140,'Daftar Job'!$A$5:$A$86,0)),""))</f>
        <v/>
      </c>
      <c r="K140" s="47">
        <f>IF(OR(I140="",J140=""),"",IF(I140&lt;=J140*60,"Ya","Tidak"))</f>
        <v/>
      </c>
      <c r="L140" s="44" t="n"/>
      <c r="M140" s="44" t="n"/>
      <c r="N140" s="44" t="n"/>
      <c r="O140" s="44" t="n"/>
      <c r="P140" s="44" t="n"/>
      <c r="Q140" s="44" t="n"/>
    </row>
    <row r="141" ht="15" customHeight="1" s="28">
      <c r="A141" s="44" t="n"/>
      <c r="B141" s="45" t="n"/>
      <c r="C141" s="44" t="n"/>
      <c r="D141" s="44" t="n"/>
      <c r="E141" s="44" t="n"/>
      <c r="F141" s="44" t="n"/>
      <c r="G141" s="46" t="n"/>
      <c r="H141" s="46" t="n"/>
      <c r="I141" s="47">
        <f>IF(OR(G141="",H141=""),"",ROUND((H141-G141)*1440,0))</f>
        <v/>
      </c>
      <c r="J141" s="47">
        <f>IF(D141="","",IFERROR(INDEX('Daftar Job'!$J$5:$J$86,MATCH(D141,'Daftar Job'!$A$5:$A$86,0)),""))</f>
        <v/>
      </c>
      <c r="K141" s="47">
        <f>IF(OR(I141="",J141=""),"",IF(I141&lt;=J141*60,"Ya","Tidak"))</f>
        <v/>
      </c>
      <c r="L141" s="44" t="n"/>
      <c r="M141" s="44" t="n"/>
      <c r="N141" s="44" t="n"/>
      <c r="O141" s="44" t="n"/>
      <c r="P141" s="44" t="n"/>
      <c r="Q141" s="44" t="n"/>
    </row>
    <row r="142" ht="15" customHeight="1" s="28">
      <c r="A142" s="44" t="n"/>
      <c r="B142" s="45" t="n"/>
      <c r="C142" s="44" t="n"/>
      <c r="D142" s="44" t="n"/>
      <c r="E142" s="44" t="n"/>
      <c r="F142" s="44" t="n"/>
      <c r="G142" s="46" t="n"/>
      <c r="H142" s="46" t="n"/>
      <c r="I142" s="47">
        <f>IF(OR(G142="",H142=""),"",ROUND((H142-G142)*1440,0))</f>
        <v/>
      </c>
      <c r="J142" s="47">
        <f>IF(D142="","",IFERROR(INDEX('Daftar Job'!$J$5:$J$86,MATCH(D142,'Daftar Job'!$A$5:$A$86,0)),""))</f>
        <v/>
      </c>
      <c r="K142" s="47">
        <f>IF(OR(I142="",J142=""),"",IF(I142&lt;=J142*60,"Ya","Tidak"))</f>
        <v/>
      </c>
      <c r="L142" s="44" t="n"/>
      <c r="M142" s="44" t="n"/>
      <c r="N142" s="44" t="n"/>
      <c r="O142" s="44" t="n"/>
      <c r="P142" s="44" t="n"/>
      <c r="Q142" s="44" t="n"/>
    </row>
    <row r="143" ht="15" customHeight="1" s="28">
      <c r="A143" s="44" t="n"/>
      <c r="B143" s="45" t="n"/>
      <c r="C143" s="44" t="n"/>
      <c r="D143" s="44" t="n"/>
      <c r="E143" s="44" t="n"/>
      <c r="F143" s="44" t="n"/>
      <c r="G143" s="46" t="n"/>
      <c r="H143" s="46" t="n"/>
      <c r="I143" s="47">
        <f>IF(OR(G143="",H143=""),"",ROUND((H143-G143)*1440,0))</f>
        <v/>
      </c>
      <c r="J143" s="47">
        <f>IF(D143="","",IFERROR(INDEX('Daftar Job'!$J$5:$J$86,MATCH(D143,'Daftar Job'!$A$5:$A$86,0)),""))</f>
        <v/>
      </c>
      <c r="K143" s="47">
        <f>IF(OR(I143="",J143=""),"",IF(I143&lt;=J143*60,"Ya","Tidak"))</f>
        <v/>
      </c>
      <c r="L143" s="44" t="n"/>
      <c r="M143" s="44" t="n"/>
      <c r="N143" s="44" t="n"/>
      <c r="O143" s="44" t="n"/>
      <c r="P143" s="44" t="n"/>
      <c r="Q143" s="44" t="n"/>
    </row>
    <row r="144" ht="15" customHeight="1" s="28">
      <c r="A144" s="44" t="n"/>
      <c r="B144" s="45" t="n"/>
      <c r="C144" s="44" t="n"/>
      <c r="D144" s="44" t="n"/>
      <c r="E144" s="44" t="n"/>
      <c r="F144" s="44" t="n"/>
      <c r="G144" s="46" t="n"/>
      <c r="H144" s="46" t="n"/>
      <c r="I144" s="47">
        <f>IF(OR(G144="",H144=""),"",ROUND((H144-G144)*1440,0))</f>
        <v/>
      </c>
      <c r="J144" s="47">
        <f>IF(D144="","",IFERROR(INDEX('Daftar Job'!$J$5:$J$86,MATCH(D144,'Daftar Job'!$A$5:$A$86,0)),""))</f>
        <v/>
      </c>
      <c r="K144" s="47">
        <f>IF(OR(I144="",J144=""),"",IF(I144&lt;=J144*60,"Ya","Tidak"))</f>
        <v/>
      </c>
      <c r="L144" s="44" t="n"/>
      <c r="M144" s="44" t="n"/>
      <c r="N144" s="44" t="n"/>
      <c r="O144" s="44" t="n"/>
      <c r="P144" s="44" t="n"/>
      <c r="Q144" s="44" t="n"/>
    </row>
    <row r="145" ht="15" customHeight="1" s="28">
      <c r="A145" s="44" t="n"/>
      <c r="B145" s="45" t="n"/>
      <c r="C145" s="44" t="n"/>
      <c r="D145" s="44" t="n"/>
      <c r="E145" s="44" t="n"/>
      <c r="F145" s="44" t="n"/>
      <c r="G145" s="46" t="n"/>
      <c r="H145" s="46" t="n"/>
      <c r="I145" s="47">
        <f>IF(OR(G145="",H145=""),"",ROUND((H145-G145)*1440,0))</f>
        <v/>
      </c>
      <c r="J145" s="47">
        <f>IF(D145="","",IFERROR(INDEX('Daftar Job'!$J$5:$J$86,MATCH(D145,'Daftar Job'!$A$5:$A$86,0)),""))</f>
        <v/>
      </c>
      <c r="K145" s="47">
        <f>IF(OR(I145="",J145=""),"",IF(I145&lt;=J145*60,"Ya","Tidak"))</f>
        <v/>
      </c>
      <c r="L145" s="44" t="n"/>
      <c r="M145" s="44" t="n"/>
      <c r="N145" s="44" t="n"/>
      <c r="O145" s="44" t="n"/>
      <c r="P145" s="44" t="n"/>
      <c r="Q145" s="44" t="n"/>
    </row>
    <row r="146" ht="15" customHeight="1" s="28">
      <c r="A146" s="44" t="n"/>
      <c r="B146" s="45" t="n"/>
      <c r="C146" s="44" t="n"/>
      <c r="D146" s="44" t="n"/>
      <c r="E146" s="44" t="n"/>
      <c r="F146" s="44" t="n"/>
      <c r="G146" s="46" t="n"/>
      <c r="H146" s="46" t="n"/>
      <c r="I146" s="47">
        <f>IF(OR(G146="",H146=""),"",ROUND((H146-G146)*1440,0))</f>
        <v/>
      </c>
      <c r="J146" s="47">
        <f>IF(D146="","",IFERROR(INDEX('Daftar Job'!$J$5:$J$86,MATCH(D146,'Daftar Job'!$A$5:$A$86,0)),""))</f>
        <v/>
      </c>
      <c r="K146" s="47">
        <f>IF(OR(I146="",J146=""),"",IF(I146&lt;=J146*60,"Ya","Tidak"))</f>
        <v/>
      </c>
      <c r="L146" s="44" t="n"/>
      <c r="M146" s="44" t="n"/>
      <c r="N146" s="44" t="n"/>
      <c r="O146" s="44" t="n"/>
      <c r="P146" s="44" t="n"/>
      <c r="Q146" s="44" t="n"/>
    </row>
    <row r="147" ht="15" customHeight="1" s="28">
      <c r="A147" s="44" t="n"/>
      <c r="B147" s="45" t="n"/>
      <c r="C147" s="44" t="n"/>
      <c r="D147" s="44" t="n"/>
      <c r="E147" s="44" t="n"/>
      <c r="F147" s="44" t="n"/>
      <c r="G147" s="46" t="n"/>
      <c r="H147" s="46" t="n"/>
      <c r="I147" s="47">
        <f>IF(OR(G147="",H147=""),"",ROUND((H147-G147)*1440,0))</f>
        <v/>
      </c>
      <c r="J147" s="47">
        <f>IF(D147="","",IFERROR(INDEX('Daftar Job'!$J$5:$J$86,MATCH(D147,'Daftar Job'!$A$5:$A$86,0)),""))</f>
        <v/>
      </c>
      <c r="K147" s="47">
        <f>IF(OR(I147="",J147=""),"",IF(I147&lt;=J147*60,"Ya","Tidak"))</f>
        <v/>
      </c>
      <c r="L147" s="44" t="n"/>
      <c r="M147" s="44" t="n"/>
      <c r="N147" s="44" t="n"/>
      <c r="O147" s="44" t="n"/>
      <c r="P147" s="44" t="n"/>
      <c r="Q147" s="44" t="n"/>
    </row>
    <row r="148" ht="15" customHeight="1" s="28">
      <c r="A148" s="44" t="n"/>
      <c r="B148" s="45" t="n"/>
      <c r="C148" s="44" t="n"/>
      <c r="D148" s="44" t="n"/>
      <c r="E148" s="44" t="n"/>
      <c r="F148" s="44" t="n"/>
      <c r="G148" s="46" t="n"/>
      <c r="H148" s="46" t="n"/>
      <c r="I148" s="47">
        <f>IF(OR(G148="",H148=""),"",ROUND((H148-G148)*1440,0))</f>
        <v/>
      </c>
      <c r="J148" s="47">
        <f>IF(D148="","",IFERROR(INDEX('Daftar Job'!$J$5:$J$86,MATCH(D148,'Daftar Job'!$A$5:$A$86,0)),""))</f>
        <v/>
      </c>
      <c r="K148" s="47">
        <f>IF(OR(I148="",J148=""),"",IF(I148&lt;=J148*60,"Ya","Tidak"))</f>
        <v/>
      </c>
      <c r="L148" s="44" t="n"/>
      <c r="M148" s="44" t="n"/>
      <c r="N148" s="44" t="n"/>
      <c r="O148" s="44" t="n"/>
      <c r="P148" s="44" t="n"/>
      <c r="Q148" s="44" t="n"/>
    </row>
    <row r="149" ht="15" customHeight="1" s="28">
      <c r="A149" s="44" t="n"/>
      <c r="B149" s="45" t="n"/>
      <c r="C149" s="44" t="n"/>
      <c r="D149" s="44" t="n"/>
      <c r="E149" s="44" t="n"/>
      <c r="F149" s="44" t="n"/>
      <c r="G149" s="46" t="n"/>
      <c r="H149" s="46" t="n"/>
      <c r="I149" s="47">
        <f>IF(OR(G149="",H149=""),"",ROUND((H149-G149)*1440,0))</f>
        <v/>
      </c>
      <c r="J149" s="47">
        <f>IF(D149="","",IFERROR(INDEX('Daftar Job'!$J$5:$J$86,MATCH(D149,'Daftar Job'!$A$5:$A$86,0)),""))</f>
        <v/>
      </c>
      <c r="K149" s="47">
        <f>IF(OR(I149="",J149=""),"",IF(I149&lt;=J149*60,"Ya","Tidak"))</f>
        <v/>
      </c>
      <c r="L149" s="44" t="n"/>
      <c r="M149" s="44" t="n"/>
      <c r="N149" s="44" t="n"/>
      <c r="O149" s="44" t="n"/>
      <c r="P149" s="44" t="n"/>
      <c r="Q149" s="44" t="n"/>
    </row>
    <row r="150" ht="15" customHeight="1" s="28">
      <c r="A150" s="44" t="n"/>
      <c r="B150" s="45" t="n"/>
      <c r="C150" s="44" t="n"/>
      <c r="D150" s="44" t="n"/>
      <c r="E150" s="44" t="n"/>
      <c r="F150" s="44" t="n"/>
      <c r="G150" s="46" t="n"/>
      <c r="H150" s="46" t="n"/>
      <c r="I150" s="47">
        <f>IF(OR(G150="",H150=""),"",ROUND((H150-G150)*1440,0))</f>
        <v/>
      </c>
      <c r="J150" s="47">
        <f>IF(D150="","",IFERROR(INDEX('Daftar Job'!$J$5:$J$86,MATCH(D150,'Daftar Job'!$A$5:$A$86,0)),""))</f>
        <v/>
      </c>
      <c r="K150" s="47">
        <f>IF(OR(I150="",J150=""),"",IF(I150&lt;=J150*60,"Ya","Tidak"))</f>
        <v/>
      </c>
      <c r="L150" s="44" t="n"/>
      <c r="M150" s="44" t="n"/>
      <c r="N150" s="44" t="n"/>
      <c r="O150" s="44" t="n"/>
      <c r="P150" s="44" t="n"/>
      <c r="Q150" s="44" t="n"/>
    </row>
    <row r="151" ht="15" customHeight="1" s="28">
      <c r="A151" s="44" t="n"/>
      <c r="B151" s="45" t="n"/>
      <c r="C151" s="44" t="n"/>
      <c r="D151" s="44" t="n"/>
      <c r="E151" s="44" t="n"/>
      <c r="F151" s="44" t="n"/>
      <c r="G151" s="46" t="n"/>
      <c r="H151" s="46" t="n"/>
      <c r="I151" s="47">
        <f>IF(OR(G151="",H151=""),"",ROUND((H151-G151)*1440,0))</f>
        <v/>
      </c>
      <c r="J151" s="47">
        <f>IF(D151="","",IFERROR(INDEX('Daftar Job'!$J$5:$J$86,MATCH(D151,'Daftar Job'!$A$5:$A$86,0)),""))</f>
        <v/>
      </c>
      <c r="K151" s="47">
        <f>IF(OR(I151="",J151=""),"",IF(I151&lt;=J151*60,"Ya","Tidak"))</f>
        <v/>
      </c>
      <c r="L151" s="44" t="n"/>
      <c r="M151" s="44" t="n"/>
      <c r="N151" s="44" t="n"/>
      <c r="O151" s="44" t="n"/>
      <c r="P151" s="44" t="n"/>
      <c r="Q151" s="44" t="n"/>
    </row>
    <row r="152" ht="15" customHeight="1" s="28">
      <c r="A152" s="44" t="n"/>
      <c r="B152" s="45" t="n"/>
      <c r="C152" s="44" t="n"/>
      <c r="D152" s="44" t="n"/>
      <c r="E152" s="44" t="n"/>
      <c r="F152" s="44" t="n"/>
      <c r="G152" s="46" t="n"/>
      <c r="H152" s="46" t="n"/>
      <c r="I152" s="47">
        <f>IF(OR(G152="",H152=""),"",ROUND((H152-G152)*1440,0))</f>
        <v/>
      </c>
      <c r="J152" s="47">
        <f>IF(D152="","",IFERROR(INDEX('Daftar Job'!$J$5:$J$86,MATCH(D152,'Daftar Job'!$A$5:$A$86,0)),""))</f>
        <v/>
      </c>
      <c r="K152" s="47">
        <f>IF(OR(I152="",J152=""),"",IF(I152&lt;=J152*60,"Ya","Tidak"))</f>
        <v/>
      </c>
      <c r="L152" s="44" t="n"/>
      <c r="M152" s="44" t="n"/>
      <c r="N152" s="44" t="n"/>
      <c r="O152" s="44" t="n"/>
      <c r="P152" s="44" t="n"/>
      <c r="Q152" s="44" t="n"/>
    </row>
    <row r="153" ht="15" customHeight="1" s="28">
      <c r="A153" s="44" t="n"/>
      <c r="B153" s="45" t="n"/>
      <c r="C153" s="44" t="n"/>
      <c r="D153" s="44" t="n"/>
      <c r="E153" s="44" t="n"/>
      <c r="F153" s="44" t="n"/>
      <c r="G153" s="46" t="n"/>
      <c r="H153" s="46" t="n"/>
      <c r="I153" s="47">
        <f>IF(OR(G153="",H153=""),"",ROUND((H153-G153)*1440,0))</f>
        <v/>
      </c>
      <c r="J153" s="47">
        <f>IF(D153="","",IFERROR(INDEX('Daftar Job'!$J$5:$J$86,MATCH(D153,'Daftar Job'!$A$5:$A$86,0)),""))</f>
        <v/>
      </c>
      <c r="K153" s="47">
        <f>IF(OR(I153="",J153=""),"",IF(I153&lt;=J153*60,"Ya","Tidak"))</f>
        <v/>
      </c>
      <c r="L153" s="44" t="n"/>
      <c r="M153" s="44" t="n"/>
      <c r="N153" s="44" t="n"/>
      <c r="O153" s="44" t="n"/>
      <c r="P153" s="44" t="n"/>
      <c r="Q153" s="44" t="n"/>
    </row>
    <row r="154" ht="15" customHeight="1" s="28">
      <c r="A154" s="44" t="n"/>
      <c r="B154" s="45" t="n"/>
      <c r="C154" s="44" t="n"/>
      <c r="D154" s="44" t="n"/>
      <c r="E154" s="44" t="n"/>
      <c r="F154" s="44" t="n"/>
      <c r="G154" s="46" t="n"/>
      <c r="H154" s="46" t="n"/>
      <c r="I154" s="47">
        <f>IF(OR(G154="",H154=""),"",ROUND((H154-G154)*1440,0))</f>
        <v/>
      </c>
      <c r="J154" s="47">
        <f>IF(D154="","",IFERROR(INDEX('Daftar Job'!$J$5:$J$86,MATCH(D154,'Daftar Job'!$A$5:$A$86,0)),""))</f>
        <v/>
      </c>
      <c r="K154" s="47">
        <f>IF(OR(I154="",J154=""),"",IF(I154&lt;=J154*60,"Ya","Tidak"))</f>
        <v/>
      </c>
      <c r="L154" s="44" t="n"/>
      <c r="M154" s="44" t="n"/>
      <c r="N154" s="44" t="n"/>
      <c r="O154" s="44" t="n"/>
      <c r="P154" s="44" t="n"/>
      <c r="Q154" s="44" t="n"/>
    </row>
    <row r="155" ht="15" customHeight="1" s="28">
      <c r="A155" s="44" t="n"/>
      <c r="B155" s="45" t="n"/>
      <c r="C155" s="44" t="n"/>
      <c r="D155" s="44" t="n"/>
      <c r="E155" s="44" t="n"/>
      <c r="F155" s="44" t="n"/>
      <c r="G155" s="46" t="n"/>
      <c r="H155" s="46" t="n"/>
      <c r="I155" s="47">
        <f>IF(OR(G155="",H155=""),"",ROUND((H155-G155)*1440,0))</f>
        <v/>
      </c>
      <c r="J155" s="47">
        <f>IF(D155="","",IFERROR(INDEX('Daftar Job'!$J$5:$J$86,MATCH(D155,'Daftar Job'!$A$5:$A$86,0)),""))</f>
        <v/>
      </c>
      <c r="K155" s="47">
        <f>IF(OR(I155="",J155=""),"",IF(I155&lt;=J155*60,"Ya","Tidak"))</f>
        <v/>
      </c>
      <c r="L155" s="44" t="n"/>
      <c r="M155" s="44" t="n"/>
      <c r="N155" s="44" t="n"/>
      <c r="O155" s="44" t="n"/>
      <c r="P155" s="44" t="n"/>
      <c r="Q155" s="44" t="n"/>
    </row>
  </sheetData>
  <autoFilter ref="A4:Q155"/>
  <conditionalFormatting sqref="K5:K155">
    <cfRule type="cellIs" rank="0" priority="2" equalAverage="0" operator="equal" aboveAverage="0" dxfId="7" text="" percent="0" bottom="0">
      <formula>"Ya"</formula>
    </cfRule>
    <cfRule type="cellIs" rank="0" priority="3" equalAverage="0" operator="equal" aboveAverage="0" dxfId="8" text="" percent="0" bottom="0">
      <formula>"Tidak"</formula>
    </cfRule>
  </conditionalFormatting>
  <conditionalFormatting sqref="M5:M155">
    <cfRule type="cellIs" rank="0" priority="4" equalAverage="0" operator="equal" aboveAverage="0" dxfId="7" text="" percent="0" bottom="0">
      <formula>"Berhasil"</formula>
    </cfRule>
    <cfRule type="cellIs" rank="0" priority="5" equalAverage="0" operator="equal" aboveAverage="0" dxfId="8" text="" percent="0" bottom="0">
      <formula>"Gagal"</formula>
    </cfRule>
    <cfRule type="cellIs" rank="0" priority="6" equalAverage="0" operator="equal" aboveAverage="0" dxfId="9" text="" percent="0" bottom="0">
      <formula>"Sebagian"</formula>
    </cfRule>
  </conditionalFormatting>
  <dataValidations count="3">
    <dataValidation sqref="C5:C155" showDropDown="0" showInputMessage="0" showErrorMessage="0" allowBlank="1" type="list" errorStyle="stop" operator="between">
      <formula1>Daftar!$E$2:$E$4</formula1>
      <formula2>0</formula2>
    </dataValidation>
    <dataValidation sqref="L5:L155" showDropDown="0" showInputMessage="0" showErrorMessage="0" allowBlank="1" type="list" errorStyle="stop" operator="between">
      <formula1>Daftar!$B$2:$B$3</formula1>
      <formula2>0</formula2>
    </dataValidation>
    <dataValidation sqref="M5:M155" showDropDown="0" showInputMessage="0" showErrorMessage="0" allowBlank="1" type="list" errorStyle="stop" operator="between">
      <formula1>Daftar!$F$2:$F$4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7" min="1" max="1"/>
    <col width="14" customWidth="1" style="27" min="2" max="2"/>
  </cols>
  <sheetData>
    <row r="1" ht="16.15" customHeight="1" s="28">
      <c r="A1" s="41" t="inlineStr">
        <is>
          <t>Ringkasan backup dan restore bulanan</t>
        </is>
      </c>
    </row>
    <row r="3" ht="15" customHeight="1" s="28">
      <c r="A3" s="27" t="inlineStr">
        <is>
          <t>Bulan (tanggal 1)</t>
        </is>
      </c>
      <c r="B3" s="48" t="n">
        <v>46327</v>
      </c>
    </row>
    <row r="4" ht="15" customHeight="1" s="28">
      <c r="A4" s="37" t="inlineStr">
        <is>
          <t>Pemeriksaan job tercatat</t>
        </is>
      </c>
      <c r="B4" s="38">
        <f>COUNTIFS('Backup Log'!$A$5:$A$606,"&gt;="&amp;$B$3,'Backup Log'!$A$5:$A$606,"&lt;="&amp;EOMONTH($B$3,0))</f>
        <v/>
      </c>
    </row>
    <row r="5" ht="15" customHeight="1" s="28">
      <c r="A5" s="37" t="inlineStr">
        <is>
          <t>Job sukses</t>
        </is>
      </c>
      <c r="B5" s="38">
        <f>COUNTIFS('Backup Log'!$D$5:$D$606,"Sukses",'Backup Log'!$A$5:$A$606,"&gt;="&amp;$B$3,'Backup Log'!$A$5:$A$606,"&lt;="&amp;EOMONTH($B$3,0))</f>
        <v/>
      </c>
    </row>
    <row r="6" ht="15" customHeight="1" s="28">
      <c r="A6" s="37" t="inlineStr">
        <is>
          <t>Job gagal</t>
        </is>
      </c>
      <c r="B6" s="38">
        <f>COUNTIFS('Backup Log'!$D$5:$D$606,"Gagal",'Backup Log'!$A$5:$A$606,"&gt;="&amp;$B$3,'Backup Log'!$A$5:$A$606,"&lt;="&amp;EOMONTH($B$3,0))</f>
        <v/>
      </c>
    </row>
    <row r="7" ht="15" customHeight="1" s="28">
      <c r="A7" s="37" t="inlineStr">
        <is>
          <t>Tingkat sukses backup (KPI 98%)</t>
        </is>
      </c>
      <c r="B7" s="49">
        <f>IF(B4=0,"",B5/B4)</f>
        <v/>
      </c>
    </row>
    <row r="8" ht="15" customHeight="1" s="28">
      <c r="A8" s="37" t="inlineStr">
        <is>
          <t>Uji restore berkala dilaksanakan</t>
        </is>
      </c>
      <c r="B8" s="38">
        <f>COUNTIFS('Restore Record'!$C$5:$C$155,"Uji berkala",'Restore Record'!$B$5:$B$155,"&gt;="&amp;$B$3,'Restore Record'!$B$5:$B$155,"&lt;="&amp;EOMONTH($B$3,0))</f>
        <v/>
      </c>
    </row>
    <row r="9" ht="15" customHeight="1" s="28">
      <c r="A9" s="37" t="inlineStr">
        <is>
          <t>Uji restore berhasil</t>
        </is>
      </c>
      <c r="B9" s="38">
        <f>COUNTIFS('Restore Record'!$C$5:$C$155,"Uji berkala",'Restore Record'!$M$5:$M$155,"Berhasil",'Restore Record'!$B$5:$B$155,"&gt;="&amp;$B$3,'Restore Record'!$B$5:$B$155,"&lt;="&amp;EOMONTH($B$3,0))</f>
        <v/>
      </c>
    </row>
    <row r="10" ht="15" customHeight="1" s="28">
      <c r="A10" s="37" t="inlineStr">
        <is>
          <t>Tingkat keberhasilan uji restore (KPI 95%)</t>
        </is>
      </c>
      <c r="B10" s="49">
        <f>IF(B8=0,"",B9/B8)</f>
        <v/>
      </c>
    </row>
    <row r="11" ht="15" customHeight="1" s="28">
      <c r="A11" s="37" t="inlineStr">
        <is>
          <t>Restore dalam RTO</t>
        </is>
      </c>
      <c r="B11" s="38">
        <f>COUNTIFS('Restore Record'!$K$5:$K$155,"Ya",'Restore Record'!$B$5:$B$155,"&gt;="&amp;$B$3,'Restore Record'!$B$5:$B$155,"&lt;="&amp;EOMONTH($B$3,0))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2026-10-13T06:09:08Z</dcterms:created>
  <dcterms:modified xmlns:dcterms="http://purl.org/dc/terms/" xmlns:xsi="http://www.w3.org/2001/XMLSchema-instance" xsi:type="dcterms:W3CDTF">2026-10-14T22:02:12Z</dcterms:modified>
  <cp:revision>0</cp:revision>
</cp:coreProperties>
</file>