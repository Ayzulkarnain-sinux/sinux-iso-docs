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gister Risiko" sheetId="4" state="visible" r:id="rId4"/>
    <sheet xmlns:r="http://schemas.openxmlformats.org/officeDocument/2006/relationships" name="Matriks Risiko" sheetId="5" state="visible" r:id="rId5"/>
    <sheet xmlns:r="http://schemas.openxmlformats.org/officeDocument/2006/relationships" name="Ringkasan" sheetId="6" state="visible" r:id="rId6"/>
  </sheets>
  <definedNames>
    <definedName name="_xlnm._FilterDatabase" localSheetId="3" hidden="1">'Register Risiko'!$A$4:$Q$79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EB9C"/>
      </patternFill>
    </fill>
    <fill>
      <patternFill patternType="solid">
        <fgColor rgb="FFFF7C80"/>
        <bgColor rgb="FFFF99CC"/>
      </patternFill>
    </fill>
    <fill>
      <patternFill patternType="solid">
        <fgColor rgb="FFC6EFCE"/>
        <bgColor rgb="FFE7EE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5" min="1" max="1"/>
    <col width="70" customWidth="1" style="35" min="2" max="2"/>
    <col width="30" customWidth="1" style="35" min="3" max="3"/>
    <col width="22" customWidth="1" style="35" min="4" max="4"/>
    <col width="14" customWidth="1" style="35" min="5" max="5"/>
  </cols>
  <sheetData>
    <row r="1" ht="18.55" customHeight="1" s="36">
      <c r="A1" s="37" t="inlineStr">
        <is>
          <t>Information Security Risk Assessment Register</t>
        </is>
      </c>
    </row>
    <row r="2" ht="15" customHeight="1" s="36">
      <c r="A2" s="38" t="inlineStr">
        <is>
          <t>PT Strategi Integrasi Nusantara (SINUX) · Divisi Operation</t>
        </is>
      </c>
    </row>
    <row r="4" ht="15" customHeight="1" s="36">
      <c r="A4" s="39" t="inlineStr">
        <is>
          <t>Nomor dokumen</t>
        </is>
      </c>
      <c r="B4" s="40" t="inlineStr">
        <is>
          <t>SNX-ISMS-REG-02</t>
        </is>
      </c>
    </row>
    <row r="5" ht="15" customHeight="1" s="36">
      <c r="A5" s="39" t="inlineStr">
        <is>
          <t>Judul</t>
        </is>
      </c>
      <c r="B5" s="40" t="inlineStr">
        <is>
          <t>Information Security Risk Assessment Register</t>
        </is>
      </c>
    </row>
    <row r="6" ht="15" customHeight="1" s="36">
      <c r="A6" s="39" t="inlineStr">
        <is>
          <t>Revisi</t>
        </is>
      </c>
      <c r="B6" s="40" t="inlineStr">
        <is>
          <t>00 (Draft)</t>
        </is>
      </c>
    </row>
    <row r="7" ht="15" customHeight="1" s="36">
      <c r="A7" s="39" t="inlineStr">
        <is>
          <t>Tanggal draft</t>
        </is>
      </c>
      <c r="B7" s="40" t="inlineStr">
        <is>
          <t>13 Oktober 2026</t>
        </is>
      </c>
    </row>
    <row r="8" ht="15" customHeight="1" s="36">
      <c r="A8" s="39" t="inlineStr">
        <is>
          <t>Tanggal efektif</t>
        </is>
      </c>
      <c r="B8" s="40" t="inlineStr">
        <is>
          <t>Ditetapkan saat pengesahan</t>
        </is>
      </c>
    </row>
    <row r="9" ht="15" customHeight="1" s="36">
      <c r="A9" s="39" t="inlineStr">
        <is>
          <t>Klasifikasi</t>
        </is>
      </c>
      <c r="B9" s="40" t="inlineStr">
        <is>
          <t>RESTRICTED (Internal)</t>
        </is>
      </c>
    </row>
    <row r="10" ht="15" customHeight="1" s="36">
      <c r="A10" s="39" t="inlineStr">
        <is>
          <t>Pemilik dokumen</t>
        </is>
      </c>
      <c r="B10" s="40" t="inlineStr">
        <is>
          <t>ISMS Coordinator</t>
        </is>
      </c>
    </row>
    <row r="11" ht="15" customHeight="1" s="36">
      <c r="A11" s="39" t="inlineStr">
        <is>
          <t>Disetujui oleh</t>
        </is>
      </c>
      <c r="B11" s="40" t="inlineStr">
        <is>
          <t>Samuel Kristanto Utomo / President Director</t>
        </is>
      </c>
    </row>
    <row r="12" ht="15" customHeight="1" s="36">
      <c r="A12" s="39" t="inlineStr">
        <is>
          <t>Acuan ISO 9001:2015</t>
        </is>
      </c>
      <c r="B12" s="40" t="inlineStr">
        <is>
          <t>Klausul 6.1</t>
        </is>
      </c>
    </row>
    <row r="13" ht="15" customHeight="1" s="36">
      <c r="A13" s="39" t="inlineStr">
        <is>
          <t>Acuan ISO/IEC 27001:2022</t>
        </is>
      </c>
      <c r="B13" s="40" t="inlineStr">
        <is>
          <t>Klausul 6.1.2, 8.2</t>
        </is>
      </c>
    </row>
    <row r="14" ht="15" customHeight="1" s="36">
      <c r="A14" s="39" t="inlineStr">
        <is>
          <t>Masa simpan record</t>
        </is>
      </c>
      <c r="B14" s="40" t="inlineStr">
        <is>
          <t>Berlaku sampai digantikan</t>
        </is>
      </c>
    </row>
    <row r="15" ht="23.85" customHeight="1" s="36">
      <c r="A15" s="39" t="inlineStr">
        <is>
          <t>Tujuan</t>
        </is>
      </c>
      <c r="B15" s="40" t="inlineStr">
        <is>
          <t>Register penilaian risiko keamanan informasi (ISO/IEC 27001:2022 klausul 6.1.2 dan 8.2).</t>
        </is>
      </c>
    </row>
    <row r="17" ht="15" customHeight="1" s="36">
      <c r="A17" s="41" t="inlineStr">
        <is>
          <t>Cara pakai</t>
        </is>
      </c>
    </row>
    <row r="18" ht="23.85" customHeight="1" s="36">
      <c r="A18" s="42" t="inlineStr">
        <is>
          <t>1.</t>
        </is>
      </c>
      <c r="B18" s="43" t="inlineStr">
        <is>
          <t>Identifikasi risiko per aset atau kelompok aset (rujuk ID SNX-ISMS-REG-01): threat, vulnerability, dan dampak terhadap C, I, A.</t>
        </is>
      </c>
    </row>
    <row r="19" ht="23.85" customHeight="1" s="36">
      <c r="A19" s="42" t="inlineStr">
        <is>
          <t>2.</t>
        </is>
      </c>
      <c r="B19" s="43" t="inlineStr">
        <is>
          <t>Nilai Likelihood dan Impact 1 sampai 5 sesuai sheet Matriks Risiko; skor dan level dihitung otomatis.</t>
        </is>
      </c>
    </row>
    <row r="20" ht="23.85" customHeight="1" s="36">
      <c r="A20" s="42" t="inlineStr">
        <is>
          <t>3.</t>
        </is>
      </c>
      <c r="B20" s="43" t="inlineStr">
        <is>
          <t>Kriteria penerimaan: level Rendah dapat diterima pemilik risiko; Sedang ke atas wajib rencana penanganan di SNX-ISMS-REG-03.</t>
        </is>
      </c>
    </row>
    <row r="21" ht="15" customHeight="1" s="36">
      <c r="A21" s="42" t="inlineStr">
        <is>
          <t>4.</t>
        </is>
      </c>
      <c r="B21" s="43" t="inlineStr">
        <is>
          <t>Penilaian ulang minimal tahunan, setelah insiden P1, dan setelah perubahan besar.</t>
        </is>
      </c>
    </row>
    <row r="22" ht="23.85" customHeight="1" s="36">
      <c r="A22" s="42" t="inlineStr">
        <is>
          <t>5.</t>
        </is>
      </c>
      <c r="B22" s="43" t="inlineStr">
        <is>
          <t>Usulan awal Divisi Operation dari riwayat operasi di knowledge base SINUX; wajib divalidasi ISMS Coordinator dan pemilik risiko.</t>
        </is>
      </c>
    </row>
    <row r="24" ht="15" customHeight="1" s="36">
      <c r="A24" s="41" t="inlineStr">
        <is>
          <t>Legenda warna</t>
        </is>
      </c>
    </row>
    <row r="25" ht="15" customHeight="1" s="36">
      <c r="A25" s="44" t="n"/>
      <c r="B25" s="42" t="inlineStr">
        <is>
          <t>Sel input: diisi pengguna</t>
        </is>
      </c>
    </row>
    <row r="26" ht="15" customHeight="1" s="36">
      <c r="A26" s="45" t="n"/>
      <c r="B26" s="42" t="inlineStr">
        <is>
          <t>Biru muda: usulan awal Divisi Operation, belum berstatus Disetujui</t>
        </is>
      </c>
    </row>
    <row r="27" ht="15" customHeight="1" s="36">
      <c r="A27" s="46" t="n"/>
      <c r="B27" s="42" t="inlineStr">
        <is>
          <t>Sel rumus: jangan diubah</t>
        </is>
      </c>
    </row>
    <row r="29" ht="15" customHeight="1" s="36">
      <c r="A29" s="41" t="inlineStr">
        <is>
          <t>Riwayat revisi</t>
        </is>
      </c>
    </row>
    <row r="30" ht="15" customHeight="1" s="36">
      <c r="A30" s="47" t="inlineStr">
        <is>
          <t>Revisi</t>
        </is>
      </c>
      <c r="B30" s="47" t="inlineStr">
        <is>
          <t>Tanggal</t>
        </is>
      </c>
      <c r="C30" s="47" t="inlineStr">
        <is>
          <t>Uraian perubahan</t>
        </is>
      </c>
      <c r="D30" s="47" t="inlineStr">
        <is>
          <t>Disusun</t>
        </is>
      </c>
      <c r="E30" s="47" t="inlineStr">
        <is>
          <t>Disetujui</t>
        </is>
      </c>
    </row>
    <row r="31" ht="23.85" customHeight="1" s="36">
      <c r="A31" s="40" t="inlineStr">
        <is>
          <t>00</t>
        </is>
      </c>
      <c r="B31" s="40" t="inlineStr">
        <is>
          <t>13 Oktober 2026</t>
        </is>
      </c>
      <c r="C31" s="40" t="inlineStr">
        <is>
          <t>Draft awal untuk review dan pengesahan</t>
        </is>
      </c>
      <c r="D31" s="40" t="inlineStr">
        <is>
          <t>Divisi Operation</t>
        </is>
      </c>
      <c r="E31" s="40" t="inlineStr">
        <is>
          <t>Menunggu</t>
        </is>
      </c>
    </row>
    <row r="32" ht="57.45" customHeight="1" s="36">
      <c r="A32" s="40" t="n"/>
      <c r="B32" s="40" t="n"/>
      <c r="C32" s="40" t="n"/>
      <c r="D32" s="40" t="n"/>
      <c r="E32" s="40" t="n"/>
    </row>
    <row r="34" ht="15" customHeight="1" s="36">
      <c r="A34" s="41" t="inlineStr">
        <is>
          <t>Pengesahan</t>
        </is>
      </c>
    </row>
    <row r="35" ht="15" customHeight="1" s="36">
      <c r="A35" s="47" t="inlineStr">
        <is>
          <t>Peran</t>
        </is>
      </c>
      <c r="B35" s="47" t="inlineStr">
        <is>
          <t>Nama dan jabatan</t>
        </is>
      </c>
      <c r="C35" s="47" t="inlineStr">
        <is>
          <t>Tanda tangan</t>
        </is>
      </c>
      <c r="D35" s="47" t="inlineStr">
        <is>
          <t>Tanggal</t>
        </is>
      </c>
    </row>
    <row r="36" ht="27.75" customHeight="1" s="36">
      <c r="A36" s="48" t="inlineStr">
        <is>
          <t>Disusun oleh</t>
        </is>
      </c>
      <c r="B36" s="48" t="inlineStr">
        <is>
          <t>Erik Dwi Yanto / Technical/Operation Engineer L1</t>
        </is>
      </c>
      <c r="C36" s="48" t="n"/>
      <c r="D36" s="48" t="n"/>
    </row>
    <row r="37" ht="27.75" customHeight="1" s="36">
      <c r="A37" s="48" t="inlineStr">
        <is>
          <t>Diperiksa oleh</t>
        </is>
      </c>
      <c r="B37" s="48" t="inlineStr">
        <is>
          <t>Fani Fatullah / VP Tech Operation and Services</t>
        </is>
      </c>
      <c r="C37" s="48" t="n"/>
      <c r="D37" s="48" t="n"/>
    </row>
    <row r="38" ht="27.75" customHeight="1" s="36">
      <c r="A38" s="48" t="inlineStr">
        <is>
          <t>Disetujui oleh</t>
        </is>
      </c>
      <c r="B38" s="48" t="inlineStr">
        <is>
          <t>Samuel Kristanto Utomo / President Director</t>
        </is>
      </c>
      <c r="C38" s="48" t="n"/>
      <c r="D38" s="4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36">
      <c r="A1" s="49" t="inlineStr">
        <is>
          <t>Diagram alur proses</t>
        </is>
      </c>
    </row>
    <row r="2" ht="15" customHeight="1" s="36">
      <c r="A2" s="38" t="inlineStr">
        <is>
          <t>Kotak biru = output akhir · kotak oranye = cabang ke tindakan atau prosedur lain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5" min="1" max="3"/>
  </cols>
  <sheetData>
    <row r="1" ht="15" customHeight="1" s="36">
      <c r="A1" s="50" t="inlineStr">
        <is>
          <t>Skala</t>
        </is>
      </c>
      <c r="B1" s="50" t="inlineStr">
        <is>
          <t>Keputusan</t>
        </is>
      </c>
      <c r="C1" s="50" t="inlineStr">
        <is>
          <t>CIA</t>
        </is>
      </c>
    </row>
    <row r="2" ht="15" customHeight="1" s="36">
      <c r="A2" s="42" t="n">
        <v>1</v>
      </c>
      <c r="B2" s="42" t="inlineStr">
        <is>
          <t>Mitigasi</t>
        </is>
      </c>
      <c r="C2" s="42" t="inlineStr">
        <is>
          <t>C</t>
        </is>
      </c>
    </row>
    <row r="3" ht="15" customHeight="1" s="36">
      <c r="A3" s="42" t="n">
        <v>2</v>
      </c>
      <c r="B3" s="42" t="inlineStr">
        <is>
          <t>Hindari</t>
        </is>
      </c>
      <c r="C3" s="42" t="inlineStr">
        <is>
          <t>I</t>
        </is>
      </c>
    </row>
    <row r="4" ht="15" customHeight="1" s="36">
      <c r="A4" s="42" t="n">
        <v>3</v>
      </c>
      <c r="B4" s="42" t="inlineStr">
        <is>
          <t>Transfer</t>
        </is>
      </c>
      <c r="C4" s="42" t="inlineStr">
        <is>
          <t>A</t>
        </is>
      </c>
    </row>
    <row r="5" ht="15" customHeight="1" s="36">
      <c r="A5" s="42" t="n">
        <v>4</v>
      </c>
      <c r="B5" s="42" t="inlineStr">
        <is>
          <t>Terima</t>
        </is>
      </c>
      <c r="C5" s="42" t="inlineStr">
        <is>
          <t>C, I</t>
        </is>
      </c>
    </row>
    <row r="6" ht="15" customHeight="1" s="36">
      <c r="A6" s="42" t="n">
        <v>5</v>
      </c>
      <c r="C6" s="42" t="inlineStr">
        <is>
          <t>C, A</t>
        </is>
      </c>
    </row>
    <row r="7" ht="15" customHeight="1" s="36">
      <c r="C7" s="42" t="inlineStr">
        <is>
          <t>I, A</t>
        </is>
      </c>
    </row>
    <row r="8" ht="15" customHeight="1" s="36">
      <c r="C8" s="42" t="inlineStr">
        <is>
          <t>C, I, 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5" min="1" max="1"/>
    <col width="24" customWidth="1" style="35" min="2" max="2"/>
    <col width="22" customWidth="1" style="35" min="3" max="3"/>
    <col width="32" customWidth="1" style="35" min="4" max="4"/>
    <col width="7" customWidth="1" style="35" min="5" max="5"/>
    <col width="26" customWidth="1" style="35" min="6" max="6"/>
    <col width="4" customWidth="1" style="35" min="7" max="8"/>
    <col width="6" customWidth="1" style="35" min="9" max="9"/>
    <col width="9" customWidth="1" style="35" min="10" max="10"/>
    <col width="16" customWidth="1" style="35" min="11" max="11"/>
    <col width="14" customWidth="1" style="35" min="12" max="12"/>
    <col width="10" customWidth="1" style="35" min="13" max="13"/>
    <col width="9" customWidth="1" style="35" min="14" max="14"/>
    <col width="11" customWidth="1" style="35" min="15" max="16"/>
    <col width="14" customWidth="1" style="35" min="17" max="17"/>
  </cols>
  <sheetData>
    <row r="1" ht="16.15" customHeight="1" s="36">
      <c r="A1" s="49" t="inlineStr">
        <is>
          <t>Information security risk assessment register</t>
        </is>
      </c>
    </row>
    <row r="2" ht="15" customHeight="1" s="36">
      <c r="A2" s="38" t="inlineStr">
        <is>
          <t>Baris biru muda = usulan awal: validasi lalu ubah kolom Catatan menjadi Disetujui.</t>
        </is>
      </c>
    </row>
    <row r="4" ht="31.5" customHeight="1" s="36">
      <c r="A4" s="51" t="inlineStr">
        <is>
          <t>ID risiko</t>
        </is>
      </c>
      <c r="B4" s="51" t="inlineStr">
        <is>
          <t>Aset atau kelompok aset</t>
        </is>
      </c>
      <c r="C4" s="51" t="inlineStr">
        <is>
          <t>Threat</t>
        </is>
      </c>
      <c r="D4" s="51" t="inlineStr">
        <is>
          <t>Vulnerability</t>
        </is>
      </c>
      <c r="E4" s="51" t="inlineStr">
        <is>
          <t>CIA</t>
        </is>
      </c>
      <c r="F4" s="51" t="inlineStr">
        <is>
          <t>Kontrol eksisting</t>
        </is>
      </c>
      <c r="G4" s="51" t="inlineStr">
        <is>
          <t>L</t>
        </is>
      </c>
      <c r="H4" s="51" t="inlineStr">
        <is>
          <t>I</t>
        </is>
      </c>
      <c r="I4" s="51" t="inlineStr">
        <is>
          <t>Skor</t>
        </is>
      </c>
      <c r="J4" s="51" t="inlineStr">
        <is>
          <t>Level</t>
        </is>
      </c>
      <c r="K4" s="51" t="inlineStr">
        <is>
          <t>Pemilik risiko</t>
        </is>
      </c>
      <c r="L4" s="51" t="inlineStr">
        <is>
          <t>Kontrol Annex A</t>
        </is>
      </c>
      <c r="M4" s="51" t="inlineStr">
        <is>
          <t>Keputusan</t>
        </is>
      </c>
      <c r="N4" s="51" t="inlineStr">
        <is>
          <t>Ref RTP</t>
        </is>
      </c>
      <c r="O4" s="51" t="inlineStr">
        <is>
          <t>Tgl penilaian</t>
        </is>
      </c>
      <c r="P4" s="51" t="inlineStr">
        <is>
          <t>Penilaian ulang</t>
        </is>
      </c>
      <c r="Q4" s="51" t="inlineStr">
        <is>
          <t>Catatan</t>
        </is>
      </c>
    </row>
    <row r="5" ht="35.05" customHeight="1" s="36">
      <c r="A5" s="52" t="inlineStr">
        <is>
          <t>ISR-001</t>
        </is>
      </c>
      <c r="B5" s="52" t="inlineStr">
        <is>
          <t>AST-001, kredensial tim</t>
        </is>
      </c>
      <c r="C5" s="52" t="inlineStr">
        <is>
          <t>Kebocoran kredensial</t>
        </is>
      </c>
      <c r="D5" s="52" t="inlineStr">
        <is>
          <t>Kredensial masih tersimpan di Google Sheets dan Excel password-protected sebelum migrasi ke vault</t>
        </is>
      </c>
      <c r="E5" s="52" t="inlineStr">
        <is>
          <t>C</t>
        </is>
      </c>
      <c r="F5" s="52" t="inlineStr">
        <is>
          <t>Vault sudah dipasang, belum live; menunggu konfirmasi Ops</t>
        </is>
      </c>
      <c r="G5" s="52" t="n">
        <v>3</v>
      </c>
      <c r="H5" s="52" t="n">
        <v>5</v>
      </c>
      <c r="I5" s="53">
        <f>IF(OR(G5="",H5=""),"",G5*H5)</f>
        <v/>
      </c>
      <c r="J5" s="53">
        <f>IF(I5="","",IF(I5&gt;=20,"Kritis",IF(I5&gt;=10,"Tinggi",IF(I5&gt;=5,"Sedang","Rendah"))))</f>
        <v/>
      </c>
      <c r="K5" s="52" t="inlineStr">
        <is>
          <t>Head of Operation</t>
        </is>
      </c>
      <c r="L5" s="52" t="inlineStr">
        <is>
          <t>5.17, 8.5</t>
        </is>
      </c>
      <c r="M5" s="52" t="inlineStr">
        <is>
          <t>Mitigasi</t>
        </is>
      </c>
      <c r="N5" s="52" t="inlineStr">
        <is>
          <t>RTP-001</t>
        </is>
      </c>
      <c r="O5" s="54" t="n">
        <v>46308</v>
      </c>
      <c r="P5" s="55">
        <f>IF(O5="","",EDATE(O5,12))</f>
        <v/>
      </c>
      <c r="Q5" s="52" t="inlineStr">
        <is>
          <t>Usulan awal</t>
        </is>
      </c>
    </row>
    <row r="6" ht="35.05" customHeight="1" s="36">
      <c r="A6" s="52" t="inlineStr">
        <is>
          <t>ISR-002</t>
        </is>
      </c>
      <c r="B6" s="52" t="inlineStr">
        <is>
          <t>Fleet WHM dan cPanel pelanggan pemerintah</t>
        </is>
      </c>
      <c r="C6" s="52" t="inlineStr">
        <is>
          <t>Webshell, doorway judi online, backdoor</t>
        </is>
      </c>
      <c r="D6" s="52" t="inlineStr">
        <is>
          <t>Aplikasi web pelanggan rentan dan tidak dikelola SINUX; banyak akun per server</t>
        </is>
      </c>
      <c r="E6" s="52" t="inlineStr">
        <is>
          <t>C, I</t>
        </is>
      </c>
      <c r="F6" s="52" t="inlineStr">
        <is>
          <t>ImunifyAV, WAF Cloudflare, sweep IOC by hash, playbook insiden</t>
        </is>
      </c>
      <c r="G6" s="52" t="n">
        <v>5</v>
      </c>
      <c r="H6" s="52" t="n">
        <v>4</v>
      </c>
      <c r="I6" s="53">
        <f>IF(OR(G6="",H6=""),"",G6*H6)</f>
        <v/>
      </c>
      <c r="J6" s="53">
        <f>IF(I6="","",IF(I6&gt;=20,"Kritis",IF(I6&gt;=10,"Tinggi",IF(I6&gt;=5,"Sedang","Rendah"))))</f>
        <v/>
      </c>
      <c r="K6" s="52" t="inlineStr">
        <is>
          <t>Lead SOC</t>
        </is>
      </c>
      <c r="L6" s="52" t="inlineStr">
        <is>
          <t>8.7, 8.8, 8.16, 5.26</t>
        </is>
      </c>
      <c r="M6" s="52" t="inlineStr">
        <is>
          <t>Mitigasi</t>
        </is>
      </c>
      <c r="N6" s="52" t="inlineStr">
        <is>
          <t>RTP-002</t>
        </is>
      </c>
      <c r="O6" s="54" t="n">
        <v>46308</v>
      </c>
      <c r="P6" s="55">
        <f>IF(O6="","",EDATE(O6,12))</f>
        <v/>
      </c>
      <c r="Q6" s="52" t="inlineStr">
        <is>
          <t>Usulan awal</t>
        </is>
      </c>
    </row>
    <row r="7" ht="23.85" customHeight="1" s="36">
      <c r="A7" s="52" t="inlineStr">
        <is>
          <t>ISR-003</t>
        </is>
      </c>
      <c r="B7" s="52" t="inlineStr">
        <is>
          <t>AST-009 server email</t>
        </is>
      </c>
      <c r="C7" s="52" t="inlineStr">
        <is>
          <t>Eksploitasi CVE RCE pre-auth</t>
        </is>
      </c>
      <c r="D7" s="52" t="inlineStr">
        <is>
          <t>Patch Zimbra terlambat; layanan terbuka ke internet</t>
        </is>
      </c>
      <c r="E7" s="52" t="inlineStr">
        <is>
          <t>C, I, A</t>
        </is>
      </c>
      <c r="F7" s="52" t="inlineStr">
        <is>
          <t>Containment insiden sebelumnya, monitoring</t>
        </is>
      </c>
      <c r="G7" s="52" t="n">
        <v>4</v>
      </c>
      <c r="H7" s="52" t="n">
        <v>4</v>
      </c>
      <c r="I7" s="53">
        <f>IF(OR(G7="",H7=""),"",G7*H7)</f>
        <v/>
      </c>
      <c r="J7" s="53">
        <f>IF(I7="","",IF(I7&gt;=20,"Kritis",IF(I7&gt;=10,"Tinggi",IF(I7&gt;=5,"Sedang","Rendah"))))</f>
        <v/>
      </c>
      <c r="K7" s="52" t="inlineStr">
        <is>
          <t>Lead NOC</t>
        </is>
      </c>
      <c r="L7" s="52" t="inlineStr">
        <is>
          <t>8.8, 8.19</t>
        </is>
      </c>
      <c r="M7" s="52" t="inlineStr">
        <is>
          <t>Mitigasi</t>
        </is>
      </c>
      <c r="N7" s="52" t="inlineStr">
        <is>
          <t>RTP-003</t>
        </is>
      </c>
      <c r="O7" s="54" t="n">
        <v>46308</v>
      </c>
      <c r="P7" s="55">
        <f>IF(O7="","",EDATE(O7,12))</f>
        <v/>
      </c>
      <c r="Q7" s="52" t="inlineStr">
        <is>
          <t>Usulan awal</t>
        </is>
      </c>
    </row>
    <row r="8" ht="35.05" customHeight="1" s="36">
      <c r="A8" s="52" t="inlineStr">
        <is>
          <t>ISR-004</t>
        </is>
      </c>
      <c r="B8" s="52" t="inlineStr">
        <is>
          <t>Layanan WAF, proxy, network, DC fisik</t>
        </is>
      </c>
      <c r="C8" s="52" t="inlineStr">
        <is>
          <t>Pemulihan lambat karena personel kunci tidak tersedia</t>
        </is>
      </c>
      <c r="D8" s="52" t="inlineStr">
        <is>
          <t>Keahlian terkonsentrasi pada satu orang; runbook belum lengkap</t>
        </is>
      </c>
      <c r="E8" s="52" t="inlineStr">
        <is>
          <t>A</t>
        </is>
      </c>
      <c r="F8" s="52" t="inlineStr">
        <is>
          <t>Runbook sebagian di knowledge base</t>
        </is>
      </c>
      <c r="G8" s="52" t="n">
        <v>3</v>
      </c>
      <c r="H8" s="52" t="n">
        <v>4</v>
      </c>
      <c r="I8" s="53">
        <f>IF(OR(G8="",H8=""),"",G8*H8)</f>
        <v/>
      </c>
      <c r="J8" s="53">
        <f>IF(I8="","",IF(I8&gt;=20,"Kritis",IF(I8&gt;=10,"Tinggi",IF(I8&gt;=5,"Sedang","Rendah"))))</f>
        <v/>
      </c>
      <c r="K8" s="52" t="inlineStr">
        <is>
          <t>Head of Operation</t>
        </is>
      </c>
      <c r="L8" s="52" t="inlineStr">
        <is>
          <t>5.30, 6.3, 5.37</t>
        </is>
      </c>
      <c r="M8" s="52" t="inlineStr">
        <is>
          <t>Mitigasi</t>
        </is>
      </c>
      <c r="N8" s="52" t="inlineStr">
        <is>
          <t>RTP-004</t>
        </is>
      </c>
      <c r="O8" s="54" t="n">
        <v>46308</v>
      </c>
      <c r="P8" s="55">
        <f>IF(O8="","",EDATE(O8,12))</f>
        <v/>
      </c>
      <c r="Q8" s="52" t="inlineStr">
        <is>
          <t>Usulan awal</t>
        </is>
      </c>
    </row>
    <row r="9" ht="35.05" customHeight="1" s="36">
      <c r="A9" s="52" t="inlineStr">
        <is>
          <t>ISR-005</t>
        </is>
      </c>
      <c r="B9" s="52" t="inlineStr">
        <is>
          <t>Layanan pelanggan Nusagrid</t>
        </is>
      </c>
      <c r="C9" s="52" t="inlineStr">
        <is>
          <t>Gangguan massal platform atau DC upstream</t>
        </is>
      </c>
      <c r="D9" s="52" t="inlineStr">
        <is>
          <t>Ketergantungan pada satu penyedia infrastruktur</t>
        </is>
      </c>
      <c r="E9" s="52" t="inlineStr">
        <is>
          <t>A</t>
        </is>
      </c>
      <c r="F9" s="52" t="inlineStr">
        <is>
          <t>Eskalasi ke penyedia, SLA kontrak</t>
        </is>
      </c>
      <c r="G9" s="52" t="n">
        <v>3</v>
      </c>
      <c r="H9" s="52" t="n">
        <v>5</v>
      </c>
      <c r="I9" s="53">
        <f>IF(OR(G9="",H9=""),"",G9*H9)</f>
        <v/>
      </c>
      <c r="J9" s="53">
        <f>IF(I9="","",IF(I9&gt;=20,"Kritis",IF(I9&gt;=10,"Tinggi",IF(I9&gt;=5,"Sedang","Rendah"))))</f>
        <v/>
      </c>
      <c r="K9" s="52" t="inlineStr">
        <is>
          <t>Head of Operation</t>
        </is>
      </c>
      <c r="L9" s="52" t="inlineStr">
        <is>
          <t>5.22, 5.30, 8.14</t>
        </is>
      </c>
      <c r="M9" s="52" t="inlineStr">
        <is>
          <t>Mitigasi</t>
        </is>
      </c>
      <c r="N9" s="52" t="inlineStr">
        <is>
          <t>RTP-005</t>
        </is>
      </c>
      <c r="O9" s="54" t="n">
        <v>46308</v>
      </c>
      <c r="P9" s="55">
        <f>IF(O9="","",EDATE(O9,12))</f>
        <v/>
      </c>
      <c r="Q9" s="52" t="inlineStr">
        <is>
          <t>Usulan awal</t>
        </is>
      </c>
    </row>
    <row r="10" ht="23.85" customHeight="1" s="36">
      <c r="A10" s="52" t="inlineStr">
        <is>
          <t>ISR-006</t>
        </is>
      </c>
      <c r="B10" s="52" t="inlineStr">
        <is>
          <t>Backup pelanggan dan internal</t>
        </is>
      </c>
      <c r="C10" s="52" t="inlineStr">
        <is>
          <t>Restore gagal saat dibutuhkan</t>
        </is>
      </c>
      <c r="D10" s="52" t="inlineStr">
        <is>
          <t>Uji restore belum terjadwal dan terdokumentasi rutin</t>
        </is>
      </c>
      <c r="E10" s="52" t="inlineStr">
        <is>
          <t>I, A</t>
        </is>
      </c>
      <c r="F10" s="52" t="inlineStr">
        <is>
          <t>Backup harian Acronis</t>
        </is>
      </c>
      <c r="G10" s="52" t="n">
        <v>3</v>
      </c>
      <c r="H10" s="52" t="n">
        <v>5</v>
      </c>
      <c r="I10" s="53">
        <f>IF(OR(G10="",H10=""),"",G10*H10)</f>
        <v/>
      </c>
      <c r="J10" s="53">
        <f>IF(I10="","",IF(I10&gt;=20,"Kritis",IF(I10&gt;=10,"Tinggi",IF(I10&gt;=5,"Sedang","Rendah"))))</f>
        <v/>
      </c>
      <c r="K10" s="52" t="inlineStr">
        <is>
          <t>Lead NOC</t>
        </is>
      </c>
      <c r="L10" s="52" t="inlineStr">
        <is>
          <t>8.13</t>
        </is>
      </c>
      <c r="M10" s="52" t="inlineStr">
        <is>
          <t>Mitigasi</t>
        </is>
      </c>
      <c r="N10" s="52" t="inlineStr">
        <is>
          <t>RTP-006</t>
        </is>
      </c>
      <c r="O10" s="54" t="n">
        <v>46308</v>
      </c>
      <c r="P10" s="55">
        <f>IF(O10="","",EDATE(O10,12))</f>
        <v/>
      </c>
      <c r="Q10" s="52" t="inlineStr">
        <is>
          <t>Usulan awal</t>
        </is>
      </c>
    </row>
    <row r="11" ht="35.05" customHeight="1" s="36">
      <c r="A11" s="52" t="inlineStr">
        <is>
          <t>ISR-007</t>
        </is>
      </c>
      <c r="B11" s="52" t="inlineStr">
        <is>
          <t>AST-005 AegisWAF</t>
        </is>
      </c>
      <c r="C11" s="52" t="inlineStr">
        <is>
          <t>Kontrol WAF hilang tanpa diketahui</t>
        </is>
      </c>
      <c r="D11" s="52" t="inlineStr">
        <is>
          <t>Konfigurasi vhost dihasilkan generator; perubahan manual dapat tertimpa saat Apply</t>
        </is>
      </c>
      <c r="E11" s="52" t="inlineStr">
        <is>
          <t>C, A</t>
        </is>
      </c>
      <c r="F11" s="52" t="inlineStr">
        <is>
          <t>Backup konfigurasi saat perubahan</t>
        </is>
      </c>
      <c r="G11" s="52" t="n">
        <v>3</v>
      </c>
      <c r="H11" s="52" t="n">
        <v>3</v>
      </c>
      <c r="I11" s="53">
        <f>IF(OR(G11="",H11=""),"",G11*H11)</f>
        <v/>
      </c>
      <c r="J11" s="53">
        <f>IF(I11="","",IF(I11&gt;=20,"Kritis",IF(I11&gt;=10,"Tinggi",IF(I11&gt;=5,"Sedang","Rendah"))))</f>
        <v/>
      </c>
      <c r="K11" s="52" t="inlineStr">
        <is>
          <t>Tech dan Product</t>
        </is>
      </c>
      <c r="L11" s="52" t="inlineStr">
        <is>
          <t>8.9, 8.32</t>
        </is>
      </c>
      <c r="M11" s="52" t="inlineStr">
        <is>
          <t>Mitigasi</t>
        </is>
      </c>
      <c r="N11" s="52" t="inlineStr">
        <is>
          <t>RTP-007</t>
        </is>
      </c>
      <c r="O11" s="54" t="n">
        <v>46308</v>
      </c>
      <c r="P11" s="55">
        <f>IF(O11="","",EDATE(O11,12))</f>
        <v/>
      </c>
      <c r="Q11" s="52" t="inlineStr">
        <is>
          <t>Usulan awal</t>
        </is>
      </c>
    </row>
    <row r="12" ht="23.85" customHeight="1" s="36">
      <c r="A12" s="52" t="inlineStr">
        <is>
          <t>ISR-008</t>
        </is>
      </c>
      <c r="B12" s="52" t="inlineStr">
        <is>
          <t>Notifikasi ticketing system dan monitoring</t>
        </is>
      </c>
      <c r="C12" s="52" t="inlineStr">
        <is>
          <t>Alert atau notifikasi tidak sampai ke manusia</t>
        </is>
      </c>
      <c r="D12" s="52" t="inlineStr">
        <is>
          <t>Pengiriman email notifikasi belum diverifikasi ke inbox penerima</t>
        </is>
      </c>
      <c r="E12" s="52" t="inlineStr">
        <is>
          <t>A</t>
        </is>
      </c>
      <c r="F12" s="52" t="inlineStr">
        <is>
          <t>Transport SMTP terkonfigurasi</t>
        </is>
      </c>
      <c r="G12" s="52" t="n">
        <v>3</v>
      </c>
      <c r="H12" s="52" t="n">
        <v>3</v>
      </c>
      <c r="I12" s="53">
        <f>IF(OR(G12="",H12=""),"",G12*H12)</f>
        <v/>
      </c>
      <c r="J12" s="53">
        <f>IF(I12="","",IF(I12&gt;=20,"Kritis",IF(I12&gt;=10,"Tinggi",IF(I12&gt;=5,"Sedang","Rendah"))))</f>
        <v/>
      </c>
      <c r="K12" s="52" t="inlineStr">
        <is>
          <t>Lead NOC</t>
        </is>
      </c>
      <c r="L12" s="52" t="inlineStr">
        <is>
          <t>8.16</t>
        </is>
      </c>
      <c r="M12" s="52" t="inlineStr">
        <is>
          <t>Mitigasi</t>
        </is>
      </c>
      <c r="N12" s="52" t="inlineStr">
        <is>
          <t>RTP-008</t>
        </is>
      </c>
      <c r="O12" s="54" t="n">
        <v>46308</v>
      </c>
      <c r="P12" s="55">
        <f>IF(O12="","",EDATE(O12,12))</f>
        <v/>
      </c>
      <c r="Q12" s="52" t="inlineStr">
        <is>
          <t>Usulan awal</t>
        </is>
      </c>
    </row>
    <row r="13" ht="35.05" customHeight="1" s="36">
      <c r="A13" s="52" t="inlineStr">
        <is>
          <t>ISR-009</t>
        </is>
      </c>
      <c r="B13" s="52" t="inlineStr">
        <is>
          <t>Semua sistem dengan akun</t>
        </is>
      </c>
      <c r="C13" s="52" t="inlineStr">
        <is>
          <t>Akses tidak sah oleh mantan personel atau vendor</t>
        </is>
      </c>
      <c r="D13" s="52" t="inlineStr">
        <is>
          <t>Belum ada review akses periodik dan register akses terpusat</t>
        </is>
      </c>
      <c r="E13" s="52" t="inlineStr">
        <is>
          <t>C, I</t>
        </is>
      </c>
      <c r="F13" s="52" t="inlineStr">
        <is>
          <t>Jumphost dengan RBAC</t>
        </is>
      </c>
      <c r="G13" s="52" t="n">
        <v>2</v>
      </c>
      <c r="H13" s="52" t="n">
        <v>5</v>
      </c>
      <c r="I13" s="53">
        <f>IF(OR(G13="",H13=""),"",G13*H13)</f>
        <v/>
      </c>
      <c r="J13" s="53">
        <f>IF(I13="","",IF(I13&gt;=20,"Kritis",IF(I13&gt;=10,"Tinggi",IF(I13&gt;=5,"Sedang","Rendah"))))</f>
        <v/>
      </c>
      <c r="K13" s="52" t="inlineStr">
        <is>
          <t>Head of Operation</t>
        </is>
      </c>
      <c r="L13" s="52" t="inlineStr">
        <is>
          <t>5.15, 5.18, 8.2</t>
        </is>
      </c>
      <c r="M13" s="52" t="inlineStr">
        <is>
          <t>Mitigasi</t>
        </is>
      </c>
      <c r="N13" s="52" t="inlineStr">
        <is>
          <t>RTP-009</t>
        </is>
      </c>
      <c r="O13" s="54" t="n">
        <v>46308</v>
      </c>
      <c r="P13" s="55">
        <f>IF(O13="","",EDATE(O13,12))</f>
        <v/>
      </c>
      <c r="Q13" s="52" t="inlineStr">
        <is>
          <t>Usulan awal</t>
        </is>
      </c>
    </row>
    <row r="14" ht="35.05" customHeight="1" s="36">
      <c r="A14" s="52" t="inlineStr">
        <is>
          <t>ISR-010</t>
        </is>
      </c>
      <c r="B14" s="52" t="inlineStr">
        <is>
          <t>Komunikasi pelanggan</t>
        </is>
      </c>
      <c r="C14" s="52" t="inlineStr">
        <is>
          <t>Kebocoran informasi melalui grup chat</t>
        </is>
      </c>
      <c r="D14" s="52" t="inlineStr">
        <is>
          <t>Banyak koordinasi pelanggan melalui grup WhatsApp; risiko kredensial atau topologi terkirim</t>
        </is>
      </c>
      <c r="E14" s="52" t="inlineStr">
        <is>
          <t>C</t>
        </is>
      </c>
      <c r="F14" s="52" t="inlineStr">
        <is>
          <t>Aturan direct message untuk kredensial</t>
        </is>
      </c>
      <c r="G14" s="52" t="n">
        <v>4</v>
      </c>
      <c r="H14" s="52" t="n">
        <v>4</v>
      </c>
      <c r="I14" s="53">
        <f>IF(OR(G14="",H14=""),"",G14*H14)</f>
        <v/>
      </c>
      <c r="J14" s="53">
        <f>IF(I14="","",IF(I14&gt;=20,"Kritis",IF(I14&gt;=10,"Tinggi",IF(I14&gt;=5,"Sedang","Rendah"))))</f>
        <v/>
      </c>
      <c r="K14" s="52" t="inlineStr">
        <is>
          <t>Service Delivery Manager</t>
        </is>
      </c>
      <c r="L14" s="52" t="inlineStr">
        <is>
          <t>5.14, 5.12</t>
        </is>
      </c>
      <c r="M14" s="52" t="inlineStr">
        <is>
          <t>Mitigasi</t>
        </is>
      </c>
      <c r="N14" s="52" t="inlineStr">
        <is>
          <t>RTP-010</t>
        </is>
      </c>
      <c r="O14" s="54" t="n">
        <v>46308</v>
      </c>
      <c r="P14" s="55">
        <f>IF(O14="","",EDATE(O14,12))</f>
        <v/>
      </c>
      <c r="Q14" s="52" t="inlineStr">
        <is>
          <t>Usulan awal</t>
        </is>
      </c>
    </row>
    <row r="15" ht="35.05" customHeight="1" s="36">
      <c r="A15" s="52" t="inlineStr">
        <is>
          <t>ISR-011</t>
        </is>
      </c>
      <c r="B15" s="52" t="inlineStr">
        <is>
          <t>Data RESTRICTED internal dan pelanggan</t>
        </is>
      </c>
      <c r="C15" s="52" t="inlineStr">
        <is>
          <t>Kebocoran melalui layanan AI atau SaaS pihak ketiga</t>
        </is>
      </c>
      <c r="D15" s="52" t="inlineStr">
        <is>
          <t>Penggunaan alat AI dalam kerja harian tanpa klasifikasi yang jelas</t>
        </is>
      </c>
      <c r="E15" s="52" t="inlineStr">
        <is>
          <t>C</t>
        </is>
      </c>
      <c r="F15" s="52" t="inlineStr">
        <is>
          <t>Knowledge base ber-RBAC, aturan larangan kredensial</t>
        </is>
      </c>
      <c r="G15" s="52" t="n">
        <v>3</v>
      </c>
      <c r="H15" s="52" t="n">
        <v>4</v>
      </c>
      <c r="I15" s="53">
        <f>IF(OR(G15="",H15=""),"",G15*H15)</f>
        <v/>
      </c>
      <c r="J15" s="53">
        <f>IF(I15="","",IF(I15&gt;=20,"Kritis",IF(I15&gt;=10,"Tinggi",IF(I15&gt;=5,"Sedang","Rendah"))))</f>
        <v/>
      </c>
      <c r="K15" s="52" t="inlineStr">
        <is>
          <t>ISMS Coordinator</t>
        </is>
      </c>
      <c r="L15" s="52" t="inlineStr">
        <is>
          <t>5.23, 5.14</t>
        </is>
      </c>
      <c r="M15" s="52" t="inlineStr">
        <is>
          <t>Mitigasi</t>
        </is>
      </c>
      <c r="N15" s="52" t="inlineStr">
        <is>
          <t>RTP-011</t>
        </is>
      </c>
      <c r="O15" s="54" t="n">
        <v>46308</v>
      </c>
      <c r="P15" s="55">
        <f>IF(O15="","",EDATE(O15,12))</f>
        <v/>
      </c>
      <c r="Q15" s="52" t="inlineStr">
        <is>
          <t>Usulan awal</t>
        </is>
      </c>
    </row>
    <row r="16" ht="23.85" customHeight="1" s="36">
      <c r="A16" s="52" t="inlineStr">
        <is>
          <t>ISR-012</t>
        </is>
      </c>
      <c r="B16" s="52" t="inlineStr">
        <is>
          <t>Edge dan server dikelola</t>
        </is>
      </c>
      <c r="C16" s="52" t="inlineStr">
        <is>
          <t>Investigasi insiden lambat atau tidak tuntas</t>
        </is>
      </c>
      <c r="D16" s="52" t="inlineStr">
        <is>
          <t>Log per host dan korelasi request belum lengkap</t>
        </is>
      </c>
      <c r="E16" s="52" t="inlineStr">
        <is>
          <t>I, A</t>
        </is>
      </c>
      <c r="F16" s="52" t="inlineStr">
        <is>
          <t>Log edge dasar</t>
        </is>
      </c>
      <c r="G16" s="52" t="n">
        <v>3</v>
      </c>
      <c r="H16" s="52" t="n">
        <v>3</v>
      </c>
      <c r="I16" s="53">
        <f>IF(OR(G16="",H16=""),"",G16*H16)</f>
        <v/>
      </c>
      <c r="J16" s="53">
        <f>IF(I16="","",IF(I16&gt;=20,"Kritis",IF(I16&gt;=10,"Tinggi",IF(I16&gt;=5,"Sedang","Rendah"))))</f>
        <v/>
      </c>
      <c r="K16" s="52" t="inlineStr">
        <is>
          <t>Lead SOC</t>
        </is>
      </c>
      <c r="L16" s="52" t="inlineStr">
        <is>
          <t>8.15, 8.16</t>
        </is>
      </c>
      <c r="M16" s="52" t="inlineStr">
        <is>
          <t>Mitigasi</t>
        </is>
      </c>
      <c r="N16" s="52" t="inlineStr">
        <is>
          <t>RTP-012</t>
        </is>
      </c>
      <c r="O16" s="54" t="n">
        <v>46308</v>
      </c>
      <c r="P16" s="55">
        <f>IF(O16="","",EDATE(O16,12))</f>
        <v/>
      </c>
      <c r="Q16" s="52" t="inlineStr">
        <is>
          <t>Usulan awal</t>
        </is>
      </c>
    </row>
    <row r="17" ht="23.85" customHeight="1" s="36">
      <c r="A17" s="52" t="inlineStr">
        <is>
          <t>ISR-013</t>
        </is>
      </c>
      <c r="B17" s="52" t="inlineStr">
        <is>
          <t>Operasi 24x7 Nusagrid</t>
        </is>
      </c>
      <c r="C17" s="52" t="inlineStr">
        <is>
          <t>Salah tindakan di production oleh tim baru</t>
        </is>
      </c>
      <c r="D17" s="52" t="inlineStr">
        <is>
          <t>Tim support 3 shift baru terbentuk; pengalaman insiden terbatas</t>
        </is>
      </c>
      <c r="E17" s="52" t="inlineStr">
        <is>
          <t>I, A</t>
        </is>
      </c>
      <c r="F17" s="52" t="inlineStr">
        <is>
          <t>Go-gate production, approval lead</t>
        </is>
      </c>
      <c r="G17" s="52" t="n">
        <v>3</v>
      </c>
      <c r="H17" s="52" t="n">
        <v>4</v>
      </c>
      <c r="I17" s="53">
        <f>IF(OR(G17="",H17=""),"",G17*H17)</f>
        <v/>
      </c>
      <c r="J17" s="53">
        <f>IF(I17="","",IF(I17&gt;=20,"Kritis",IF(I17&gt;=10,"Tinggi",IF(I17&gt;=5,"Sedang","Rendah"))))</f>
        <v/>
      </c>
      <c r="K17" s="52" t="inlineStr">
        <is>
          <t>Head of Operation</t>
        </is>
      </c>
      <c r="L17" s="52" t="inlineStr">
        <is>
          <t>6.3, 5.37, 8.32</t>
        </is>
      </c>
      <c r="M17" s="52" t="inlineStr">
        <is>
          <t>Mitigasi</t>
        </is>
      </c>
      <c r="N17" s="52" t="inlineStr">
        <is>
          <t>RTP-013</t>
        </is>
      </c>
      <c r="O17" s="54" t="n">
        <v>46308</v>
      </c>
      <c r="P17" s="55">
        <f>IF(O17="","",EDATE(O17,12))</f>
        <v/>
      </c>
      <c r="Q17" s="52" t="inlineStr">
        <is>
          <t>Usulan awal</t>
        </is>
      </c>
    </row>
    <row r="18" ht="23.85" customHeight="1" s="36">
      <c r="A18" s="52" t="inlineStr">
        <is>
          <t>ISR-014</t>
        </is>
      </c>
      <c r="B18" s="52" t="inlineStr">
        <is>
          <t>Sistem internal kritis</t>
        </is>
      </c>
      <c r="C18" s="52" t="inlineStr">
        <is>
          <t>Ransomware</t>
        </is>
      </c>
      <c r="D18" s="52" t="inlineStr">
        <is>
          <t>Kredensial terpapar atau vulnerability tidak terpatch</t>
        </is>
      </c>
      <c r="E18" s="52" t="inlineStr">
        <is>
          <t>C, I, A</t>
        </is>
      </c>
      <c r="F18" s="52" t="inlineStr">
        <is>
          <t>Backup harian, EDR sebagian</t>
        </is>
      </c>
      <c r="G18" s="52" t="n">
        <v>2</v>
      </c>
      <c r="H18" s="52" t="n">
        <v>5</v>
      </c>
      <c r="I18" s="53">
        <f>IF(OR(G18="",H18=""),"",G18*H18)</f>
        <v/>
      </c>
      <c r="J18" s="53">
        <f>IF(I18="","",IF(I18&gt;=20,"Kritis",IF(I18&gt;=10,"Tinggi",IF(I18&gt;=5,"Sedang","Rendah"))))</f>
        <v/>
      </c>
      <c r="K18" s="52" t="inlineStr">
        <is>
          <t>Lead SOC</t>
        </is>
      </c>
      <c r="L18" s="52" t="inlineStr">
        <is>
          <t>8.7, 8.13, 5.29</t>
        </is>
      </c>
      <c r="M18" s="52" t="inlineStr">
        <is>
          <t>Mitigasi</t>
        </is>
      </c>
      <c r="N18" s="52" t="inlineStr">
        <is>
          <t>RTP-014</t>
        </is>
      </c>
      <c r="O18" s="54" t="n">
        <v>46308</v>
      </c>
      <c r="P18" s="55">
        <f>IF(O18="","",EDATE(O18,12))</f>
        <v/>
      </c>
      <c r="Q18" s="52" t="inlineStr">
        <is>
          <t>Usulan awal</t>
        </is>
      </c>
    </row>
    <row r="19" ht="23.85" customHeight="1" s="36">
      <c r="A19" s="52" t="inlineStr">
        <is>
          <t>ISR-015</t>
        </is>
      </c>
      <c r="B19" s="52" t="inlineStr">
        <is>
          <t>AST-012 laptop kerja</t>
        </is>
      </c>
      <c r="C19" s="52" t="inlineStr">
        <is>
          <t>Kehilangan atau pencurian perangkat</t>
        </is>
      </c>
      <c r="D19" s="52" t="inlineStr">
        <is>
          <t>Encryption disk belum diverifikasi di semua perangkat</t>
        </is>
      </c>
      <c r="E19" s="52" t="inlineStr">
        <is>
          <t>C</t>
        </is>
      </c>
      <c r="F19" s="52" t="inlineStr">
        <is>
          <t>Kunci layar, akun ber-MFA</t>
        </is>
      </c>
      <c r="G19" s="52" t="n">
        <v>2</v>
      </c>
      <c r="H19" s="52" t="n">
        <v>4</v>
      </c>
      <c r="I19" s="53">
        <f>IF(OR(G19="",H19=""),"",G19*H19)</f>
        <v/>
      </c>
      <c r="J19" s="53">
        <f>IF(I19="","",IF(I19&gt;=20,"Kritis",IF(I19&gt;=10,"Tinggi",IF(I19&gt;=5,"Sedang","Rendah"))))</f>
        <v/>
      </c>
      <c r="K19" s="52" t="inlineStr">
        <is>
          <t>Head of Operation</t>
        </is>
      </c>
      <c r="L19" s="52" t="inlineStr">
        <is>
          <t>8.1, 7.9</t>
        </is>
      </c>
      <c r="M19" s="52" t="inlineStr">
        <is>
          <t>Mitigasi</t>
        </is>
      </c>
      <c r="N19" s="52" t="inlineStr">
        <is>
          <t>RTP-015</t>
        </is>
      </c>
      <c r="O19" s="54" t="n">
        <v>46308</v>
      </c>
      <c r="P19" s="55">
        <f>IF(O19="","",EDATE(O19,12))</f>
        <v/>
      </c>
      <c r="Q19" s="52" t="inlineStr">
        <is>
          <t>Usulan awal</t>
        </is>
      </c>
    </row>
    <row r="20" ht="15" customHeight="1" s="36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3">
        <f>IF(OR(G20="",H20=""),"",G20*H20)</f>
        <v/>
      </c>
      <c r="J20" s="53">
        <f>IF(I20="","",IF(I20&gt;=20,"Kritis",IF(I20&gt;=10,"Tinggi",IF(I20&gt;=5,"Sedang","Rendah"))))</f>
        <v/>
      </c>
      <c r="K20" s="56" t="n"/>
      <c r="L20" s="56" t="n"/>
      <c r="M20" s="56" t="n"/>
      <c r="N20" s="56" t="n"/>
      <c r="O20" s="57" t="n"/>
      <c r="P20" s="55">
        <f>IF(O20="","",EDATE(O20,12))</f>
        <v/>
      </c>
      <c r="Q20" s="56" t="n"/>
    </row>
    <row r="21" ht="15" customHeight="1" s="36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3">
        <f>IF(OR(G21="",H21=""),"",G21*H21)</f>
        <v/>
      </c>
      <c r="J21" s="53">
        <f>IF(I21="","",IF(I21&gt;=20,"Kritis",IF(I21&gt;=10,"Tinggi",IF(I21&gt;=5,"Sedang","Rendah"))))</f>
        <v/>
      </c>
      <c r="K21" s="56" t="n"/>
      <c r="L21" s="56" t="n"/>
      <c r="M21" s="56" t="n"/>
      <c r="N21" s="56" t="n"/>
      <c r="O21" s="57" t="n"/>
      <c r="P21" s="55">
        <f>IF(O21="","",EDATE(O21,12))</f>
        <v/>
      </c>
      <c r="Q21" s="56" t="n"/>
    </row>
    <row r="22" ht="15" customHeight="1" s="36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3">
        <f>IF(OR(G22="",H22=""),"",G22*H22)</f>
        <v/>
      </c>
      <c r="J22" s="53">
        <f>IF(I22="","",IF(I22&gt;=20,"Kritis",IF(I22&gt;=10,"Tinggi",IF(I22&gt;=5,"Sedang","Rendah"))))</f>
        <v/>
      </c>
      <c r="K22" s="56" t="n"/>
      <c r="L22" s="56" t="n"/>
      <c r="M22" s="56" t="n"/>
      <c r="N22" s="56" t="n"/>
      <c r="O22" s="57" t="n"/>
      <c r="P22" s="55">
        <f>IF(O22="","",EDATE(O22,12))</f>
        <v/>
      </c>
      <c r="Q22" s="56" t="n"/>
    </row>
    <row r="23" ht="15" customHeight="1" s="36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3">
        <f>IF(OR(G23="",H23=""),"",G23*H23)</f>
        <v/>
      </c>
      <c r="J23" s="53">
        <f>IF(I23="","",IF(I23&gt;=20,"Kritis",IF(I23&gt;=10,"Tinggi",IF(I23&gt;=5,"Sedang","Rendah"))))</f>
        <v/>
      </c>
      <c r="K23" s="56" t="n"/>
      <c r="L23" s="56" t="n"/>
      <c r="M23" s="56" t="n"/>
      <c r="N23" s="56" t="n"/>
      <c r="O23" s="57" t="n"/>
      <c r="P23" s="55">
        <f>IF(O23="","",EDATE(O23,12))</f>
        <v/>
      </c>
      <c r="Q23" s="56" t="n"/>
    </row>
    <row r="24" ht="15" customHeight="1" s="36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3">
        <f>IF(OR(G24="",H24=""),"",G24*H24)</f>
        <v/>
      </c>
      <c r="J24" s="53">
        <f>IF(I24="","",IF(I24&gt;=20,"Kritis",IF(I24&gt;=10,"Tinggi",IF(I24&gt;=5,"Sedang","Rendah"))))</f>
        <v/>
      </c>
      <c r="K24" s="56" t="n"/>
      <c r="L24" s="56" t="n"/>
      <c r="M24" s="56" t="n"/>
      <c r="N24" s="56" t="n"/>
      <c r="O24" s="57" t="n"/>
      <c r="P24" s="55">
        <f>IF(O24="","",EDATE(O24,12))</f>
        <v/>
      </c>
      <c r="Q24" s="56" t="n"/>
    </row>
    <row r="25" ht="15" customHeight="1" s="36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3">
        <f>IF(OR(G25="",H25=""),"",G25*H25)</f>
        <v/>
      </c>
      <c r="J25" s="53">
        <f>IF(I25="","",IF(I25&gt;=20,"Kritis",IF(I25&gt;=10,"Tinggi",IF(I25&gt;=5,"Sedang","Rendah"))))</f>
        <v/>
      </c>
      <c r="K25" s="56" t="n"/>
      <c r="L25" s="56" t="n"/>
      <c r="M25" s="56" t="n"/>
      <c r="N25" s="56" t="n"/>
      <c r="O25" s="57" t="n"/>
      <c r="P25" s="55">
        <f>IF(O25="","",EDATE(O25,12))</f>
        <v/>
      </c>
      <c r="Q25" s="56" t="n"/>
    </row>
    <row r="26" ht="15" customHeight="1" s="3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3">
        <f>IF(OR(G26="",H26=""),"",G26*H26)</f>
        <v/>
      </c>
      <c r="J26" s="53">
        <f>IF(I26="","",IF(I26&gt;=20,"Kritis",IF(I26&gt;=10,"Tinggi",IF(I26&gt;=5,"Sedang","Rendah"))))</f>
        <v/>
      </c>
      <c r="K26" s="56" t="n"/>
      <c r="L26" s="56" t="n"/>
      <c r="M26" s="56" t="n"/>
      <c r="N26" s="56" t="n"/>
      <c r="O26" s="57" t="n"/>
      <c r="P26" s="55">
        <f>IF(O26="","",EDATE(O26,12))</f>
        <v/>
      </c>
      <c r="Q26" s="56" t="n"/>
    </row>
    <row r="27" ht="15" customHeight="1" s="36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3">
        <f>IF(OR(G27="",H27=""),"",G27*H27)</f>
        <v/>
      </c>
      <c r="J27" s="53">
        <f>IF(I27="","",IF(I27&gt;=20,"Kritis",IF(I27&gt;=10,"Tinggi",IF(I27&gt;=5,"Sedang","Rendah"))))</f>
        <v/>
      </c>
      <c r="K27" s="56" t="n"/>
      <c r="L27" s="56" t="n"/>
      <c r="M27" s="56" t="n"/>
      <c r="N27" s="56" t="n"/>
      <c r="O27" s="57" t="n"/>
      <c r="P27" s="55">
        <f>IF(O27="","",EDATE(O27,12))</f>
        <v/>
      </c>
      <c r="Q27" s="56" t="n"/>
    </row>
    <row r="28" ht="15" customHeight="1" s="36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3">
        <f>IF(OR(G28="",H28=""),"",G28*H28)</f>
        <v/>
      </c>
      <c r="J28" s="53">
        <f>IF(I28="","",IF(I28&gt;=20,"Kritis",IF(I28&gt;=10,"Tinggi",IF(I28&gt;=5,"Sedang","Rendah"))))</f>
        <v/>
      </c>
      <c r="K28" s="56" t="n"/>
      <c r="L28" s="56" t="n"/>
      <c r="M28" s="56" t="n"/>
      <c r="N28" s="56" t="n"/>
      <c r="O28" s="57" t="n"/>
      <c r="P28" s="55">
        <f>IF(O28="","",EDATE(O28,12))</f>
        <v/>
      </c>
      <c r="Q28" s="56" t="n"/>
    </row>
    <row r="29" ht="15" customHeight="1" s="36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3">
        <f>IF(OR(G29="",H29=""),"",G29*H29)</f>
        <v/>
      </c>
      <c r="J29" s="53">
        <f>IF(I29="","",IF(I29&gt;=20,"Kritis",IF(I29&gt;=10,"Tinggi",IF(I29&gt;=5,"Sedang","Rendah"))))</f>
        <v/>
      </c>
      <c r="K29" s="56" t="n"/>
      <c r="L29" s="56" t="n"/>
      <c r="M29" s="56" t="n"/>
      <c r="N29" s="56" t="n"/>
      <c r="O29" s="57" t="n"/>
      <c r="P29" s="55">
        <f>IF(O29="","",EDATE(O29,12))</f>
        <v/>
      </c>
      <c r="Q29" s="56" t="n"/>
    </row>
    <row r="30" ht="15" customHeight="1" s="36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3">
        <f>IF(OR(G30="",H30=""),"",G30*H30)</f>
        <v/>
      </c>
      <c r="J30" s="53">
        <f>IF(I30="","",IF(I30&gt;=20,"Kritis",IF(I30&gt;=10,"Tinggi",IF(I30&gt;=5,"Sedang","Rendah"))))</f>
        <v/>
      </c>
      <c r="K30" s="56" t="n"/>
      <c r="L30" s="56" t="n"/>
      <c r="M30" s="56" t="n"/>
      <c r="N30" s="56" t="n"/>
      <c r="O30" s="57" t="n"/>
      <c r="P30" s="55">
        <f>IF(O30="","",EDATE(O30,12))</f>
        <v/>
      </c>
      <c r="Q30" s="56" t="n"/>
    </row>
    <row r="31" ht="15" customHeight="1" s="36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3">
        <f>IF(OR(G31="",H31=""),"",G31*H31)</f>
        <v/>
      </c>
      <c r="J31" s="53">
        <f>IF(I31="","",IF(I31&gt;=20,"Kritis",IF(I31&gt;=10,"Tinggi",IF(I31&gt;=5,"Sedang","Rendah"))))</f>
        <v/>
      </c>
      <c r="K31" s="56" t="n"/>
      <c r="L31" s="56" t="n"/>
      <c r="M31" s="56" t="n"/>
      <c r="N31" s="56" t="n"/>
      <c r="O31" s="57" t="n"/>
      <c r="P31" s="55">
        <f>IF(O31="","",EDATE(O31,12))</f>
        <v/>
      </c>
      <c r="Q31" s="56" t="n"/>
    </row>
    <row r="32" ht="15" customHeight="1" s="36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3">
        <f>IF(OR(G32="",H32=""),"",G32*H32)</f>
        <v/>
      </c>
      <c r="J32" s="53">
        <f>IF(I32="","",IF(I32&gt;=20,"Kritis",IF(I32&gt;=10,"Tinggi",IF(I32&gt;=5,"Sedang","Rendah"))))</f>
        <v/>
      </c>
      <c r="K32" s="56" t="n"/>
      <c r="L32" s="56" t="n"/>
      <c r="M32" s="56" t="n"/>
      <c r="N32" s="56" t="n"/>
      <c r="O32" s="57" t="n"/>
      <c r="P32" s="55">
        <f>IF(O32="","",EDATE(O32,12))</f>
        <v/>
      </c>
      <c r="Q32" s="56" t="n"/>
    </row>
    <row r="33" ht="15" customHeight="1" s="36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3">
        <f>IF(OR(G33="",H33=""),"",G33*H33)</f>
        <v/>
      </c>
      <c r="J33" s="53">
        <f>IF(I33="","",IF(I33&gt;=20,"Kritis",IF(I33&gt;=10,"Tinggi",IF(I33&gt;=5,"Sedang","Rendah"))))</f>
        <v/>
      </c>
      <c r="K33" s="56" t="n"/>
      <c r="L33" s="56" t="n"/>
      <c r="M33" s="56" t="n"/>
      <c r="N33" s="56" t="n"/>
      <c r="O33" s="57" t="n"/>
      <c r="P33" s="55">
        <f>IF(O33="","",EDATE(O33,12))</f>
        <v/>
      </c>
      <c r="Q33" s="56" t="n"/>
    </row>
    <row r="34" ht="15" customHeight="1" s="36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3">
        <f>IF(OR(G34="",H34=""),"",G34*H34)</f>
        <v/>
      </c>
      <c r="J34" s="53">
        <f>IF(I34="","",IF(I34&gt;=20,"Kritis",IF(I34&gt;=10,"Tinggi",IF(I34&gt;=5,"Sedang","Rendah"))))</f>
        <v/>
      </c>
      <c r="K34" s="56" t="n"/>
      <c r="L34" s="56" t="n"/>
      <c r="M34" s="56" t="n"/>
      <c r="N34" s="56" t="n"/>
      <c r="O34" s="57" t="n"/>
      <c r="P34" s="55">
        <f>IF(O34="","",EDATE(O34,12))</f>
        <v/>
      </c>
      <c r="Q34" s="56" t="n"/>
    </row>
    <row r="35" ht="15" customHeight="1" s="36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3">
        <f>IF(OR(G35="",H35=""),"",G35*H35)</f>
        <v/>
      </c>
      <c r="J35" s="53">
        <f>IF(I35="","",IF(I35&gt;=20,"Kritis",IF(I35&gt;=10,"Tinggi",IF(I35&gt;=5,"Sedang","Rendah"))))</f>
        <v/>
      </c>
      <c r="K35" s="56" t="n"/>
      <c r="L35" s="56" t="n"/>
      <c r="M35" s="56" t="n"/>
      <c r="N35" s="56" t="n"/>
      <c r="O35" s="57" t="n"/>
      <c r="P35" s="55">
        <f>IF(O35="","",EDATE(O35,12))</f>
        <v/>
      </c>
      <c r="Q35" s="56" t="n"/>
    </row>
    <row r="36" ht="15" customHeight="1" s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3">
        <f>IF(OR(G36="",H36=""),"",G36*H36)</f>
        <v/>
      </c>
      <c r="J36" s="53">
        <f>IF(I36="","",IF(I36&gt;=20,"Kritis",IF(I36&gt;=10,"Tinggi",IF(I36&gt;=5,"Sedang","Rendah"))))</f>
        <v/>
      </c>
      <c r="K36" s="56" t="n"/>
      <c r="L36" s="56" t="n"/>
      <c r="M36" s="56" t="n"/>
      <c r="N36" s="56" t="n"/>
      <c r="O36" s="57" t="n"/>
      <c r="P36" s="55">
        <f>IF(O36="","",EDATE(O36,12))</f>
        <v/>
      </c>
      <c r="Q36" s="56" t="n"/>
    </row>
    <row r="37" ht="15" customHeight="1" s="36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3">
        <f>IF(OR(G37="",H37=""),"",G37*H37)</f>
        <v/>
      </c>
      <c r="J37" s="53">
        <f>IF(I37="","",IF(I37&gt;=20,"Kritis",IF(I37&gt;=10,"Tinggi",IF(I37&gt;=5,"Sedang","Rendah"))))</f>
        <v/>
      </c>
      <c r="K37" s="56" t="n"/>
      <c r="L37" s="56" t="n"/>
      <c r="M37" s="56" t="n"/>
      <c r="N37" s="56" t="n"/>
      <c r="O37" s="57" t="n"/>
      <c r="P37" s="55">
        <f>IF(O37="","",EDATE(O37,12))</f>
        <v/>
      </c>
      <c r="Q37" s="56" t="n"/>
    </row>
    <row r="38" ht="15" customHeight="1" s="36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3">
        <f>IF(OR(G38="",H38=""),"",G38*H38)</f>
        <v/>
      </c>
      <c r="J38" s="53">
        <f>IF(I38="","",IF(I38&gt;=20,"Kritis",IF(I38&gt;=10,"Tinggi",IF(I38&gt;=5,"Sedang","Rendah"))))</f>
        <v/>
      </c>
      <c r="K38" s="56" t="n"/>
      <c r="L38" s="56" t="n"/>
      <c r="M38" s="56" t="n"/>
      <c r="N38" s="56" t="n"/>
      <c r="O38" s="57" t="n"/>
      <c r="P38" s="55">
        <f>IF(O38="","",EDATE(O38,12))</f>
        <v/>
      </c>
      <c r="Q38" s="56" t="n"/>
    </row>
    <row r="39" ht="15" customHeight="1" s="36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3">
        <f>IF(OR(G39="",H39=""),"",G39*H39)</f>
        <v/>
      </c>
      <c r="J39" s="53">
        <f>IF(I39="","",IF(I39&gt;=20,"Kritis",IF(I39&gt;=10,"Tinggi",IF(I39&gt;=5,"Sedang","Rendah"))))</f>
        <v/>
      </c>
      <c r="K39" s="56" t="n"/>
      <c r="L39" s="56" t="n"/>
      <c r="M39" s="56" t="n"/>
      <c r="N39" s="56" t="n"/>
      <c r="O39" s="57" t="n"/>
      <c r="P39" s="55">
        <f>IF(O39="","",EDATE(O39,12))</f>
        <v/>
      </c>
      <c r="Q39" s="56" t="n"/>
    </row>
    <row r="40" ht="15" customHeight="1" s="36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3">
        <f>IF(OR(G40="",H40=""),"",G40*H40)</f>
        <v/>
      </c>
      <c r="J40" s="53">
        <f>IF(I40="","",IF(I40&gt;=20,"Kritis",IF(I40&gt;=10,"Tinggi",IF(I40&gt;=5,"Sedang","Rendah"))))</f>
        <v/>
      </c>
      <c r="K40" s="56" t="n"/>
      <c r="L40" s="56" t="n"/>
      <c r="M40" s="56" t="n"/>
      <c r="N40" s="56" t="n"/>
      <c r="O40" s="57" t="n"/>
      <c r="P40" s="55">
        <f>IF(O40="","",EDATE(O40,12))</f>
        <v/>
      </c>
      <c r="Q40" s="56" t="n"/>
    </row>
    <row r="41" ht="15" customHeight="1" s="36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3">
        <f>IF(OR(G41="",H41=""),"",G41*H41)</f>
        <v/>
      </c>
      <c r="J41" s="53">
        <f>IF(I41="","",IF(I41&gt;=20,"Kritis",IF(I41&gt;=10,"Tinggi",IF(I41&gt;=5,"Sedang","Rendah"))))</f>
        <v/>
      </c>
      <c r="K41" s="56" t="n"/>
      <c r="L41" s="56" t="n"/>
      <c r="M41" s="56" t="n"/>
      <c r="N41" s="56" t="n"/>
      <c r="O41" s="57" t="n"/>
      <c r="P41" s="55">
        <f>IF(O41="","",EDATE(O41,12))</f>
        <v/>
      </c>
      <c r="Q41" s="56" t="n"/>
    </row>
    <row r="42" ht="15" customHeight="1" s="36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3">
        <f>IF(OR(G42="",H42=""),"",G42*H42)</f>
        <v/>
      </c>
      <c r="J42" s="53">
        <f>IF(I42="","",IF(I42&gt;=20,"Kritis",IF(I42&gt;=10,"Tinggi",IF(I42&gt;=5,"Sedang","Rendah"))))</f>
        <v/>
      </c>
      <c r="K42" s="56" t="n"/>
      <c r="L42" s="56" t="n"/>
      <c r="M42" s="56" t="n"/>
      <c r="N42" s="56" t="n"/>
      <c r="O42" s="57" t="n"/>
      <c r="P42" s="55">
        <f>IF(O42="","",EDATE(O42,12))</f>
        <v/>
      </c>
      <c r="Q42" s="56" t="n"/>
    </row>
    <row r="43" ht="15" customHeight="1" s="36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3">
        <f>IF(OR(G43="",H43=""),"",G43*H43)</f>
        <v/>
      </c>
      <c r="J43" s="53">
        <f>IF(I43="","",IF(I43&gt;=20,"Kritis",IF(I43&gt;=10,"Tinggi",IF(I43&gt;=5,"Sedang","Rendah"))))</f>
        <v/>
      </c>
      <c r="K43" s="56" t="n"/>
      <c r="L43" s="56" t="n"/>
      <c r="M43" s="56" t="n"/>
      <c r="N43" s="56" t="n"/>
      <c r="O43" s="57" t="n"/>
      <c r="P43" s="55">
        <f>IF(O43="","",EDATE(O43,12))</f>
        <v/>
      </c>
      <c r="Q43" s="56" t="n"/>
    </row>
    <row r="44" ht="15" customHeight="1" s="36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3">
        <f>IF(OR(G44="",H44=""),"",G44*H44)</f>
        <v/>
      </c>
      <c r="J44" s="53">
        <f>IF(I44="","",IF(I44&gt;=20,"Kritis",IF(I44&gt;=10,"Tinggi",IF(I44&gt;=5,"Sedang","Rendah"))))</f>
        <v/>
      </c>
      <c r="K44" s="56" t="n"/>
      <c r="L44" s="56" t="n"/>
      <c r="M44" s="56" t="n"/>
      <c r="N44" s="56" t="n"/>
      <c r="O44" s="57" t="n"/>
      <c r="P44" s="55">
        <f>IF(O44="","",EDATE(O44,12))</f>
        <v/>
      </c>
      <c r="Q44" s="56" t="n"/>
    </row>
    <row r="45" ht="15" customHeight="1" s="36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3">
        <f>IF(OR(G45="",H45=""),"",G45*H45)</f>
        <v/>
      </c>
      <c r="J45" s="53">
        <f>IF(I45="","",IF(I45&gt;=20,"Kritis",IF(I45&gt;=10,"Tinggi",IF(I45&gt;=5,"Sedang","Rendah"))))</f>
        <v/>
      </c>
      <c r="K45" s="56" t="n"/>
      <c r="L45" s="56" t="n"/>
      <c r="M45" s="56" t="n"/>
      <c r="N45" s="56" t="n"/>
      <c r="O45" s="57" t="n"/>
      <c r="P45" s="55">
        <f>IF(O45="","",EDATE(O45,12))</f>
        <v/>
      </c>
      <c r="Q45" s="56" t="n"/>
    </row>
    <row r="46" ht="15" customHeight="1" s="3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3">
        <f>IF(OR(G46="",H46=""),"",G46*H46)</f>
        <v/>
      </c>
      <c r="J46" s="53">
        <f>IF(I46="","",IF(I46&gt;=20,"Kritis",IF(I46&gt;=10,"Tinggi",IF(I46&gt;=5,"Sedang","Rendah"))))</f>
        <v/>
      </c>
      <c r="K46" s="56" t="n"/>
      <c r="L46" s="56" t="n"/>
      <c r="M46" s="56" t="n"/>
      <c r="N46" s="56" t="n"/>
      <c r="O46" s="57" t="n"/>
      <c r="P46" s="55">
        <f>IF(O46="","",EDATE(O46,12))</f>
        <v/>
      </c>
      <c r="Q46" s="56" t="n"/>
    </row>
    <row r="47" ht="15" customHeight="1" s="36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3">
        <f>IF(OR(G47="",H47=""),"",G47*H47)</f>
        <v/>
      </c>
      <c r="J47" s="53">
        <f>IF(I47="","",IF(I47&gt;=20,"Kritis",IF(I47&gt;=10,"Tinggi",IF(I47&gt;=5,"Sedang","Rendah"))))</f>
        <v/>
      </c>
      <c r="K47" s="56" t="n"/>
      <c r="L47" s="56" t="n"/>
      <c r="M47" s="56" t="n"/>
      <c r="N47" s="56" t="n"/>
      <c r="O47" s="57" t="n"/>
      <c r="P47" s="55">
        <f>IF(O47="","",EDATE(O47,12))</f>
        <v/>
      </c>
      <c r="Q47" s="56" t="n"/>
    </row>
    <row r="48" ht="15" customHeight="1" s="36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3">
        <f>IF(OR(G48="",H48=""),"",G48*H48)</f>
        <v/>
      </c>
      <c r="J48" s="53">
        <f>IF(I48="","",IF(I48&gt;=20,"Kritis",IF(I48&gt;=10,"Tinggi",IF(I48&gt;=5,"Sedang","Rendah"))))</f>
        <v/>
      </c>
      <c r="K48" s="56" t="n"/>
      <c r="L48" s="56" t="n"/>
      <c r="M48" s="56" t="n"/>
      <c r="N48" s="56" t="n"/>
      <c r="O48" s="57" t="n"/>
      <c r="P48" s="55">
        <f>IF(O48="","",EDATE(O48,12))</f>
        <v/>
      </c>
      <c r="Q48" s="56" t="n"/>
    </row>
    <row r="49" ht="15" customHeight="1" s="36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3">
        <f>IF(OR(G49="",H49=""),"",G49*H49)</f>
        <v/>
      </c>
      <c r="J49" s="53">
        <f>IF(I49="","",IF(I49&gt;=20,"Kritis",IF(I49&gt;=10,"Tinggi",IF(I49&gt;=5,"Sedang","Rendah"))))</f>
        <v/>
      </c>
      <c r="K49" s="56" t="n"/>
      <c r="L49" s="56" t="n"/>
      <c r="M49" s="56" t="n"/>
      <c r="N49" s="56" t="n"/>
      <c r="O49" s="57" t="n"/>
      <c r="P49" s="55">
        <f>IF(O49="","",EDATE(O49,12))</f>
        <v/>
      </c>
      <c r="Q49" s="56" t="n"/>
    </row>
    <row r="50" ht="15" customHeight="1" s="36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3">
        <f>IF(OR(G50="",H50=""),"",G50*H50)</f>
        <v/>
      </c>
      <c r="J50" s="53">
        <f>IF(I50="","",IF(I50&gt;=20,"Kritis",IF(I50&gt;=10,"Tinggi",IF(I50&gt;=5,"Sedang","Rendah"))))</f>
        <v/>
      </c>
      <c r="K50" s="56" t="n"/>
      <c r="L50" s="56" t="n"/>
      <c r="M50" s="56" t="n"/>
      <c r="N50" s="56" t="n"/>
      <c r="O50" s="57" t="n"/>
      <c r="P50" s="55">
        <f>IF(O50="","",EDATE(O50,12))</f>
        <v/>
      </c>
      <c r="Q50" s="56" t="n"/>
    </row>
    <row r="51" ht="15" customHeight="1" s="36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3">
        <f>IF(OR(G51="",H51=""),"",G51*H51)</f>
        <v/>
      </c>
      <c r="J51" s="53">
        <f>IF(I51="","",IF(I51&gt;=20,"Kritis",IF(I51&gt;=10,"Tinggi",IF(I51&gt;=5,"Sedang","Rendah"))))</f>
        <v/>
      </c>
      <c r="K51" s="56" t="n"/>
      <c r="L51" s="56" t="n"/>
      <c r="M51" s="56" t="n"/>
      <c r="N51" s="56" t="n"/>
      <c r="O51" s="57" t="n"/>
      <c r="P51" s="55">
        <f>IF(O51="","",EDATE(O51,12))</f>
        <v/>
      </c>
      <c r="Q51" s="56" t="n"/>
    </row>
    <row r="52" ht="15" customHeight="1" s="36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3">
        <f>IF(OR(G52="",H52=""),"",G52*H52)</f>
        <v/>
      </c>
      <c r="J52" s="53">
        <f>IF(I52="","",IF(I52&gt;=20,"Kritis",IF(I52&gt;=10,"Tinggi",IF(I52&gt;=5,"Sedang","Rendah"))))</f>
        <v/>
      </c>
      <c r="K52" s="56" t="n"/>
      <c r="L52" s="56" t="n"/>
      <c r="M52" s="56" t="n"/>
      <c r="N52" s="56" t="n"/>
      <c r="O52" s="57" t="n"/>
      <c r="P52" s="55">
        <f>IF(O52="","",EDATE(O52,12))</f>
        <v/>
      </c>
      <c r="Q52" s="56" t="n"/>
    </row>
    <row r="53" ht="15" customHeight="1" s="36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3">
        <f>IF(OR(G53="",H53=""),"",G53*H53)</f>
        <v/>
      </c>
      <c r="J53" s="53">
        <f>IF(I53="","",IF(I53&gt;=20,"Kritis",IF(I53&gt;=10,"Tinggi",IF(I53&gt;=5,"Sedang","Rendah"))))</f>
        <v/>
      </c>
      <c r="K53" s="56" t="n"/>
      <c r="L53" s="56" t="n"/>
      <c r="M53" s="56" t="n"/>
      <c r="N53" s="56" t="n"/>
      <c r="O53" s="57" t="n"/>
      <c r="P53" s="55">
        <f>IF(O53="","",EDATE(O53,12))</f>
        <v/>
      </c>
      <c r="Q53" s="56" t="n"/>
    </row>
    <row r="54" ht="15" customHeight="1" s="36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3">
        <f>IF(OR(G54="",H54=""),"",G54*H54)</f>
        <v/>
      </c>
      <c r="J54" s="53">
        <f>IF(I54="","",IF(I54&gt;=20,"Kritis",IF(I54&gt;=10,"Tinggi",IF(I54&gt;=5,"Sedang","Rendah"))))</f>
        <v/>
      </c>
      <c r="K54" s="56" t="n"/>
      <c r="L54" s="56" t="n"/>
      <c r="M54" s="56" t="n"/>
      <c r="N54" s="56" t="n"/>
      <c r="O54" s="57" t="n"/>
      <c r="P54" s="55">
        <f>IF(O54="","",EDATE(O54,12))</f>
        <v/>
      </c>
      <c r="Q54" s="56" t="n"/>
    </row>
    <row r="55" ht="15" customHeight="1" s="36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3">
        <f>IF(OR(G55="",H55=""),"",G55*H55)</f>
        <v/>
      </c>
      <c r="J55" s="53">
        <f>IF(I55="","",IF(I55&gt;=20,"Kritis",IF(I55&gt;=10,"Tinggi",IF(I55&gt;=5,"Sedang","Rendah"))))</f>
        <v/>
      </c>
      <c r="K55" s="56" t="n"/>
      <c r="L55" s="56" t="n"/>
      <c r="M55" s="56" t="n"/>
      <c r="N55" s="56" t="n"/>
      <c r="O55" s="57" t="n"/>
      <c r="P55" s="55">
        <f>IF(O55="","",EDATE(O55,12))</f>
        <v/>
      </c>
      <c r="Q55" s="56" t="n"/>
    </row>
    <row r="56" ht="15" customHeight="1" s="3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3">
        <f>IF(OR(G56="",H56=""),"",G56*H56)</f>
        <v/>
      </c>
      <c r="J56" s="53">
        <f>IF(I56="","",IF(I56&gt;=20,"Kritis",IF(I56&gt;=10,"Tinggi",IF(I56&gt;=5,"Sedang","Rendah"))))</f>
        <v/>
      </c>
      <c r="K56" s="56" t="n"/>
      <c r="L56" s="56" t="n"/>
      <c r="M56" s="56" t="n"/>
      <c r="N56" s="56" t="n"/>
      <c r="O56" s="57" t="n"/>
      <c r="P56" s="55">
        <f>IF(O56="","",EDATE(O56,12))</f>
        <v/>
      </c>
      <c r="Q56" s="56" t="n"/>
    </row>
    <row r="57" ht="15" customHeight="1" s="36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3">
        <f>IF(OR(G57="",H57=""),"",G57*H57)</f>
        <v/>
      </c>
      <c r="J57" s="53">
        <f>IF(I57="","",IF(I57&gt;=20,"Kritis",IF(I57&gt;=10,"Tinggi",IF(I57&gt;=5,"Sedang","Rendah"))))</f>
        <v/>
      </c>
      <c r="K57" s="56" t="n"/>
      <c r="L57" s="56" t="n"/>
      <c r="M57" s="56" t="n"/>
      <c r="N57" s="56" t="n"/>
      <c r="O57" s="57" t="n"/>
      <c r="P57" s="55">
        <f>IF(O57="","",EDATE(O57,12))</f>
        <v/>
      </c>
      <c r="Q57" s="56" t="n"/>
    </row>
    <row r="58" ht="15" customHeight="1" s="36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3">
        <f>IF(OR(G58="",H58=""),"",G58*H58)</f>
        <v/>
      </c>
      <c r="J58" s="53">
        <f>IF(I58="","",IF(I58&gt;=20,"Kritis",IF(I58&gt;=10,"Tinggi",IF(I58&gt;=5,"Sedang","Rendah"))))</f>
        <v/>
      </c>
      <c r="K58" s="56" t="n"/>
      <c r="L58" s="56" t="n"/>
      <c r="M58" s="56" t="n"/>
      <c r="N58" s="56" t="n"/>
      <c r="O58" s="57" t="n"/>
      <c r="P58" s="55">
        <f>IF(O58="","",EDATE(O58,12))</f>
        <v/>
      </c>
      <c r="Q58" s="56" t="n"/>
    </row>
    <row r="59" ht="15" customHeight="1" s="36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3">
        <f>IF(OR(G59="",H59=""),"",G59*H59)</f>
        <v/>
      </c>
      <c r="J59" s="53">
        <f>IF(I59="","",IF(I59&gt;=20,"Kritis",IF(I59&gt;=10,"Tinggi",IF(I59&gt;=5,"Sedang","Rendah"))))</f>
        <v/>
      </c>
      <c r="K59" s="56" t="n"/>
      <c r="L59" s="56" t="n"/>
      <c r="M59" s="56" t="n"/>
      <c r="N59" s="56" t="n"/>
      <c r="O59" s="57" t="n"/>
      <c r="P59" s="55">
        <f>IF(O59="","",EDATE(O59,12))</f>
        <v/>
      </c>
      <c r="Q59" s="56" t="n"/>
    </row>
    <row r="60" ht="15" customHeight="1" s="36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3">
        <f>IF(OR(G60="",H60=""),"",G60*H60)</f>
        <v/>
      </c>
      <c r="J60" s="53">
        <f>IF(I60="","",IF(I60&gt;=20,"Kritis",IF(I60&gt;=10,"Tinggi",IF(I60&gt;=5,"Sedang","Rendah"))))</f>
        <v/>
      </c>
      <c r="K60" s="56" t="n"/>
      <c r="L60" s="56" t="n"/>
      <c r="M60" s="56" t="n"/>
      <c r="N60" s="56" t="n"/>
      <c r="O60" s="57" t="n"/>
      <c r="P60" s="55">
        <f>IF(O60="","",EDATE(O60,12))</f>
        <v/>
      </c>
      <c r="Q60" s="56" t="n"/>
    </row>
    <row r="61" ht="15" customHeight="1" s="36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3">
        <f>IF(OR(G61="",H61=""),"",G61*H61)</f>
        <v/>
      </c>
      <c r="J61" s="53">
        <f>IF(I61="","",IF(I61&gt;=20,"Kritis",IF(I61&gt;=10,"Tinggi",IF(I61&gt;=5,"Sedang","Rendah"))))</f>
        <v/>
      </c>
      <c r="K61" s="56" t="n"/>
      <c r="L61" s="56" t="n"/>
      <c r="M61" s="56" t="n"/>
      <c r="N61" s="56" t="n"/>
      <c r="O61" s="57" t="n"/>
      <c r="P61" s="55">
        <f>IF(O61="","",EDATE(O61,12))</f>
        <v/>
      </c>
      <c r="Q61" s="56" t="n"/>
    </row>
    <row r="62" ht="15" customHeight="1" s="36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3">
        <f>IF(OR(G62="",H62=""),"",G62*H62)</f>
        <v/>
      </c>
      <c r="J62" s="53">
        <f>IF(I62="","",IF(I62&gt;=20,"Kritis",IF(I62&gt;=10,"Tinggi",IF(I62&gt;=5,"Sedang","Rendah"))))</f>
        <v/>
      </c>
      <c r="K62" s="56" t="n"/>
      <c r="L62" s="56" t="n"/>
      <c r="M62" s="56" t="n"/>
      <c r="N62" s="56" t="n"/>
      <c r="O62" s="57" t="n"/>
      <c r="P62" s="55">
        <f>IF(O62="","",EDATE(O62,12))</f>
        <v/>
      </c>
      <c r="Q62" s="56" t="n"/>
    </row>
    <row r="63" ht="15" customHeight="1" s="36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3">
        <f>IF(OR(G63="",H63=""),"",G63*H63)</f>
        <v/>
      </c>
      <c r="J63" s="53">
        <f>IF(I63="","",IF(I63&gt;=20,"Kritis",IF(I63&gt;=10,"Tinggi",IF(I63&gt;=5,"Sedang","Rendah"))))</f>
        <v/>
      </c>
      <c r="K63" s="56" t="n"/>
      <c r="L63" s="56" t="n"/>
      <c r="M63" s="56" t="n"/>
      <c r="N63" s="56" t="n"/>
      <c r="O63" s="57" t="n"/>
      <c r="P63" s="55">
        <f>IF(O63="","",EDATE(O63,12))</f>
        <v/>
      </c>
      <c r="Q63" s="56" t="n"/>
    </row>
    <row r="64" ht="15" customHeight="1" s="36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3">
        <f>IF(OR(G64="",H64=""),"",G64*H64)</f>
        <v/>
      </c>
      <c r="J64" s="53">
        <f>IF(I64="","",IF(I64&gt;=20,"Kritis",IF(I64&gt;=10,"Tinggi",IF(I64&gt;=5,"Sedang","Rendah"))))</f>
        <v/>
      </c>
      <c r="K64" s="56" t="n"/>
      <c r="L64" s="56" t="n"/>
      <c r="M64" s="56" t="n"/>
      <c r="N64" s="56" t="n"/>
      <c r="O64" s="57" t="n"/>
      <c r="P64" s="55">
        <f>IF(O64="","",EDATE(O64,12))</f>
        <v/>
      </c>
      <c r="Q64" s="56" t="n"/>
    </row>
    <row r="65" ht="15" customHeight="1" s="36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3">
        <f>IF(OR(G65="",H65=""),"",G65*H65)</f>
        <v/>
      </c>
      <c r="J65" s="53">
        <f>IF(I65="","",IF(I65&gt;=20,"Kritis",IF(I65&gt;=10,"Tinggi",IF(I65&gt;=5,"Sedang","Rendah"))))</f>
        <v/>
      </c>
      <c r="K65" s="56" t="n"/>
      <c r="L65" s="56" t="n"/>
      <c r="M65" s="56" t="n"/>
      <c r="N65" s="56" t="n"/>
      <c r="O65" s="57" t="n"/>
      <c r="P65" s="55">
        <f>IF(O65="","",EDATE(O65,12))</f>
        <v/>
      </c>
      <c r="Q65" s="56" t="n"/>
    </row>
    <row r="66" ht="15" customHeight="1" s="3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3">
        <f>IF(OR(G66="",H66=""),"",G66*H66)</f>
        <v/>
      </c>
      <c r="J66" s="53">
        <f>IF(I66="","",IF(I66&gt;=20,"Kritis",IF(I66&gt;=10,"Tinggi",IF(I66&gt;=5,"Sedang","Rendah"))))</f>
        <v/>
      </c>
      <c r="K66" s="56" t="n"/>
      <c r="L66" s="56" t="n"/>
      <c r="M66" s="56" t="n"/>
      <c r="N66" s="56" t="n"/>
      <c r="O66" s="57" t="n"/>
      <c r="P66" s="55">
        <f>IF(O66="","",EDATE(O66,12))</f>
        <v/>
      </c>
      <c r="Q66" s="56" t="n"/>
    </row>
    <row r="67" ht="15" customHeight="1" s="36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3">
        <f>IF(OR(G67="",H67=""),"",G67*H67)</f>
        <v/>
      </c>
      <c r="J67" s="53">
        <f>IF(I67="","",IF(I67&gt;=20,"Kritis",IF(I67&gt;=10,"Tinggi",IF(I67&gt;=5,"Sedang","Rendah"))))</f>
        <v/>
      </c>
      <c r="K67" s="56" t="n"/>
      <c r="L67" s="56" t="n"/>
      <c r="M67" s="56" t="n"/>
      <c r="N67" s="56" t="n"/>
      <c r="O67" s="57" t="n"/>
      <c r="P67" s="55">
        <f>IF(O67="","",EDATE(O67,12))</f>
        <v/>
      </c>
      <c r="Q67" s="56" t="n"/>
    </row>
    <row r="68" ht="15" customHeight="1" s="36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3">
        <f>IF(OR(G68="",H68=""),"",G68*H68)</f>
        <v/>
      </c>
      <c r="J68" s="53">
        <f>IF(I68="","",IF(I68&gt;=20,"Kritis",IF(I68&gt;=10,"Tinggi",IF(I68&gt;=5,"Sedang","Rendah"))))</f>
        <v/>
      </c>
      <c r="K68" s="56" t="n"/>
      <c r="L68" s="56" t="n"/>
      <c r="M68" s="56" t="n"/>
      <c r="N68" s="56" t="n"/>
      <c r="O68" s="57" t="n"/>
      <c r="P68" s="55">
        <f>IF(O68="","",EDATE(O68,12))</f>
        <v/>
      </c>
      <c r="Q68" s="56" t="n"/>
    </row>
    <row r="69" ht="15" customHeight="1" s="36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3">
        <f>IF(OR(G69="",H69=""),"",G69*H69)</f>
        <v/>
      </c>
      <c r="J69" s="53">
        <f>IF(I69="","",IF(I69&gt;=20,"Kritis",IF(I69&gt;=10,"Tinggi",IF(I69&gt;=5,"Sedang","Rendah"))))</f>
        <v/>
      </c>
      <c r="K69" s="56" t="n"/>
      <c r="L69" s="56" t="n"/>
      <c r="M69" s="56" t="n"/>
      <c r="N69" s="56" t="n"/>
      <c r="O69" s="57" t="n"/>
      <c r="P69" s="55">
        <f>IF(O69="","",EDATE(O69,12))</f>
        <v/>
      </c>
      <c r="Q69" s="56" t="n"/>
    </row>
    <row r="70" ht="15" customHeight="1" s="36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3">
        <f>IF(OR(G70="",H70=""),"",G70*H70)</f>
        <v/>
      </c>
      <c r="J70" s="53">
        <f>IF(I70="","",IF(I70&gt;=20,"Kritis",IF(I70&gt;=10,"Tinggi",IF(I70&gt;=5,"Sedang","Rendah"))))</f>
        <v/>
      </c>
      <c r="K70" s="56" t="n"/>
      <c r="L70" s="56" t="n"/>
      <c r="M70" s="56" t="n"/>
      <c r="N70" s="56" t="n"/>
      <c r="O70" s="57" t="n"/>
      <c r="P70" s="55">
        <f>IF(O70="","",EDATE(O70,12))</f>
        <v/>
      </c>
      <c r="Q70" s="56" t="n"/>
    </row>
    <row r="71" ht="15" customHeight="1" s="36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3">
        <f>IF(OR(G71="",H71=""),"",G71*H71)</f>
        <v/>
      </c>
      <c r="J71" s="53">
        <f>IF(I71="","",IF(I71&gt;=20,"Kritis",IF(I71&gt;=10,"Tinggi",IF(I71&gt;=5,"Sedang","Rendah"))))</f>
        <v/>
      </c>
      <c r="K71" s="56" t="n"/>
      <c r="L71" s="56" t="n"/>
      <c r="M71" s="56" t="n"/>
      <c r="N71" s="56" t="n"/>
      <c r="O71" s="57" t="n"/>
      <c r="P71" s="55">
        <f>IF(O71="","",EDATE(O71,12))</f>
        <v/>
      </c>
      <c r="Q71" s="56" t="n"/>
    </row>
    <row r="72" ht="15" customHeight="1" s="36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3">
        <f>IF(OR(G72="",H72=""),"",G72*H72)</f>
        <v/>
      </c>
      <c r="J72" s="53">
        <f>IF(I72="","",IF(I72&gt;=20,"Kritis",IF(I72&gt;=10,"Tinggi",IF(I72&gt;=5,"Sedang","Rendah"))))</f>
        <v/>
      </c>
      <c r="K72" s="56" t="n"/>
      <c r="L72" s="56" t="n"/>
      <c r="M72" s="56" t="n"/>
      <c r="N72" s="56" t="n"/>
      <c r="O72" s="57" t="n"/>
      <c r="P72" s="55">
        <f>IF(O72="","",EDATE(O72,12))</f>
        <v/>
      </c>
      <c r="Q72" s="56" t="n"/>
    </row>
    <row r="73" ht="15" customHeight="1" s="36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3">
        <f>IF(OR(G73="",H73=""),"",G73*H73)</f>
        <v/>
      </c>
      <c r="J73" s="53">
        <f>IF(I73="","",IF(I73&gt;=20,"Kritis",IF(I73&gt;=10,"Tinggi",IF(I73&gt;=5,"Sedang","Rendah"))))</f>
        <v/>
      </c>
      <c r="K73" s="56" t="n"/>
      <c r="L73" s="56" t="n"/>
      <c r="M73" s="56" t="n"/>
      <c r="N73" s="56" t="n"/>
      <c r="O73" s="57" t="n"/>
      <c r="P73" s="55">
        <f>IF(O73="","",EDATE(O73,12))</f>
        <v/>
      </c>
      <c r="Q73" s="56" t="n"/>
    </row>
    <row r="74" ht="15" customHeight="1" s="36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3">
        <f>IF(OR(G74="",H74=""),"",G74*H74)</f>
        <v/>
      </c>
      <c r="J74" s="53">
        <f>IF(I74="","",IF(I74&gt;=20,"Kritis",IF(I74&gt;=10,"Tinggi",IF(I74&gt;=5,"Sedang","Rendah"))))</f>
        <v/>
      </c>
      <c r="K74" s="56" t="n"/>
      <c r="L74" s="56" t="n"/>
      <c r="M74" s="56" t="n"/>
      <c r="N74" s="56" t="n"/>
      <c r="O74" s="57" t="n"/>
      <c r="P74" s="55">
        <f>IF(O74="","",EDATE(O74,12))</f>
        <v/>
      </c>
      <c r="Q74" s="56" t="n"/>
    </row>
    <row r="75" ht="15" customHeight="1" s="36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3">
        <f>IF(OR(G75="",H75=""),"",G75*H75)</f>
        <v/>
      </c>
      <c r="J75" s="53">
        <f>IF(I75="","",IF(I75&gt;=20,"Kritis",IF(I75&gt;=10,"Tinggi",IF(I75&gt;=5,"Sedang","Rendah"))))</f>
        <v/>
      </c>
      <c r="K75" s="56" t="n"/>
      <c r="L75" s="56" t="n"/>
      <c r="M75" s="56" t="n"/>
      <c r="N75" s="56" t="n"/>
      <c r="O75" s="57" t="n"/>
      <c r="P75" s="55">
        <f>IF(O75="","",EDATE(O75,12))</f>
        <v/>
      </c>
      <c r="Q75" s="56" t="n"/>
    </row>
    <row r="76" ht="15" customHeight="1" s="3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3">
        <f>IF(OR(G76="",H76=""),"",G76*H76)</f>
        <v/>
      </c>
      <c r="J76" s="53">
        <f>IF(I76="","",IF(I76&gt;=20,"Kritis",IF(I76&gt;=10,"Tinggi",IF(I76&gt;=5,"Sedang","Rendah"))))</f>
        <v/>
      </c>
      <c r="K76" s="56" t="n"/>
      <c r="L76" s="56" t="n"/>
      <c r="M76" s="56" t="n"/>
      <c r="N76" s="56" t="n"/>
      <c r="O76" s="57" t="n"/>
      <c r="P76" s="55">
        <f>IF(O76="","",EDATE(O76,12))</f>
        <v/>
      </c>
      <c r="Q76" s="56" t="n"/>
    </row>
    <row r="77" ht="15" customHeight="1" s="36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3">
        <f>IF(OR(G77="",H77=""),"",G77*H77)</f>
        <v/>
      </c>
      <c r="J77" s="53">
        <f>IF(I77="","",IF(I77&gt;=20,"Kritis",IF(I77&gt;=10,"Tinggi",IF(I77&gt;=5,"Sedang","Rendah"))))</f>
        <v/>
      </c>
      <c r="K77" s="56" t="n"/>
      <c r="L77" s="56" t="n"/>
      <c r="M77" s="56" t="n"/>
      <c r="N77" s="56" t="n"/>
      <c r="O77" s="57" t="n"/>
      <c r="P77" s="55">
        <f>IF(O77="","",EDATE(O77,12))</f>
        <v/>
      </c>
      <c r="Q77" s="56" t="n"/>
    </row>
    <row r="78" ht="15" customHeight="1" s="36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3">
        <f>IF(OR(G78="",H78=""),"",G78*H78)</f>
        <v/>
      </c>
      <c r="J78" s="53">
        <f>IF(I78="","",IF(I78&gt;=20,"Kritis",IF(I78&gt;=10,"Tinggi",IF(I78&gt;=5,"Sedang","Rendah"))))</f>
        <v/>
      </c>
      <c r="K78" s="56" t="n"/>
      <c r="L78" s="56" t="n"/>
      <c r="M78" s="56" t="n"/>
      <c r="N78" s="56" t="n"/>
      <c r="O78" s="57" t="n"/>
      <c r="P78" s="55">
        <f>IF(O78="","",EDATE(O78,12))</f>
        <v/>
      </c>
      <c r="Q78" s="56" t="n"/>
    </row>
    <row r="79" ht="15" customHeight="1" s="36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3">
        <f>IF(OR(G79="",H79=""),"",G79*H79)</f>
        <v/>
      </c>
      <c r="J79" s="53">
        <f>IF(I79="","",IF(I79&gt;=20,"Kritis",IF(I79&gt;=10,"Tinggi",IF(I79&gt;=5,"Sedang","Rendah"))))</f>
        <v/>
      </c>
      <c r="K79" s="56" t="n"/>
      <c r="L79" s="56" t="n"/>
      <c r="M79" s="56" t="n"/>
      <c r="N79" s="56" t="n"/>
      <c r="O79" s="57" t="n"/>
      <c r="P79" s="55">
        <f>IF(O79="","",EDATE(O79,12))</f>
        <v/>
      </c>
      <c r="Q79" s="56" t="n"/>
    </row>
  </sheetData>
  <autoFilter ref="A4:Q79"/>
  <conditionalFormatting sqref="J5:J79">
    <cfRule type="cellIs" rank="0" priority="2" equalAverage="0" operator="equal" aboveAverage="0" dxfId="9" text="" percent="0" bottom="0">
      <formula>"Rendah"</formula>
    </cfRule>
    <cfRule type="cellIs" rank="0" priority="3" equalAverage="0" operator="equal" aboveAverage="0" dxfId="10" text="" percent="0" bottom="0">
      <formula>"Sedang"</formula>
    </cfRule>
    <cfRule type="cellIs" rank="0" priority="4" equalAverage="0" operator="equal" aboveAverage="0" dxfId="11" text="" percent="0" bottom="0">
      <formula>"Tinggi"</formula>
    </cfRule>
    <cfRule type="cellIs" rank="0" priority="5" equalAverage="0" operator="equal" aboveAverage="0" dxfId="12" text="" percent="0" bottom="0">
      <formula>"Kritis"</formula>
    </cfRule>
  </conditionalFormatting>
  <dataValidations count="4">
    <dataValidation sqref="E5:E79" showDropDown="0" showInputMessage="0" showErrorMessage="0" allowBlank="1" type="list" errorStyle="stop" operator="between">
      <formula1>Daftar!$C$2:$C$8</formula1>
      <formula2>0</formula2>
    </dataValidation>
    <dataValidation sqref="G5:G79" showDropDown="0" showInputMessage="0" showErrorMessage="0" allowBlank="1" type="list" errorStyle="stop" operator="between">
      <formula1>Daftar!$A$2:$A$6</formula1>
      <formula2>0</formula2>
    </dataValidation>
    <dataValidation sqref="H5:H79" showDropDown="0" showInputMessage="0" showErrorMessage="0" allowBlank="1" type="list" errorStyle="stop" operator="between">
      <formula1>Daftar!$A$2:$A$6</formula1>
      <formula2>0</formula2>
    </dataValidation>
    <dataValidation sqref="M5:M79" showDropDown="0" showInputMessage="0" showErrorMessage="0" allowBlank="1" type="list" errorStyle="stop" operator="between">
      <formula1>Daftar!$B$2:$B$5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45" customWidth="1" style="35" min="2" max="2"/>
    <col width="55" customWidth="1" style="35" min="3" max="3"/>
    <col width="12" customWidth="1" style="35" min="4" max="7"/>
  </cols>
  <sheetData>
    <row r="1" ht="16.15" customHeight="1" s="36">
      <c r="A1" s="49" t="inlineStr">
        <is>
          <t>Matriks risiko 5x5 dan skala penilaian</t>
        </is>
      </c>
    </row>
    <row r="3" ht="15" customHeight="1" s="36">
      <c r="A3" s="58" t="inlineStr">
        <is>
          <t>Skor = Likelihood x Impact. Rendah 1 sampai 4 · Sedang 5 sampai 9 · Tinggi 10 sampai 19 · Kritis 20 sampai 25</t>
        </is>
      </c>
    </row>
    <row r="5" ht="15" customHeight="1" s="36">
      <c r="B5" s="35" t="inlineStr">
        <is>
          <t>Impact →</t>
        </is>
      </c>
      <c r="C5" s="59" t="n">
        <v>1</v>
      </c>
      <c r="D5" s="59" t="n">
        <v>2</v>
      </c>
      <c r="E5" s="59" t="n">
        <v>3</v>
      </c>
      <c r="F5" s="59" t="n">
        <v>4</v>
      </c>
      <c r="G5" s="59" t="n">
        <v>5</v>
      </c>
    </row>
    <row r="6" ht="15" customHeight="1" s="36">
      <c r="A6" s="35" t="inlineStr">
        <is>
          <t>Likelihood ↓</t>
        </is>
      </c>
      <c r="B6" s="59" t="n">
        <v>5</v>
      </c>
      <c r="C6" s="60" t="inlineStr">
        <is>
          <t>5 Sedang</t>
        </is>
      </c>
      <c r="D6" s="61" t="inlineStr">
        <is>
          <t>10 Tinggi</t>
        </is>
      </c>
      <c r="E6" s="61" t="inlineStr">
        <is>
          <t>15 Tinggi</t>
        </is>
      </c>
      <c r="F6" s="62" t="inlineStr">
        <is>
          <t>20 Kritis</t>
        </is>
      </c>
      <c r="G6" s="62" t="inlineStr">
        <is>
          <t>25 Kritis</t>
        </is>
      </c>
    </row>
    <row r="7" ht="15" customHeight="1" s="36">
      <c r="B7" s="59" t="n">
        <v>4</v>
      </c>
      <c r="C7" s="63" t="inlineStr">
        <is>
          <t>4 Rendah</t>
        </is>
      </c>
      <c r="D7" s="60" t="inlineStr">
        <is>
          <t>8 Sedang</t>
        </is>
      </c>
      <c r="E7" s="61" t="inlineStr">
        <is>
          <t>12 Tinggi</t>
        </is>
      </c>
      <c r="F7" s="61" t="inlineStr">
        <is>
          <t>16 Tinggi</t>
        </is>
      </c>
      <c r="G7" s="62" t="inlineStr">
        <is>
          <t>20 Kritis</t>
        </is>
      </c>
    </row>
    <row r="8" ht="15" customHeight="1" s="36">
      <c r="B8" s="59" t="n">
        <v>3</v>
      </c>
      <c r="C8" s="63" t="inlineStr">
        <is>
          <t>3 Rendah</t>
        </is>
      </c>
      <c r="D8" s="60" t="inlineStr">
        <is>
          <t>6 Sedang</t>
        </is>
      </c>
      <c r="E8" s="60" t="inlineStr">
        <is>
          <t>9 Sedang</t>
        </is>
      </c>
      <c r="F8" s="61" t="inlineStr">
        <is>
          <t>12 Tinggi</t>
        </is>
      </c>
      <c r="G8" s="61" t="inlineStr">
        <is>
          <t>15 Tinggi</t>
        </is>
      </c>
    </row>
    <row r="9" ht="15" customHeight="1" s="36">
      <c r="B9" s="59" t="n">
        <v>2</v>
      </c>
      <c r="C9" s="63" t="inlineStr">
        <is>
          <t>2 Rendah</t>
        </is>
      </c>
      <c r="D9" s="63" t="inlineStr">
        <is>
          <t>4 Rendah</t>
        </is>
      </c>
      <c r="E9" s="60" t="inlineStr">
        <is>
          <t>6 Sedang</t>
        </is>
      </c>
      <c r="F9" s="60" t="inlineStr">
        <is>
          <t>8 Sedang</t>
        </is>
      </c>
      <c r="G9" s="61" t="inlineStr">
        <is>
          <t>10 Tinggi</t>
        </is>
      </c>
    </row>
    <row r="10" ht="15" customHeight="1" s="36">
      <c r="B10" s="59" t="n">
        <v>1</v>
      </c>
      <c r="C10" s="63" t="inlineStr">
        <is>
          <t>1 Rendah</t>
        </is>
      </c>
      <c r="D10" s="63" t="inlineStr">
        <is>
          <t>2 Rendah</t>
        </is>
      </c>
      <c r="E10" s="63" t="inlineStr">
        <is>
          <t>3 Rendah</t>
        </is>
      </c>
      <c r="F10" s="63" t="inlineStr">
        <is>
          <t>4 Rendah</t>
        </is>
      </c>
      <c r="G10" s="60" t="inlineStr">
        <is>
          <t>5 Sedang</t>
        </is>
      </c>
    </row>
    <row r="13" ht="15" customHeight="1" s="36">
      <c r="A13" s="51" t="inlineStr">
        <is>
          <t>Skala</t>
        </is>
      </c>
      <c r="B13" s="51" t="inlineStr">
        <is>
          <t>Likelihood (kemungkinan)</t>
        </is>
      </c>
      <c r="C13" s="51" t="inlineStr">
        <is>
          <t>Impact (dampak)</t>
        </is>
      </c>
    </row>
    <row r="14" ht="15" customHeight="1" s="36">
      <c r="A14" s="40" t="n">
        <v>1</v>
      </c>
      <c r="B14" s="40" t="inlineStr">
        <is>
          <t>Sangat jarang: kurang dari sekali dalam 3 tahun</t>
        </is>
      </c>
      <c r="C14" s="40" t="inlineStr">
        <is>
          <t>Tidak berarti: tanpa gangguan layanan, tanpa data terdampak</t>
        </is>
      </c>
    </row>
    <row r="15" ht="23.85" customHeight="1" s="36">
      <c r="A15" s="40" t="n">
        <v>2</v>
      </c>
      <c r="B15" s="40" t="inlineStr">
        <is>
          <t>Jarang: sekali dalam 1 sampai 3 tahun</t>
        </is>
      </c>
      <c r="C15" s="40" t="inlineStr">
        <is>
          <t>Kecil: gangguan kurang dari 1 jam, satu pelanggan, tanpa data sensitif</t>
        </is>
      </c>
    </row>
    <row r="16" ht="23.85" customHeight="1" s="36">
      <c r="A16" s="40" t="n">
        <v>3</v>
      </c>
      <c r="B16" s="40" t="inlineStr">
        <is>
          <t>Mungkin: sekali dalam setahun</t>
        </is>
      </c>
      <c r="C16" s="40" t="inlineStr">
        <is>
          <t>Sedang: gangguan 1 sampai 4 jam atau SLA satu pelanggan terancam</t>
        </is>
      </c>
    </row>
    <row r="17" ht="15" customHeight="1" s="36">
      <c r="A17" s="40" t="n">
        <v>4</v>
      </c>
      <c r="B17" s="40" t="inlineStr">
        <is>
          <t>Sering: beberapa kali dalam setahun</t>
        </is>
      </c>
      <c r="C17" s="40" t="inlineStr">
        <is>
          <t>Besar: breach SLA, beberapa pelanggan, atau data internal bocor</t>
        </is>
      </c>
    </row>
    <row r="18" ht="23.85" customHeight="1" s="36">
      <c r="A18" s="40" t="n">
        <v>5</v>
      </c>
      <c r="B18" s="40" t="inlineStr">
        <is>
          <t>Hampir pasti: bulanan atau lebih sering</t>
        </is>
      </c>
      <c r="C18" s="40" t="inlineStr">
        <is>
          <t>Kritis: layanan utama mati lebih dari 4 jam, data pelanggan bocor, sanksi hukum atau kontrak</t>
        </is>
      </c>
    </row>
    <row r="20" ht="15" customHeight="1" s="36">
      <c r="A20" s="51" t="inlineStr">
        <is>
          <t>Level</t>
        </is>
      </c>
      <c r="B20" s="51" t="inlineStr">
        <is>
          <t>Ketentuan penanganan</t>
        </is>
      </c>
    </row>
    <row r="21" ht="15" customHeight="1" s="36">
      <c r="A21" s="64" t="inlineStr">
        <is>
          <t>Rendah</t>
        </is>
      </c>
      <c r="B21" s="40" t="inlineStr">
        <is>
          <t>Diterima, dipantau saat review berkala</t>
        </is>
      </c>
    </row>
    <row r="22" ht="23.85" customHeight="1" s="36">
      <c r="A22" s="65" t="inlineStr">
        <is>
          <t>Sedang</t>
        </is>
      </c>
      <c r="B22" s="40" t="inlineStr">
        <is>
          <t>Mitigasi dalam rencana normal, pemilik risiko ditetapkan</t>
        </is>
      </c>
    </row>
    <row r="23" ht="35.05" customHeight="1" s="36">
      <c r="A23" s="66" t="inlineStr">
        <is>
          <t>Tinggi</t>
        </is>
      </c>
      <c r="B23" s="40" t="inlineStr">
        <is>
          <t>Rencana mitigasi wajib dengan tenggat; dilaporkan ke Head of Operation dan dinaikkan ke register risiko ISMS</t>
        </is>
      </c>
    </row>
    <row r="24" ht="23.85" customHeight="1" s="36">
      <c r="A24" s="67" t="inlineStr">
        <is>
          <t>Kritis</t>
        </is>
      </c>
      <c r="B24" s="40" t="inlineStr">
        <is>
          <t>Tindakan segera; dilaporkan ke Direktur (COO); penerimaan risiko hanya oleh COO secara tertulis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16" customWidth="1" style="35" min="2" max="2"/>
  </cols>
  <sheetData>
    <row r="1" ht="16.15" customHeight="1" s="36">
      <c r="A1" s="49" t="inlineStr">
        <is>
          <t>Ringkasan profil risiko</t>
        </is>
      </c>
    </row>
    <row r="3" ht="15" customHeight="1" s="36">
      <c r="A3" s="47" t="inlineStr">
        <is>
          <t>Level</t>
        </is>
      </c>
      <c r="B3" s="47" t="inlineStr">
        <is>
          <t>Jumlah risiko</t>
        </is>
      </c>
    </row>
    <row r="4" ht="15" customHeight="1" s="36">
      <c r="A4" s="68" t="inlineStr">
        <is>
          <t>Kritis</t>
        </is>
      </c>
      <c r="B4" s="46">
        <f>COUNTIF('Register Risiko'!$J$5:$J$79,A4)</f>
        <v/>
      </c>
    </row>
    <row r="5" ht="15" customHeight="1" s="36">
      <c r="A5" s="68" t="inlineStr">
        <is>
          <t>Tinggi</t>
        </is>
      </c>
      <c r="B5" s="46">
        <f>COUNTIF('Register Risiko'!$J$5:$J$79,A5)</f>
        <v/>
      </c>
    </row>
    <row r="6" ht="15" customHeight="1" s="36">
      <c r="A6" s="68" t="inlineStr">
        <is>
          <t>Sedang</t>
        </is>
      </c>
      <c r="B6" s="46">
        <f>COUNTIF('Register Risiko'!$J$5:$J$79,A6)</f>
        <v/>
      </c>
    </row>
    <row r="7" ht="15" customHeight="1" s="36">
      <c r="A7" s="68" t="inlineStr">
        <is>
          <t>Rendah</t>
        </is>
      </c>
      <c r="B7" s="46">
        <f>COUNTIF('Register Risiko'!$J$5:$J$79,A7)</f>
        <v/>
      </c>
    </row>
    <row r="8" ht="15" customHeight="1" s="36">
      <c r="A8" s="69" t="inlineStr">
        <is>
          <t>Total</t>
        </is>
      </c>
      <c r="B8" s="69">
        <f>SUM(B4:B7)</f>
        <v/>
      </c>
    </row>
  </sheetData>
  <conditionalFormatting sqref="A4:A7">
    <cfRule type="cellIs" rank="0" priority="2" equalAverage="0" operator="equal" aboveAverage="0" dxfId="9" text="" percent="0" bottom="0">
      <formula>"Rendah"</formula>
    </cfRule>
    <cfRule type="cellIs" rank="0" priority="3" equalAverage="0" operator="equal" aboveAverage="0" dxfId="10" text="" percent="0" bottom="0">
      <formula>"Sedang"</formula>
    </cfRule>
    <cfRule type="cellIs" rank="0" priority="4" equalAverage="0" operator="equal" aboveAverage="0" dxfId="11" text="" percent="0" bottom="0">
      <formula>"Tinggi"</formula>
    </cfRule>
    <cfRule type="cellIs" rank="0" priority="5" equalAverage="0" operator="equal" aboveAverage="0" dxfId="12" text="" percent="0" bottom="0">
      <formula>"Kritis"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2026-10-13T06:09:07Z</dcterms:created>
  <dcterms:modified xmlns:dcterms="http://purl.org/dc/terms/" xmlns:xsi="http://www.w3.org/2001/XMLSchema-instance" xsi:type="dcterms:W3CDTF">2026-10-14T22:02:10Z</dcterms:modified>
  <cp:revision>0</cp:revision>
</cp:coreProperties>
</file>