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ontrol Dokumen" sheetId="1" state="visible" r:id="rId1"/>
    <sheet xmlns:r="http://schemas.openxmlformats.org/officeDocument/2006/relationships" name="Alur Proses" sheetId="2" state="visible" r:id="rId2"/>
    <sheet xmlns:r="http://schemas.openxmlformats.org/officeDocument/2006/relationships" name="Daftar" sheetId="3" state="visible" r:id="rId3"/>
    <sheet xmlns:r="http://schemas.openxmlformats.org/officeDocument/2006/relationships" name="Rencana Penanganan" sheetId="4" state="visible" r:id="rId4"/>
  </sheets>
  <definedNames>
    <definedName name="_xlnm._FilterDatabase" localSheetId="3" hidden="1">'Rencana Penanganan'!$A$4:$R$59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-mmm\-yyyy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A5F"/>
      <sz val="13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7EEF7"/>
        <bgColor rgb="FFF2F2F2"/>
      </patternFill>
    </fill>
    <fill>
      <patternFill patternType="solid">
        <fgColor rgb="FFF2F2F2"/>
        <bgColor rgb="FFE7EEF7"/>
      </patternFill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7EE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7C8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FF7C80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EF7"/>
      <rgbColor rgb="FF660066"/>
      <rgbColor rgb="FFFF7C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176040</rowOff>
    </from>
    <to>
      <col>9</col>
      <colOff>591840</colOff>
      <row>28</row>
      <rowOff>99720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6095520" cy="4876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2" min="1" max="1"/>
    <col width="70" customWidth="1" style="22" min="2" max="2"/>
    <col width="30" customWidth="1" style="22" min="3" max="3"/>
    <col width="22" customWidth="1" style="22" min="4" max="4"/>
    <col width="14" customWidth="1" style="22" min="5" max="5"/>
  </cols>
  <sheetData>
    <row r="1" ht="18.55" customHeight="1" s="23">
      <c r="A1" s="24" t="inlineStr">
        <is>
          <t>Information Security Risk Treatment Plan</t>
        </is>
      </c>
    </row>
    <row r="2" ht="15" customHeight="1" s="23">
      <c r="A2" s="25" t="inlineStr">
        <is>
          <t>PT Strategi Integrasi Nusantara (SINUX) · Divisi Operation</t>
        </is>
      </c>
    </row>
    <row r="4" ht="15" customHeight="1" s="23">
      <c r="A4" s="26" t="inlineStr">
        <is>
          <t>Nomor dokumen</t>
        </is>
      </c>
      <c r="B4" s="27" t="inlineStr">
        <is>
          <t>SNX-ISMS-REG-03</t>
        </is>
      </c>
    </row>
    <row r="5" ht="15" customHeight="1" s="23">
      <c r="A5" s="26" t="inlineStr">
        <is>
          <t>Judul</t>
        </is>
      </c>
      <c r="B5" s="27" t="inlineStr">
        <is>
          <t>Information Security Risk Treatment Plan</t>
        </is>
      </c>
    </row>
    <row r="6" ht="15" customHeight="1" s="23">
      <c r="A6" s="26" t="inlineStr">
        <is>
          <t>Revisi</t>
        </is>
      </c>
      <c r="B6" s="27" t="inlineStr">
        <is>
          <t>00 (Draft)</t>
        </is>
      </c>
    </row>
    <row r="7" ht="15" customHeight="1" s="23">
      <c r="A7" s="26" t="inlineStr">
        <is>
          <t>Tanggal draft</t>
        </is>
      </c>
      <c r="B7" s="27" t="inlineStr">
        <is>
          <t>13 Oktober 2026</t>
        </is>
      </c>
    </row>
    <row r="8" ht="15" customHeight="1" s="23">
      <c r="A8" s="26" t="inlineStr">
        <is>
          <t>Tanggal efektif</t>
        </is>
      </c>
      <c r="B8" s="27" t="inlineStr">
        <is>
          <t>Ditetapkan saat pengesahan</t>
        </is>
      </c>
    </row>
    <row r="9" ht="15" customHeight="1" s="23">
      <c r="A9" s="26" t="inlineStr">
        <is>
          <t>Klasifikasi</t>
        </is>
      </c>
      <c r="B9" s="27" t="inlineStr">
        <is>
          <t>RESTRICTED (Internal)</t>
        </is>
      </c>
    </row>
    <row r="10" ht="15" customHeight="1" s="23">
      <c r="A10" s="26" t="inlineStr">
        <is>
          <t>Pemilik dokumen</t>
        </is>
      </c>
      <c r="B10" s="27" t="inlineStr">
        <is>
          <t>ISMS Coordinator</t>
        </is>
      </c>
    </row>
    <row r="11" ht="15" customHeight="1" s="23">
      <c r="A11" s="26" t="inlineStr">
        <is>
          <t>Disetujui oleh</t>
        </is>
      </c>
      <c r="B11" s="27" t="inlineStr">
        <is>
          <t>Samuel Kristanto Utomo / President Director</t>
        </is>
      </c>
    </row>
    <row r="12" ht="15" customHeight="1" s="23">
      <c r="A12" s="26" t="inlineStr">
        <is>
          <t>Acuan ISO 9001:2015</t>
        </is>
      </c>
      <c r="B12" s="27" t="inlineStr">
        <is>
          <t>Klausul 6.1</t>
        </is>
      </c>
    </row>
    <row r="13" ht="15" customHeight="1" s="23">
      <c r="A13" s="26" t="inlineStr">
        <is>
          <t>Acuan ISO/IEC 27001:2022</t>
        </is>
      </c>
      <c r="B13" s="27" t="inlineStr">
        <is>
          <t>Klausul 6.1.3, 8.3</t>
        </is>
      </c>
    </row>
    <row r="14" ht="15" customHeight="1" s="23">
      <c r="A14" s="26" t="inlineStr">
        <is>
          <t>Masa simpan record</t>
        </is>
      </c>
      <c r="B14" s="27" t="inlineStr">
        <is>
          <t>Berlaku sampai digantikan</t>
        </is>
      </c>
    </row>
    <row r="15" ht="23.85" customHeight="1" s="23">
      <c r="A15" s="26" t="inlineStr">
        <is>
          <t>Tujuan</t>
        </is>
      </c>
      <c r="B15" s="27" t="inlineStr">
        <is>
          <t>Rencana penanganan risiko keamanan informasi (klausul 6.1.3 dan 8.3), termasuk risiko residual dan penerimaan oleh pemilik risiko.</t>
        </is>
      </c>
    </row>
    <row r="17" ht="15" customHeight="1" s="23">
      <c r="A17" s="28" t="inlineStr">
        <is>
          <t>Cara pakai</t>
        </is>
      </c>
    </row>
    <row r="18" ht="15" customHeight="1" s="23">
      <c r="A18" s="29" t="inlineStr">
        <is>
          <t>1.</t>
        </is>
      </c>
      <c r="B18" s="30" t="inlineStr">
        <is>
          <t>Satu baris per tindakan penanganan; Ref risiko merujuk SNX-ISMS-REG-02.</t>
        </is>
      </c>
    </row>
    <row r="19" ht="15" customHeight="1" s="23">
      <c r="A19" s="29" t="inlineStr">
        <is>
          <t>2.</t>
        </is>
      </c>
      <c r="B19" s="30" t="inlineStr">
        <is>
          <t>L dan I residual berisi usulan; ubah setelah tindakan selesai. Level otomatis.</t>
        </is>
      </c>
    </row>
    <row r="20" ht="23.85" customHeight="1" s="23">
      <c r="A20" s="29" t="inlineStr">
        <is>
          <t>3.</t>
        </is>
      </c>
      <c r="B20" s="30" t="inlineStr">
        <is>
          <t>Risiko residual harus diterima pemilik risiko secara tertulis (kolom Diterima oleh dan Tgl penerimaan).</t>
        </is>
      </c>
    </row>
    <row r="21" ht="23.85" customHeight="1" s="23">
      <c r="A21" s="29" t="inlineStr">
        <is>
          <t>4.</t>
        </is>
      </c>
      <c r="B21" s="30" t="inlineStr">
        <is>
          <t>Kontrol Annex A yang dipilih di sini menjadi dasar kolom Berlaku pada SoA SNX-ISMS-SOA-01.</t>
        </is>
      </c>
    </row>
    <row r="22" ht="23.85" customHeight="1" s="23">
      <c r="A22" s="29" t="inlineStr">
        <is>
          <t>5.</t>
        </is>
      </c>
      <c r="B22" s="30" t="inlineStr">
        <is>
          <t>Usulan awal Divisi Operation dari riwayat operasi di knowledge base SINUX; wajib divalidasi ISMS Coordinator dan pemilik risiko.</t>
        </is>
      </c>
    </row>
    <row r="24" ht="15" customHeight="1" s="23">
      <c r="A24" s="28" t="inlineStr">
        <is>
          <t>Legenda warna</t>
        </is>
      </c>
    </row>
    <row r="25" ht="15" customHeight="1" s="23">
      <c r="A25" s="31" t="n"/>
      <c r="B25" s="29" t="inlineStr">
        <is>
          <t>Sel input: diisi pengguna</t>
        </is>
      </c>
    </row>
    <row r="26" ht="15" customHeight="1" s="23">
      <c r="A26" s="32" t="n"/>
      <c r="B26" s="29" t="inlineStr">
        <is>
          <t>Biru muda: usulan awal Divisi Operation, belum divalidasi</t>
        </is>
      </c>
    </row>
    <row r="27" ht="15" customHeight="1" s="23">
      <c r="A27" s="33" t="n"/>
      <c r="B27" s="29" t="inlineStr">
        <is>
          <t>Sel rumus: jangan diubah</t>
        </is>
      </c>
    </row>
    <row r="29" ht="15" customHeight="1" s="23">
      <c r="A29" s="28" t="inlineStr">
        <is>
          <t>Riwayat revisi</t>
        </is>
      </c>
    </row>
    <row r="30" ht="15" customHeight="1" s="23">
      <c r="A30" s="34" t="inlineStr">
        <is>
          <t>Revisi</t>
        </is>
      </c>
      <c r="B30" s="34" t="inlineStr">
        <is>
          <t>Tanggal</t>
        </is>
      </c>
      <c r="C30" s="34" t="inlineStr">
        <is>
          <t>Uraian perubahan</t>
        </is>
      </c>
      <c r="D30" s="34" t="inlineStr">
        <is>
          <t>Disusun</t>
        </is>
      </c>
      <c r="E30" s="34" t="inlineStr">
        <is>
          <t>Disetujui</t>
        </is>
      </c>
    </row>
    <row r="31" ht="23.85" customHeight="1" s="23">
      <c r="A31" s="27" t="inlineStr">
        <is>
          <t>00</t>
        </is>
      </c>
      <c r="B31" s="27" t="inlineStr">
        <is>
          <t>13 Oktober 2026</t>
        </is>
      </c>
      <c r="C31" s="27" t="inlineStr">
        <is>
          <t>Draft awal untuk review dan pengesahan</t>
        </is>
      </c>
      <c r="D31" s="27" t="inlineStr">
        <is>
          <t>Divisi Operation</t>
        </is>
      </c>
      <c r="E31" s="27" t="inlineStr">
        <is>
          <t>Menunggu</t>
        </is>
      </c>
    </row>
    <row r="32" ht="57.45" customHeight="1" s="23">
      <c r="A32" s="27" t="n"/>
      <c r="B32" s="27" t="n"/>
      <c r="C32" s="27" t="n"/>
      <c r="D32" s="27" t="n"/>
      <c r="E32" s="27" t="n"/>
    </row>
    <row r="34" ht="15" customHeight="1" s="23">
      <c r="A34" s="28" t="inlineStr">
        <is>
          <t>Pengesahan</t>
        </is>
      </c>
    </row>
    <row r="35" ht="15" customHeight="1" s="23">
      <c r="A35" s="34" t="inlineStr">
        <is>
          <t>Peran</t>
        </is>
      </c>
      <c r="B35" s="34" t="inlineStr">
        <is>
          <t>Nama dan jabatan</t>
        </is>
      </c>
      <c r="C35" s="34" t="inlineStr">
        <is>
          <t>Tanda tangan</t>
        </is>
      </c>
      <c r="D35" s="34" t="inlineStr">
        <is>
          <t>Tanggal</t>
        </is>
      </c>
    </row>
    <row r="36" ht="27.75" customHeight="1" s="23">
      <c r="A36" s="35" t="inlineStr">
        <is>
          <t>Disusun oleh</t>
        </is>
      </c>
      <c r="B36" s="35" t="inlineStr">
        <is>
          <t>Erik Dwi Yanto / Technical/Operation Engineer L1</t>
        </is>
      </c>
      <c r="C36" s="35" t="n"/>
      <c r="D36" s="35" t="n"/>
    </row>
    <row r="37" ht="27.75" customHeight="1" s="23">
      <c r="A37" s="35" t="inlineStr">
        <is>
          <t>Diperiksa oleh</t>
        </is>
      </c>
      <c r="B37" s="35" t="inlineStr">
        <is>
          <t>Fani Fatullah / VP Tech Operation and Services</t>
        </is>
      </c>
      <c r="C37" s="35" t="n"/>
      <c r="D37" s="35" t="n"/>
    </row>
    <row r="38" ht="27.75" customHeight="1" s="23">
      <c r="A38" s="35" t="inlineStr">
        <is>
          <t>Disetujui oleh</t>
        </is>
      </c>
      <c r="B38" s="35" t="inlineStr">
        <is>
          <t>Samuel Kristanto Utomo / President Director</t>
        </is>
      </c>
      <c r="C38" s="35" t="n"/>
      <c r="D38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6.15" customHeight="1" s="23">
      <c r="A1" s="36" t="inlineStr">
        <is>
          <t>Diagram alur proses</t>
        </is>
      </c>
    </row>
    <row r="2" ht="15" customHeight="1" s="23">
      <c r="A2" s="25" t="inlineStr">
        <is>
          <t>Kotak biru = output akhir · kotak oranye = cabang ke tindakan atau prosedur lain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2" min="1" max="3"/>
  </cols>
  <sheetData>
    <row r="1" ht="15" customHeight="1" s="23">
      <c r="A1" s="37" t="inlineStr">
        <is>
          <t>Opsi</t>
        </is>
      </c>
      <c r="B1" s="37" t="inlineStr">
        <is>
          <t>Status</t>
        </is>
      </c>
      <c r="C1" s="37" t="inlineStr">
        <is>
          <t>Skala</t>
        </is>
      </c>
    </row>
    <row r="2" ht="15" customHeight="1" s="23">
      <c r="A2" s="29" t="inlineStr">
        <is>
          <t>Mitigasi</t>
        </is>
      </c>
      <c r="B2" s="29" t="inlineStr">
        <is>
          <t>Belum mulai</t>
        </is>
      </c>
      <c r="C2" s="29" t="n">
        <v>1</v>
      </c>
    </row>
    <row r="3" ht="15" customHeight="1" s="23">
      <c r="A3" s="29" t="inlineStr">
        <is>
          <t>Hindari</t>
        </is>
      </c>
      <c r="B3" s="29" t="inlineStr">
        <is>
          <t>Berjalan</t>
        </is>
      </c>
      <c r="C3" s="29" t="n">
        <v>2</v>
      </c>
    </row>
    <row r="4" ht="15" customHeight="1" s="23">
      <c r="A4" s="29" t="inlineStr">
        <is>
          <t>Transfer</t>
        </is>
      </c>
      <c r="B4" s="29" t="inlineStr">
        <is>
          <t>Selesai</t>
        </is>
      </c>
      <c r="C4" s="29" t="n">
        <v>3</v>
      </c>
    </row>
    <row r="5" ht="15" customHeight="1" s="23">
      <c r="A5" s="29" t="inlineStr">
        <is>
          <t>Terima</t>
        </is>
      </c>
      <c r="B5" s="29" t="inlineStr">
        <is>
          <t>Tertunda</t>
        </is>
      </c>
      <c r="C5" s="29" t="n">
        <v>4</v>
      </c>
    </row>
    <row r="6" ht="15" customHeight="1" s="23">
      <c r="C6" s="29" t="n">
        <v>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R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22" min="1" max="2"/>
    <col width="32" customWidth="1" style="22" min="3" max="3"/>
    <col width="9" customWidth="1" style="22" min="4" max="4"/>
    <col width="10" customWidth="1" style="22" min="5" max="5"/>
    <col width="44" customWidth="1" style="22" min="6" max="6"/>
    <col width="13" customWidth="1" style="22" min="7" max="7"/>
    <col width="16" customWidth="1" style="22" min="8" max="8"/>
    <col width="14" customWidth="1" style="22" min="9" max="9"/>
    <col width="11" customWidth="1" style="22" min="10" max="11"/>
    <col width="7" customWidth="1" style="22" min="12" max="14"/>
    <col width="9" customWidth="1" style="22" min="15" max="15"/>
    <col width="16" customWidth="1" style="22" min="16" max="16"/>
    <col width="11" customWidth="1" style="22" min="17" max="17"/>
    <col width="20" customWidth="1" style="22" min="18" max="18"/>
  </cols>
  <sheetData>
    <row r="1" ht="16.15" customHeight="1" s="23">
      <c r="A1" s="36" t="inlineStr">
        <is>
          <t>Information security risk treatment plan</t>
        </is>
      </c>
    </row>
    <row r="2" ht="15" customHeight="1" s="23">
      <c r="A2" s="25" t="inlineStr">
        <is>
          <t>Target tanggal dan residual adalah usulan; ditetapkan bersama pemilik risiko. Status vault (RTP-001, RTP-010): menunggu konfirmasi Ops.</t>
        </is>
      </c>
    </row>
    <row r="4" ht="31.5" customHeight="1" s="23">
      <c r="A4" s="38" t="inlineStr">
        <is>
          <t>ID RTP</t>
        </is>
      </c>
      <c r="B4" s="38" t="inlineStr">
        <is>
          <t>Ref risiko</t>
        </is>
      </c>
      <c r="C4" s="38" t="inlineStr">
        <is>
          <t>Risiko</t>
        </is>
      </c>
      <c r="D4" s="38" t="inlineStr">
        <is>
          <t>Level awal</t>
        </is>
      </c>
      <c r="E4" s="38" t="inlineStr">
        <is>
          <t>Opsi</t>
        </is>
      </c>
      <c r="F4" s="38" t="inlineStr">
        <is>
          <t>Tindakan atau kontrol</t>
        </is>
      </c>
      <c r="G4" s="38" t="inlineStr">
        <is>
          <t>Kontrol Annex A</t>
        </is>
      </c>
      <c r="H4" s="38" t="inlineStr">
        <is>
          <t>Pemilik</t>
        </is>
      </c>
      <c r="I4" s="38" t="inlineStr">
        <is>
          <t>Sumber daya atau biaya</t>
        </is>
      </c>
      <c r="J4" s="38" t="inlineStr">
        <is>
          <t>Target selesai</t>
        </is>
      </c>
      <c r="K4" s="38" t="inlineStr">
        <is>
          <t>Status</t>
        </is>
      </c>
      <c r="L4" s="38" t="inlineStr">
        <is>
          <t>L residual</t>
        </is>
      </c>
      <c r="M4" s="38" t="inlineStr">
        <is>
          <t>I residual</t>
        </is>
      </c>
      <c r="N4" s="38" t="inlineStr">
        <is>
          <t>Skor residual</t>
        </is>
      </c>
      <c r="O4" s="38" t="inlineStr">
        <is>
          <t>Level residual</t>
        </is>
      </c>
      <c r="P4" s="38" t="inlineStr">
        <is>
          <t>Diterima oleh</t>
        </is>
      </c>
      <c r="Q4" s="38" t="inlineStr">
        <is>
          <t>Tgl penerimaan</t>
        </is>
      </c>
      <c r="R4" s="38" t="inlineStr">
        <is>
          <t>Bukti penyelesaian</t>
        </is>
      </c>
    </row>
    <row r="5" ht="23.85" customHeight="1" s="23">
      <c r="A5" s="39" t="inlineStr">
        <is>
          <t>RTP-001</t>
        </is>
      </c>
      <c r="B5" s="39" t="inlineStr">
        <is>
          <t>ISR-001</t>
        </is>
      </c>
      <c r="C5" s="39" t="inlineStr">
        <is>
          <t>Kebocoran kredensial: AST-001, kredensial tim</t>
        </is>
      </c>
      <c r="D5" s="39" t="inlineStr">
        <is>
          <t>Tinggi</t>
        </is>
      </c>
      <c r="E5" s="39" t="inlineStr">
        <is>
          <t>Mitigasi</t>
        </is>
      </c>
      <c r="F5" s="39" t="inlineStr">
        <is>
          <t>Migrasikan seluruh kredensial dari dua sumber ke vault, rotasi kredensial terpapar, hapus sumber lama</t>
        </is>
      </c>
      <c r="G5" s="39" t="inlineStr">
        <is>
          <t>5.17, 8.5</t>
        </is>
      </c>
      <c r="H5" s="39" t="inlineStr">
        <is>
          <t>Head of Operation</t>
        </is>
      </c>
      <c r="I5" s="39" t="n"/>
      <c r="J5" s="40" t="n">
        <v>46477</v>
      </c>
      <c r="K5" s="39" t="inlineStr">
        <is>
          <t>Belum mulai</t>
        </is>
      </c>
      <c r="L5" s="39" t="n">
        <v>1</v>
      </c>
      <c r="M5" s="39" t="n">
        <v>5</v>
      </c>
      <c r="N5" s="41">
        <f>IF(OR(L5="",M5=""),"",L5*M5)</f>
        <v/>
      </c>
      <c r="O5" s="41">
        <f>IF(N5="","",IF(N5&gt;=20,"Kritis",IF(N5&gt;=10,"Tinggi",IF(N5&gt;=5,"Sedang","Rendah"))))</f>
        <v/>
      </c>
      <c r="P5" s="39" t="n"/>
      <c r="Q5" s="40" t="n"/>
      <c r="R5" s="39" t="n"/>
    </row>
    <row r="6" ht="35.05" customHeight="1" s="23">
      <c r="A6" s="39" t="inlineStr">
        <is>
          <t>RTP-002</t>
        </is>
      </c>
      <c r="B6" s="39" t="inlineStr">
        <is>
          <t>ISR-002</t>
        </is>
      </c>
      <c r="C6" s="39" t="inlineStr">
        <is>
          <t>Webshell, doorway judi online, backdoor: Fleet WHM dan cPanel pelanggan pemerintah</t>
        </is>
      </c>
      <c r="D6" s="39" t="inlineStr">
        <is>
          <t>Kritis</t>
        </is>
      </c>
      <c r="E6" s="39" t="inlineStr">
        <is>
          <t>Mitigasi</t>
        </is>
      </c>
      <c r="F6" s="39" t="inlineStr">
        <is>
          <t>Sweep IOC berkala, hardening akun hosting, WAF ketat, edukasi PIC pelanggan untuk update aplikasi</t>
        </is>
      </c>
      <c r="G6" s="39" t="inlineStr">
        <is>
          <t>8.7, 8.8, 8.16, 5.26</t>
        </is>
      </c>
      <c r="H6" s="39" t="inlineStr">
        <is>
          <t>Lead SOC</t>
        </is>
      </c>
      <c r="I6" s="39" t="n"/>
      <c r="J6" s="40" t="n">
        <v>46477</v>
      </c>
      <c r="K6" s="39" t="inlineStr">
        <is>
          <t>Belum mulai</t>
        </is>
      </c>
      <c r="L6" s="39" t="n">
        <v>3</v>
      </c>
      <c r="M6" s="39" t="n">
        <v>4</v>
      </c>
      <c r="N6" s="41">
        <f>IF(OR(L6="",M6=""),"",L6*M6)</f>
        <v/>
      </c>
      <c r="O6" s="41">
        <f>IF(N6="","",IF(N6&gt;=20,"Kritis",IF(N6&gt;=10,"Tinggi",IF(N6&gt;=5,"Sedang","Rendah"))))</f>
        <v/>
      </c>
      <c r="P6" s="39" t="n"/>
      <c r="Q6" s="40" t="n"/>
      <c r="R6" s="39" t="n"/>
    </row>
    <row r="7" ht="23.85" customHeight="1" s="23">
      <c r="A7" s="39" t="inlineStr">
        <is>
          <t>RTP-003</t>
        </is>
      </c>
      <c r="B7" s="39" t="inlineStr">
        <is>
          <t>ISR-003</t>
        </is>
      </c>
      <c r="C7" s="39" t="inlineStr">
        <is>
          <t>Eksploitasi CVE RCE pre-auth: AST-009 server email</t>
        </is>
      </c>
      <c r="D7" s="39" t="inlineStr">
        <is>
          <t>Tinggi</t>
        </is>
      </c>
      <c r="E7" s="39" t="inlineStr">
        <is>
          <t>Mitigasi</t>
        </is>
      </c>
      <c r="F7" s="39" t="inlineStr">
        <is>
          <t>Patch ke versi aman, batasi akses admin, pantau advisory mingguan sesuai SNX-ISMS-SOP-05</t>
        </is>
      </c>
      <c r="G7" s="39" t="inlineStr">
        <is>
          <t>8.8, 8.19</t>
        </is>
      </c>
      <c r="H7" s="39" t="inlineStr">
        <is>
          <t>Lead NOC</t>
        </is>
      </c>
      <c r="I7" s="39" t="n"/>
      <c r="J7" s="40" t="n">
        <v>46477</v>
      </c>
      <c r="K7" s="39" t="inlineStr">
        <is>
          <t>Belum mulai</t>
        </is>
      </c>
      <c r="L7" s="39" t="n">
        <v>2</v>
      </c>
      <c r="M7" s="39" t="n">
        <v>4</v>
      </c>
      <c r="N7" s="41">
        <f>IF(OR(L7="",M7=""),"",L7*M7)</f>
        <v/>
      </c>
      <c r="O7" s="41">
        <f>IF(N7="","",IF(N7&gt;=20,"Kritis",IF(N7&gt;=10,"Tinggi",IF(N7&gt;=5,"Sedang","Rendah"))))</f>
        <v/>
      </c>
      <c r="P7" s="39" t="n"/>
      <c r="Q7" s="40" t="n"/>
      <c r="R7" s="39" t="n"/>
    </row>
    <row r="8" ht="35.05" customHeight="1" s="23">
      <c r="A8" s="39" t="inlineStr">
        <is>
          <t>RTP-004</t>
        </is>
      </c>
      <c r="B8" s="39" t="inlineStr">
        <is>
          <t>ISR-004</t>
        </is>
      </c>
      <c r="C8" s="39" t="inlineStr">
        <is>
          <t>Pemulihan lambat karena personel kunci tidak tersedia: Layanan WAF, proxy, network, DC fisik</t>
        </is>
      </c>
      <c r="D8" s="39" t="inlineStr">
        <is>
          <t>Tinggi</t>
        </is>
      </c>
      <c r="E8" s="39" t="inlineStr">
        <is>
          <t>Mitigasi</t>
        </is>
      </c>
      <c r="F8" s="39" t="inlineStr">
        <is>
          <t>Pelatihan silang minimal satu cadangan per keahlian, lengkapi runbook, jadwal on-call</t>
        </is>
      </c>
      <c r="G8" s="39" t="inlineStr">
        <is>
          <t>5.30, 6.3, 5.37</t>
        </is>
      </c>
      <c r="H8" s="39" t="inlineStr">
        <is>
          <t>Head of Operation</t>
        </is>
      </c>
      <c r="I8" s="39" t="n"/>
      <c r="J8" s="40" t="n">
        <v>46477</v>
      </c>
      <c r="K8" s="39" t="inlineStr">
        <is>
          <t>Belum mulai</t>
        </is>
      </c>
      <c r="L8" s="39" t="n">
        <v>2</v>
      </c>
      <c r="M8" s="39" t="n">
        <v>3</v>
      </c>
      <c r="N8" s="41">
        <f>IF(OR(L8="",M8=""),"",L8*M8)</f>
        <v/>
      </c>
      <c r="O8" s="41">
        <f>IF(N8="","",IF(N8&gt;=20,"Kritis",IF(N8&gt;=10,"Tinggi",IF(N8&gt;=5,"Sedang","Rendah"))))</f>
        <v/>
      </c>
      <c r="P8" s="39" t="n"/>
      <c r="Q8" s="40" t="n"/>
      <c r="R8" s="39" t="n"/>
    </row>
    <row r="9" ht="35.05" customHeight="1" s="23">
      <c r="A9" s="39" t="inlineStr">
        <is>
          <t>RTP-005</t>
        </is>
      </c>
      <c r="B9" s="39" t="inlineStr">
        <is>
          <t>ISR-005</t>
        </is>
      </c>
      <c r="C9" s="39" t="inlineStr">
        <is>
          <t>Gangguan massal platform atau DC upstream: Layanan pelanggan Nusagrid</t>
        </is>
      </c>
      <c r="D9" s="39" t="inlineStr">
        <is>
          <t>Tinggi</t>
        </is>
      </c>
      <c r="E9" s="39" t="inlineStr">
        <is>
          <t>Mitigasi</t>
        </is>
      </c>
      <c r="F9" s="39" t="inlineStr">
        <is>
          <t>Pantau SLA upstream, rencana pemindahan VM kritis, uji BCP tahunan sesuai SNX-ISMS-PLN-01</t>
        </is>
      </c>
      <c r="G9" s="39" t="inlineStr">
        <is>
          <t>5.22, 5.30, 8.14</t>
        </is>
      </c>
      <c r="H9" s="39" t="inlineStr">
        <is>
          <t>Head of Operation</t>
        </is>
      </c>
      <c r="I9" s="39" t="n"/>
      <c r="J9" s="40" t="n">
        <v>46477</v>
      </c>
      <c r="K9" s="39" t="inlineStr">
        <is>
          <t>Belum mulai</t>
        </is>
      </c>
      <c r="L9" s="39" t="n">
        <v>2</v>
      </c>
      <c r="M9" s="39" t="n">
        <v>5</v>
      </c>
      <c r="N9" s="41">
        <f>IF(OR(L9="",M9=""),"",L9*M9)</f>
        <v/>
      </c>
      <c r="O9" s="41">
        <f>IF(N9="","",IF(N9&gt;=20,"Kritis",IF(N9&gt;=10,"Tinggi",IF(N9&gt;=5,"Sedang","Rendah"))))</f>
        <v/>
      </c>
      <c r="P9" s="39" t="n"/>
      <c r="Q9" s="40" t="n"/>
      <c r="R9" s="39" t="n"/>
    </row>
    <row r="10" ht="35.05" customHeight="1" s="23">
      <c r="A10" s="39" t="inlineStr">
        <is>
          <t>RTP-006</t>
        </is>
      </c>
      <c r="B10" s="39" t="inlineStr">
        <is>
          <t>ISR-006</t>
        </is>
      </c>
      <c r="C10" s="39" t="inlineStr">
        <is>
          <t>Restore gagal saat dibutuhkan: Backup pelanggan dan internal</t>
        </is>
      </c>
      <c r="D10" s="39" t="inlineStr">
        <is>
          <t>Tinggi</t>
        </is>
      </c>
      <c r="E10" s="39" t="inlineStr">
        <is>
          <t>Mitigasi</t>
        </is>
      </c>
      <c r="F10" s="39" t="inlineStr">
        <is>
          <t>Jadwalkan uji restore bulanan per pelanggan dan triwulanan untuk sistem internal; catat di SNX-ISMS-FRM-01</t>
        </is>
      </c>
      <c r="G10" s="39" t="inlineStr">
        <is>
          <t>8.13</t>
        </is>
      </c>
      <c r="H10" s="39" t="inlineStr">
        <is>
          <t>Lead NOC</t>
        </is>
      </c>
      <c r="I10" s="39" t="n"/>
      <c r="J10" s="40" t="n">
        <v>46477</v>
      </c>
      <c r="K10" s="39" t="inlineStr">
        <is>
          <t>Belum mulai</t>
        </is>
      </c>
      <c r="L10" s="39" t="n">
        <v>1</v>
      </c>
      <c r="M10" s="39" t="n">
        <v>5</v>
      </c>
      <c r="N10" s="41">
        <f>IF(OR(L10="",M10=""),"",L10*M10)</f>
        <v/>
      </c>
      <c r="O10" s="41">
        <f>IF(N10="","",IF(N10&gt;=20,"Kritis",IF(N10&gt;=10,"Tinggi",IF(N10&gt;=5,"Sedang","Rendah"))))</f>
        <v/>
      </c>
      <c r="P10" s="39" t="n"/>
      <c r="Q10" s="40" t="n"/>
      <c r="R10" s="39" t="n"/>
    </row>
    <row r="11" ht="23.85" customHeight="1" s="23">
      <c r="A11" s="39" t="inlineStr">
        <is>
          <t>RTP-007</t>
        </is>
      </c>
      <c r="B11" s="39" t="inlineStr">
        <is>
          <t>ISR-007</t>
        </is>
      </c>
      <c r="C11" s="39" t="inlineStr">
        <is>
          <t>Kontrol WAF hilang tanpa diketahui: AST-005 AegisWAF</t>
        </is>
      </c>
      <c r="D11" s="39" t="inlineStr">
        <is>
          <t>Sedang</t>
        </is>
      </c>
      <c r="E11" s="39" t="inlineStr">
        <is>
          <t>Mitigasi</t>
        </is>
      </c>
      <c r="F11" s="39" t="inlineStr">
        <is>
          <t>Verifikasi ulang konfigurasi setelah setiap Apply; pindahkan perubahan ke template generator</t>
        </is>
      </c>
      <c r="G11" s="39" t="inlineStr">
        <is>
          <t>8.9, 8.32</t>
        </is>
      </c>
      <c r="H11" s="39" t="inlineStr">
        <is>
          <t>Tech dan Product</t>
        </is>
      </c>
      <c r="I11" s="39" t="n"/>
      <c r="J11" s="40" t="n">
        <v>46568</v>
      </c>
      <c r="K11" s="39" t="inlineStr">
        <is>
          <t>Belum mulai</t>
        </is>
      </c>
      <c r="L11" s="39" t="n">
        <v>2</v>
      </c>
      <c r="M11" s="39" t="n">
        <v>3</v>
      </c>
      <c r="N11" s="41">
        <f>IF(OR(L11="",M11=""),"",L11*M11)</f>
        <v/>
      </c>
      <c r="O11" s="41">
        <f>IF(N11="","",IF(N11&gt;=20,"Kritis",IF(N11&gt;=10,"Tinggi",IF(N11&gt;=5,"Sedang","Rendah"))))</f>
        <v/>
      </c>
      <c r="P11" s="39" t="n"/>
      <c r="Q11" s="40" t="n"/>
      <c r="R11" s="39" t="n"/>
    </row>
    <row r="12" ht="35.05" customHeight="1" s="23">
      <c r="A12" s="39" t="inlineStr">
        <is>
          <t>RTP-008</t>
        </is>
      </c>
      <c r="B12" s="39" t="inlineStr">
        <is>
          <t>ISR-008</t>
        </is>
      </c>
      <c r="C12" s="39" t="inlineStr">
        <is>
          <t>Alert atau notifikasi tidak sampai ke manusia: Notifikasi ticketing system dan monitoring</t>
        </is>
      </c>
      <c r="D12" s="39" t="inlineStr">
        <is>
          <t>Sedang</t>
        </is>
      </c>
      <c r="E12" s="39" t="inlineStr">
        <is>
          <t>Mitigasi</t>
        </is>
      </c>
      <c r="F12" s="39" t="inlineStr">
        <is>
          <t>Uji pengiriman notifikasi ke inbox penerima, alert ganda via kanal kedua</t>
        </is>
      </c>
      <c r="G12" s="39" t="inlineStr">
        <is>
          <t>8.16</t>
        </is>
      </c>
      <c r="H12" s="39" t="inlineStr">
        <is>
          <t>Lead NOC</t>
        </is>
      </c>
      <c r="I12" s="39" t="n"/>
      <c r="J12" s="40" t="n">
        <v>46568</v>
      </c>
      <c r="K12" s="39" t="inlineStr">
        <is>
          <t>Belum mulai</t>
        </is>
      </c>
      <c r="L12" s="39" t="n">
        <v>1</v>
      </c>
      <c r="M12" s="39" t="n">
        <v>3</v>
      </c>
      <c r="N12" s="41">
        <f>IF(OR(L12="",M12=""),"",L12*M12)</f>
        <v/>
      </c>
      <c r="O12" s="41">
        <f>IF(N12="","",IF(N12&gt;=20,"Kritis",IF(N12&gt;=10,"Tinggi",IF(N12&gt;=5,"Sedang","Rendah"))))</f>
        <v/>
      </c>
      <c r="P12" s="39" t="n"/>
      <c r="Q12" s="40" t="n"/>
      <c r="R12" s="39" t="n"/>
    </row>
    <row r="13" ht="35.05" customHeight="1" s="23">
      <c r="A13" s="39" t="inlineStr">
        <is>
          <t>RTP-009</t>
        </is>
      </c>
      <c r="B13" s="39" t="inlineStr">
        <is>
          <t>ISR-009</t>
        </is>
      </c>
      <c r="C13" s="39" t="inlineStr">
        <is>
          <t>Akses tidak sah oleh mantan personel atau vendor: Semua sistem dengan akun</t>
        </is>
      </c>
      <c r="D13" s="39" t="inlineStr">
        <is>
          <t>Tinggi</t>
        </is>
      </c>
      <c r="E13" s="39" t="inlineStr">
        <is>
          <t>Mitigasi</t>
        </is>
      </c>
      <c r="F13" s="39" t="inlineStr">
        <is>
          <t>Terapkan SNX-ISMS-REG-04 dan review akses privileged triwulanan</t>
        </is>
      </c>
      <c r="G13" s="39" t="inlineStr">
        <is>
          <t>5.15, 5.18, 8.2</t>
        </is>
      </c>
      <c r="H13" s="39" t="inlineStr">
        <is>
          <t>Head of Operation</t>
        </is>
      </c>
      <c r="I13" s="39" t="n"/>
      <c r="J13" s="40" t="n">
        <v>46477</v>
      </c>
      <c r="K13" s="39" t="inlineStr">
        <is>
          <t>Belum mulai</t>
        </is>
      </c>
      <c r="L13" s="39" t="n">
        <v>1</v>
      </c>
      <c r="M13" s="39" t="n">
        <v>5</v>
      </c>
      <c r="N13" s="41">
        <f>IF(OR(L13="",M13=""),"",L13*M13)</f>
        <v/>
      </c>
      <c r="O13" s="41">
        <f>IF(N13="","",IF(N13&gt;=20,"Kritis",IF(N13&gt;=10,"Tinggi",IF(N13&gt;=5,"Sedang","Rendah"))))</f>
        <v/>
      </c>
      <c r="P13" s="39" t="n"/>
      <c r="Q13" s="40" t="n"/>
      <c r="R13" s="39" t="n"/>
    </row>
    <row r="14" ht="23.85" customHeight="1" s="23">
      <c r="A14" s="39" t="inlineStr">
        <is>
          <t>RTP-010</t>
        </is>
      </c>
      <c r="B14" s="39" t="inlineStr">
        <is>
          <t>ISR-010</t>
        </is>
      </c>
      <c r="C14" s="39" t="inlineStr">
        <is>
          <t>Kebocoran informasi melalui grup chat: Komunikasi pelanggan</t>
        </is>
      </c>
      <c r="D14" s="39" t="inlineStr">
        <is>
          <t>Tinggi</t>
        </is>
      </c>
      <c r="E14" s="39" t="inlineStr">
        <is>
          <t>Mitigasi</t>
        </is>
      </c>
      <c r="F14" s="39" t="inlineStr">
        <is>
          <t>Sosialisasi SNX-ISMS-PRO-01, kredensial hanya melalui vault, audit sampling grup kerja</t>
        </is>
      </c>
      <c r="G14" s="39" t="inlineStr">
        <is>
          <t>5.14, 5.12</t>
        </is>
      </c>
      <c r="H14" s="39" t="inlineStr">
        <is>
          <t>Service Delivery Manager</t>
        </is>
      </c>
      <c r="I14" s="39" t="n"/>
      <c r="J14" s="40" t="n">
        <v>46477</v>
      </c>
      <c r="K14" s="39" t="inlineStr">
        <is>
          <t>Belum mulai</t>
        </is>
      </c>
      <c r="L14" s="39" t="n">
        <v>2</v>
      </c>
      <c r="M14" s="39" t="n">
        <v>4</v>
      </c>
      <c r="N14" s="41">
        <f>IF(OR(L14="",M14=""),"",L14*M14)</f>
        <v/>
      </c>
      <c r="O14" s="41">
        <f>IF(N14="","",IF(N14&gt;=20,"Kritis",IF(N14&gt;=10,"Tinggi",IF(N14&gt;=5,"Sedang","Rendah"))))</f>
        <v/>
      </c>
      <c r="P14" s="39" t="n"/>
      <c r="Q14" s="40" t="n"/>
      <c r="R14" s="39" t="n"/>
    </row>
    <row r="15" ht="35.05" customHeight="1" s="23">
      <c r="A15" s="39" t="inlineStr">
        <is>
          <t>RTP-011</t>
        </is>
      </c>
      <c r="B15" s="39" t="inlineStr">
        <is>
          <t>ISR-011</t>
        </is>
      </c>
      <c r="C15" s="39" t="inlineStr">
        <is>
          <t>Kebocoran melalui layanan AI atau SaaS pihak ketiga: Data RESTRICTED internal dan pelanggan</t>
        </is>
      </c>
      <c r="D15" s="39" t="inlineStr">
        <is>
          <t>Tinggi</t>
        </is>
      </c>
      <c r="E15" s="39" t="inlineStr">
        <is>
          <t>Mitigasi</t>
        </is>
      </c>
      <c r="F15" s="39" t="inlineStr">
        <is>
          <t>Daftar layanan AI yang disetujui, larangan data SECRET, pelatihan</t>
        </is>
      </c>
      <c r="G15" s="39" t="inlineStr">
        <is>
          <t>5.23, 5.14</t>
        </is>
      </c>
      <c r="H15" s="39" t="inlineStr">
        <is>
          <t>ISMS Coordinator</t>
        </is>
      </c>
      <c r="I15" s="39" t="n"/>
      <c r="J15" s="40" t="n">
        <v>46477</v>
      </c>
      <c r="K15" s="39" t="inlineStr">
        <is>
          <t>Belum mulai</t>
        </is>
      </c>
      <c r="L15" s="39" t="n">
        <v>2</v>
      </c>
      <c r="M15" s="39" t="n">
        <v>4</v>
      </c>
      <c r="N15" s="41">
        <f>IF(OR(L15="",M15=""),"",L15*M15)</f>
        <v/>
      </c>
      <c r="O15" s="41">
        <f>IF(N15="","",IF(N15&gt;=20,"Kritis",IF(N15&gt;=10,"Tinggi",IF(N15&gt;=5,"Sedang","Rendah"))))</f>
        <v/>
      </c>
      <c r="P15" s="39" t="n"/>
      <c r="Q15" s="40" t="n"/>
      <c r="R15" s="39" t="n"/>
    </row>
    <row r="16" ht="23.85" customHeight="1" s="23">
      <c r="A16" s="39" t="inlineStr">
        <is>
          <t>RTP-012</t>
        </is>
      </c>
      <c r="B16" s="39" t="inlineStr">
        <is>
          <t>ISR-012</t>
        </is>
      </c>
      <c r="C16" s="39" t="inlineStr">
        <is>
          <t>Investigasi insiden lambat atau tidak tuntas: Edge dan server dikelola</t>
        </is>
      </c>
      <c r="D16" s="39" t="inlineStr">
        <is>
          <t>Sedang</t>
        </is>
      </c>
      <c r="E16" s="39" t="inlineStr">
        <is>
          <t>Mitigasi</t>
        </is>
      </c>
      <c r="F16" s="39" t="inlineStr">
        <is>
          <t>Correlation ID edge ke origin, log per host, retensi log minimal 90 hari</t>
        </is>
      </c>
      <c r="G16" s="39" t="inlineStr">
        <is>
          <t>8.15, 8.16</t>
        </is>
      </c>
      <c r="H16" s="39" t="inlineStr">
        <is>
          <t>Lead SOC</t>
        </is>
      </c>
      <c r="I16" s="39" t="n"/>
      <c r="J16" s="40" t="n">
        <v>46568</v>
      </c>
      <c r="K16" s="39" t="inlineStr">
        <is>
          <t>Belum mulai</t>
        </is>
      </c>
      <c r="L16" s="39" t="n">
        <v>2</v>
      </c>
      <c r="M16" s="39" t="n">
        <v>3</v>
      </c>
      <c r="N16" s="41">
        <f>IF(OR(L16="",M16=""),"",L16*M16)</f>
        <v/>
      </c>
      <c r="O16" s="41">
        <f>IF(N16="","",IF(N16&gt;=20,"Kritis",IF(N16&gt;=10,"Tinggi",IF(N16&gt;=5,"Sedang","Rendah"))))</f>
        <v/>
      </c>
      <c r="P16" s="39" t="n"/>
      <c r="Q16" s="40" t="n"/>
      <c r="R16" s="39" t="n"/>
    </row>
    <row r="17" ht="23.85" customHeight="1" s="23">
      <c r="A17" s="39" t="inlineStr">
        <is>
          <t>RTP-013</t>
        </is>
      </c>
      <c r="B17" s="39" t="inlineStr">
        <is>
          <t>ISR-013</t>
        </is>
      </c>
      <c r="C17" s="39" t="inlineStr">
        <is>
          <t>Salah tindakan di production oleh tim baru: Operasi 24x7 Nusagrid</t>
        </is>
      </c>
      <c r="D17" s="39" t="inlineStr">
        <is>
          <t>Tinggi</t>
        </is>
      </c>
      <c r="E17" s="39" t="inlineStr">
        <is>
          <t>Mitigasi</t>
        </is>
      </c>
      <c r="F17" s="39" t="inlineStr">
        <is>
          <t>Onboarding dan pelatihan runbook, pendampingan shift, go-gate wajib</t>
        </is>
      </c>
      <c r="G17" s="39" t="inlineStr">
        <is>
          <t>6.3, 5.37, 8.32</t>
        </is>
      </c>
      <c r="H17" s="39" t="inlineStr">
        <is>
          <t>Head of Operation</t>
        </is>
      </c>
      <c r="I17" s="39" t="n"/>
      <c r="J17" s="40" t="n">
        <v>46477</v>
      </c>
      <c r="K17" s="39" t="inlineStr">
        <is>
          <t>Belum mulai</t>
        </is>
      </c>
      <c r="L17" s="39" t="n">
        <v>2</v>
      </c>
      <c r="M17" s="39" t="n">
        <v>4</v>
      </c>
      <c r="N17" s="41">
        <f>IF(OR(L17="",M17=""),"",L17*M17)</f>
        <v/>
      </c>
      <c r="O17" s="41">
        <f>IF(N17="","",IF(N17&gt;=20,"Kritis",IF(N17&gt;=10,"Tinggi",IF(N17&gt;=5,"Sedang","Rendah"))))</f>
        <v/>
      </c>
      <c r="P17" s="39" t="n"/>
      <c r="Q17" s="40" t="n"/>
      <c r="R17" s="39" t="n"/>
    </row>
    <row r="18" ht="23.85" customHeight="1" s="23">
      <c r="A18" s="39" t="inlineStr">
        <is>
          <t>RTP-014</t>
        </is>
      </c>
      <c r="B18" s="39" t="inlineStr">
        <is>
          <t>ISR-014</t>
        </is>
      </c>
      <c r="C18" s="39" t="inlineStr">
        <is>
          <t>Ransomware: Sistem internal kritis</t>
        </is>
      </c>
      <c r="D18" s="39" t="inlineStr">
        <is>
          <t>Tinggi</t>
        </is>
      </c>
      <c r="E18" s="39" t="inlineStr">
        <is>
          <t>Mitigasi</t>
        </is>
      </c>
      <c r="F18" s="39" t="inlineStr">
        <is>
          <t>Backup immutable, EDR di semua server internal, rotasi kredensial, uji restore</t>
        </is>
      </c>
      <c r="G18" s="39" t="inlineStr">
        <is>
          <t>8.7, 8.13, 5.29</t>
        </is>
      </c>
      <c r="H18" s="39" t="inlineStr">
        <is>
          <t>Lead SOC</t>
        </is>
      </c>
      <c r="I18" s="39" t="n"/>
      <c r="J18" s="40" t="n">
        <v>46477</v>
      </c>
      <c r="K18" s="39" t="inlineStr">
        <is>
          <t>Belum mulai</t>
        </is>
      </c>
      <c r="L18" s="39" t="n">
        <v>1</v>
      </c>
      <c r="M18" s="39" t="n">
        <v>5</v>
      </c>
      <c r="N18" s="41">
        <f>IF(OR(L18="",M18=""),"",L18*M18)</f>
        <v/>
      </c>
      <c r="O18" s="41">
        <f>IF(N18="","",IF(N18&gt;=20,"Kritis",IF(N18&gt;=10,"Tinggi",IF(N18&gt;=5,"Sedang","Rendah"))))</f>
        <v/>
      </c>
      <c r="P18" s="39" t="n"/>
      <c r="Q18" s="40" t="n"/>
      <c r="R18" s="39" t="n"/>
    </row>
    <row r="19" ht="23.85" customHeight="1" s="23">
      <c r="A19" s="39" t="inlineStr">
        <is>
          <t>RTP-015</t>
        </is>
      </c>
      <c r="B19" s="39" t="inlineStr">
        <is>
          <t>ISR-015</t>
        </is>
      </c>
      <c r="C19" s="39" t="inlineStr">
        <is>
          <t>Kehilangan atau pencurian perangkat: AST-012 laptop kerja</t>
        </is>
      </c>
      <c r="D19" s="39" t="inlineStr">
        <is>
          <t>Sedang</t>
        </is>
      </c>
      <c r="E19" s="39" t="inlineStr">
        <is>
          <t>Mitigasi</t>
        </is>
      </c>
      <c r="F19" s="39" t="inlineStr">
        <is>
          <t>Verifikasi disk encryption dan EDR di semua laptop, prosedur pelaporan kehilangan</t>
        </is>
      </c>
      <c r="G19" s="39" t="inlineStr">
        <is>
          <t>8.1, 7.9</t>
        </is>
      </c>
      <c r="H19" s="39" t="inlineStr">
        <is>
          <t>Head of Operation</t>
        </is>
      </c>
      <c r="I19" s="39" t="n"/>
      <c r="J19" s="40" t="n">
        <v>46568</v>
      </c>
      <c r="K19" s="39" t="inlineStr">
        <is>
          <t>Belum mulai</t>
        </is>
      </c>
      <c r="L19" s="39" t="n">
        <v>1</v>
      </c>
      <c r="M19" s="39" t="n">
        <v>4</v>
      </c>
      <c r="N19" s="41">
        <f>IF(OR(L19="",M19=""),"",L19*M19)</f>
        <v/>
      </c>
      <c r="O19" s="41">
        <f>IF(N19="","",IF(N19&gt;=20,"Kritis",IF(N19&gt;=10,"Tinggi",IF(N19&gt;=5,"Sedang","Rendah"))))</f>
        <v/>
      </c>
      <c r="P19" s="39" t="n"/>
      <c r="Q19" s="40" t="n"/>
      <c r="R19" s="39" t="n"/>
    </row>
    <row r="20" ht="15" customHeight="1" s="23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3" t="n"/>
      <c r="K20" s="42" t="n"/>
      <c r="L20" s="42" t="n"/>
      <c r="M20" s="42" t="n"/>
      <c r="N20" s="41">
        <f>IF(OR(L20="",M20=""),"",L20*M20)</f>
        <v/>
      </c>
      <c r="O20" s="41">
        <f>IF(N20="","",IF(N20&gt;=20,"Kritis",IF(N20&gt;=10,"Tinggi",IF(N20&gt;=5,"Sedang","Rendah"))))</f>
        <v/>
      </c>
      <c r="P20" s="42" t="n"/>
      <c r="Q20" s="43" t="n"/>
      <c r="R20" s="42" t="n"/>
    </row>
    <row r="21" ht="15" customHeight="1" s="23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3" t="n"/>
      <c r="K21" s="42" t="n"/>
      <c r="L21" s="42" t="n"/>
      <c r="M21" s="42" t="n"/>
      <c r="N21" s="41">
        <f>IF(OR(L21="",M21=""),"",L21*M21)</f>
        <v/>
      </c>
      <c r="O21" s="41">
        <f>IF(N21="","",IF(N21&gt;=20,"Kritis",IF(N21&gt;=10,"Tinggi",IF(N21&gt;=5,"Sedang","Rendah"))))</f>
        <v/>
      </c>
      <c r="P21" s="42" t="n"/>
      <c r="Q21" s="43" t="n"/>
      <c r="R21" s="42" t="n"/>
    </row>
    <row r="22" ht="15" customHeight="1" s="23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3" t="n"/>
      <c r="K22" s="42" t="n"/>
      <c r="L22" s="42" t="n"/>
      <c r="M22" s="42" t="n"/>
      <c r="N22" s="41">
        <f>IF(OR(L22="",M22=""),"",L22*M22)</f>
        <v/>
      </c>
      <c r="O22" s="41">
        <f>IF(N22="","",IF(N22&gt;=20,"Kritis",IF(N22&gt;=10,"Tinggi",IF(N22&gt;=5,"Sedang","Rendah"))))</f>
        <v/>
      </c>
      <c r="P22" s="42" t="n"/>
      <c r="Q22" s="43" t="n"/>
      <c r="R22" s="42" t="n"/>
    </row>
    <row r="23" ht="15" customHeight="1" s="23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3" t="n"/>
      <c r="K23" s="42" t="n"/>
      <c r="L23" s="42" t="n"/>
      <c r="M23" s="42" t="n"/>
      <c r="N23" s="41">
        <f>IF(OR(L23="",M23=""),"",L23*M23)</f>
        <v/>
      </c>
      <c r="O23" s="41">
        <f>IF(N23="","",IF(N23&gt;=20,"Kritis",IF(N23&gt;=10,"Tinggi",IF(N23&gt;=5,"Sedang","Rendah"))))</f>
        <v/>
      </c>
      <c r="P23" s="42" t="n"/>
      <c r="Q23" s="43" t="n"/>
      <c r="R23" s="42" t="n"/>
    </row>
    <row r="24" ht="15" customHeight="1" s="23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3" t="n"/>
      <c r="K24" s="42" t="n"/>
      <c r="L24" s="42" t="n"/>
      <c r="M24" s="42" t="n"/>
      <c r="N24" s="41">
        <f>IF(OR(L24="",M24=""),"",L24*M24)</f>
        <v/>
      </c>
      <c r="O24" s="41">
        <f>IF(N24="","",IF(N24&gt;=20,"Kritis",IF(N24&gt;=10,"Tinggi",IF(N24&gt;=5,"Sedang","Rendah"))))</f>
        <v/>
      </c>
      <c r="P24" s="42" t="n"/>
      <c r="Q24" s="43" t="n"/>
      <c r="R24" s="42" t="n"/>
    </row>
    <row r="25" ht="15" customHeight="1" s="23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3" t="n"/>
      <c r="K25" s="42" t="n"/>
      <c r="L25" s="42" t="n"/>
      <c r="M25" s="42" t="n"/>
      <c r="N25" s="41">
        <f>IF(OR(L25="",M25=""),"",L25*M25)</f>
        <v/>
      </c>
      <c r="O25" s="41">
        <f>IF(N25="","",IF(N25&gt;=20,"Kritis",IF(N25&gt;=10,"Tinggi",IF(N25&gt;=5,"Sedang","Rendah"))))</f>
        <v/>
      </c>
      <c r="P25" s="42" t="n"/>
      <c r="Q25" s="43" t="n"/>
      <c r="R25" s="42" t="n"/>
    </row>
    <row r="26" ht="15" customHeight="1" s="23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3" t="n"/>
      <c r="K26" s="42" t="n"/>
      <c r="L26" s="42" t="n"/>
      <c r="M26" s="42" t="n"/>
      <c r="N26" s="41">
        <f>IF(OR(L26="",M26=""),"",L26*M26)</f>
        <v/>
      </c>
      <c r="O26" s="41">
        <f>IF(N26="","",IF(N26&gt;=20,"Kritis",IF(N26&gt;=10,"Tinggi",IF(N26&gt;=5,"Sedang","Rendah"))))</f>
        <v/>
      </c>
      <c r="P26" s="42" t="n"/>
      <c r="Q26" s="43" t="n"/>
      <c r="R26" s="42" t="n"/>
    </row>
    <row r="27" ht="15" customHeight="1" s="23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3" t="n"/>
      <c r="K27" s="42" t="n"/>
      <c r="L27" s="42" t="n"/>
      <c r="M27" s="42" t="n"/>
      <c r="N27" s="41">
        <f>IF(OR(L27="",M27=""),"",L27*M27)</f>
        <v/>
      </c>
      <c r="O27" s="41">
        <f>IF(N27="","",IF(N27&gt;=20,"Kritis",IF(N27&gt;=10,"Tinggi",IF(N27&gt;=5,"Sedang","Rendah"))))</f>
        <v/>
      </c>
      <c r="P27" s="42" t="n"/>
      <c r="Q27" s="43" t="n"/>
      <c r="R27" s="42" t="n"/>
    </row>
    <row r="28" ht="15" customHeight="1" s="23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3" t="n"/>
      <c r="K28" s="42" t="n"/>
      <c r="L28" s="42" t="n"/>
      <c r="M28" s="42" t="n"/>
      <c r="N28" s="41">
        <f>IF(OR(L28="",M28=""),"",L28*M28)</f>
        <v/>
      </c>
      <c r="O28" s="41">
        <f>IF(N28="","",IF(N28&gt;=20,"Kritis",IF(N28&gt;=10,"Tinggi",IF(N28&gt;=5,"Sedang","Rendah"))))</f>
        <v/>
      </c>
      <c r="P28" s="42" t="n"/>
      <c r="Q28" s="43" t="n"/>
      <c r="R28" s="42" t="n"/>
    </row>
    <row r="29" ht="15" customHeight="1" s="23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3" t="n"/>
      <c r="K29" s="42" t="n"/>
      <c r="L29" s="42" t="n"/>
      <c r="M29" s="42" t="n"/>
      <c r="N29" s="41">
        <f>IF(OR(L29="",M29=""),"",L29*M29)</f>
        <v/>
      </c>
      <c r="O29" s="41">
        <f>IF(N29="","",IF(N29&gt;=20,"Kritis",IF(N29&gt;=10,"Tinggi",IF(N29&gt;=5,"Sedang","Rendah"))))</f>
        <v/>
      </c>
      <c r="P29" s="42" t="n"/>
      <c r="Q29" s="43" t="n"/>
      <c r="R29" s="42" t="n"/>
    </row>
    <row r="30" ht="15" customHeight="1" s="23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3" t="n"/>
      <c r="K30" s="42" t="n"/>
      <c r="L30" s="42" t="n"/>
      <c r="M30" s="42" t="n"/>
      <c r="N30" s="41">
        <f>IF(OR(L30="",M30=""),"",L30*M30)</f>
        <v/>
      </c>
      <c r="O30" s="41">
        <f>IF(N30="","",IF(N30&gt;=20,"Kritis",IF(N30&gt;=10,"Tinggi",IF(N30&gt;=5,"Sedang","Rendah"))))</f>
        <v/>
      </c>
      <c r="P30" s="42" t="n"/>
      <c r="Q30" s="43" t="n"/>
      <c r="R30" s="42" t="n"/>
    </row>
    <row r="31" ht="15" customHeight="1" s="23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3" t="n"/>
      <c r="K31" s="42" t="n"/>
      <c r="L31" s="42" t="n"/>
      <c r="M31" s="42" t="n"/>
      <c r="N31" s="41">
        <f>IF(OR(L31="",M31=""),"",L31*M31)</f>
        <v/>
      </c>
      <c r="O31" s="41">
        <f>IF(N31="","",IF(N31&gt;=20,"Kritis",IF(N31&gt;=10,"Tinggi",IF(N31&gt;=5,"Sedang","Rendah"))))</f>
        <v/>
      </c>
      <c r="P31" s="42" t="n"/>
      <c r="Q31" s="43" t="n"/>
      <c r="R31" s="42" t="n"/>
    </row>
    <row r="32" ht="15" customHeight="1" s="23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3" t="n"/>
      <c r="K32" s="42" t="n"/>
      <c r="L32" s="42" t="n"/>
      <c r="M32" s="42" t="n"/>
      <c r="N32" s="41">
        <f>IF(OR(L32="",M32=""),"",L32*M32)</f>
        <v/>
      </c>
      <c r="O32" s="41">
        <f>IF(N32="","",IF(N32&gt;=20,"Kritis",IF(N32&gt;=10,"Tinggi",IF(N32&gt;=5,"Sedang","Rendah"))))</f>
        <v/>
      </c>
      <c r="P32" s="42" t="n"/>
      <c r="Q32" s="43" t="n"/>
      <c r="R32" s="42" t="n"/>
    </row>
    <row r="33" ht="15" customHeight="1" s="23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3" t="n"/>
      <c r="K33" s="42" t="n"/>
      <c r="L33" s="42" t="n"/>
      <c r="M33" s="42" t="n"/>
      <c r="N33" s="41">
        <f>IF(OR(L33="",M33=""),"",L33*M33)</f>
        <v/>
      </c>
      <c r="O33" s="41">
        <f>IF(N33="","",IF(N33&gt;=20,"Kritis",IF(N33&gt;=10,"Tinggi",IF(N33&gt;=5,"Sedang","Rendah"))))</f>
        <v/>
      </c>
      <c r="P33" s="42" t="n"/>
      <c r="Q33" s="43" t="n"/>
      <c r="R33" s="42" t="n"/>
    </row>
    <row r="34" ht="15" customHeight="1" s="23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3" t="n"/>
      <c r="K34" s="42" t="n"/>
      <c r="L34" s="42" t="n"/>
      <c r="M34" s="42" t="n"/>
      <c r="N34" s="41">
        <f>IF(OR(L34="",M34=""),"",L34*M34)</f>
        <v/>
      </c>
      <c r="O34" s="41">
        <f>IF(N34="","",IF(N34&gt;=20,"Kritis",IF(N34&gt;=10,"Tinggi",IF(N34&gt;=5,"Sedang","Rendah"))))</f>
        <v/>
      </c>
      <c r="P34" s="42" t="n"/>
      <c r="Q34" s="43" t="n"/>
      <c r="R34" s="42" t="n"/>
    </row>
    <row r="35" ht="15" customHeight="1" s="23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3" t="n"/>
      <c r="K35" s="42" t="n"/>
      <c r="L35" s="42" t="n"/>
      <c r="M35" s="42" t="n"/>
      <c r="N35" s="41">
        <f>IF(OR(L35="",M35=""),"",L35*M35)</f>
        <v/>
      </c>
      <c r="O35" s="41">
        <f>IF(N35="","",IF(N35&gt;=20,"Kritis",IF(N35&gt;=10,"Tinggi",IF(N35&gt;=5,"Sedang","Rendah"))))</f>
        <v/>
      </c>
      <c r="P35" s="42" t="n"/>
      <c r="Q35" s="43" t="n"/>
      <c r="R35" s="42" t="n"/>
    </row>
    <row r="36" ht="15" customHeight="1" s="23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3" t="n"/>
      <c r="K36" s="42" t="n"/>
      <c r="L36" s="42" t="n"/>
      <c r="M36" s="42" t="n"/>
      <c r="N36" s="41">
        <f>IF(OR(L36="",M36=""),"",L36*M36)</f>
        <v/>
      </c>
      <c r="O36" s="41">
        <f>IF(N36="","",IF(N36&gt;=20,"Kritis",IF(N36&gt;=10,"Tinggi",IF(N36&gt;=5,"Sedang","Rendah"))))</f>
        <v/>
      </c>
      <c r="P36" s="42" t="n"/>
      <c r="Q36" s="43" t="n"/>
      <c r="R36" s="42" t="n"/>
    </row>
    <row r="37" ht="15" customHeight="1" s="23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3" t="n"/>
      <c r="K37" s="42" t="n"/>
      <c r="L37" s="42" t="n"/>
      <c r="M37" s="42" t="n"/>
      <c r="N37" s="41">
        <f>IF(OR(L37="",M37=""),"",L37*M37)</f>
        <v/>
      </c>
      <c r="O37" s="41">
        <f>IF(N37="","",IF(N37&gt;=20,"Kritis",IF(N37&gt;=10,"Tinggi",IF(N37&gt;=5,"Sedang","Rendah"))))</f>
        <v/>
      </c>
      <c r="P37" s="42" t="n"/>
      <c r="Q37" s="43" t="n"/>
      <c r="R37" s="42" t="n"/>
    </row>
    <row r="38" ht="15" customHeight="1" s="23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3" t="n"/>
      <c r="K38" s="42" t="n"/>
      <c r="L38" s="42" t="n"/>
      <c r="M38" s="42" t="n"/>
      <c r="N38" s="41">
        <f>IF(OR(L38="",M38=""),"",L38*M38)</f>
        <v/>
      </c>
      <c r="O38" s="41">
        <f>IF(N38="","",IF(N38&gt;=20,"Kritis",IF(N38&gt;=10,"Tinggi",IF(N38&gt;=5,"Sedang","Rendah"))))</f>
        <v/>
      </c>
      <c r="P38" s="42" t="n"/>
      <c r="Q38" s="43" t="n"/>
      <c r="R38" s="42" t="n"/>
    </row>
    <row r="39" ht="15" customHeight="1" s="23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3" t="n"/>
      <c r="K39" s="42" t="n"/>
      <c r="L39" s="42" t="n"/>
      <c r="M39" s="42" t="n"/>
      <c r="N39" s="41">
        <f>IF(OR(L39="",M39=""),"",L39*M39)</f>
        <v/>
      </c>
      <c r="O39" s="41">
        <f>IF(N39="","",IF(N39&gt;=20,"Kritis",IF(N39&gt;=10,"Tinggi",IF(N39&gt;=5,"Sedang","Rendah"))))</f>
        <v/>
      </c>
      <c r="P39" s="42" t="n"/>
      <c r="Q39" s="43" t="n"/>
      <c r="R39" s="42" t="n"/>
    </row>
    <row r="40" ht="15" customHeight="1" s="23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3" t="n"/>
      <c r="K40" s="42" t="n"/>
      <c r="L40" s="42" t="n"/>
      <c r="M40" s="42" t="n"/>
      <c r="N40" s="41">
        <f>IF(OR(L40="",M40=""),"",L40*M40)</f>
        <v/>
      </c>
      <c r="O40" s="41">
        <f>IF(N40="","",IF(N40&gt;=20,"Kritis",IF(N40&gt;=10,"Tinggi",IF(N40&gt;=5,"Sedang","Rendah"))))</f>
        <v/>
      </c>
      <c r="P40" s="42" t="n"/>
      <c r="Q40" s="43" t="n"/>
      <c r="R40" s="42" t="n"/>
    </row>
    <row r="41" ht="15" customHeight="1" s="23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3" t="n"/>
      <c r="K41" s="42" t="n"/>
      <c r="L41" s="42" t="n"/>
      <c r="M41" s="42" t="n"/>
      <c r="N41" s="41">
        <f>IF(OR(L41="",M41=""),"",L41*M41)</f>
        <v/>
      </c>
      <c r="O41" s="41">
        <f>IF(N41="","",IF(N41&gt;=20,"Kritis",IF(N41&gt;=10,"Tinggi",IF(N41&gt;=5,"Sedang","Rendah"))))</f>
        <v/>
      </c>
      <c r="P41" s="42" t="n"/>
      <c r="Q41" s="43" t="n"/>
      <c r="R41" s="42" t="n"/>
    </row>
    <row r="42" ht="15" customHeight="1" s="23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3" t="n"/>
      <c r="K42" s="42" t="n"/>
      <c r="L42" s="42" t="n"/>
      <c r="M42" s="42" t="n"/>
      <c r="N42" s="41">
        <f>IF(OR(L42="",M42=""),"",L42*M42)</f>
        <v/>
      </c>
      <c r="O42" s="41">
        <f>IF(N42="","",IF(N42&gt;=20,"Kritis",IF(N42&gt;=10,"Tinggi",IF(N42&gt;=5,"Sedang","Rendah"))))</f>
        <v/>
      </c>
      <c r="P42" s="42" t="n"/>
      <c r="Q42" s="43" t="n"/>
      <c r="R42" s="42" t="n"/>
    </row>
    <row r="43" ht="15" customHeight="1" s="23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3" t="n"/>
      <c r="K43" s="42" t="n"/>
      <c r="L43" s="42" t="n"/>
      <c r="M43" s="42" t="n"/>
      <c r="N43" s="41">
        <f>IF(OR(L43="",M43=""),"",L43*M43)</f>
        <v/>
      </c>
      <c r="O43" s="41">
        <f>IF(N43="","",IF(N43&gt;=20,"Kritis",IF(N43&gt;=10,"Tinggi",IF(N43&gt;=5,"Sedang","Rendah"))))</f>
        <v/>
      </c>
      <c r="P43" s="42" t="n"/>
      <c r="Q43" s="43" t="n"/>
      <c r="R43" s="42" t="n"/>
    </row>
    <row r="44" ht="15" customHeight="1" s="23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3" t="n"/>
      <c r="K44" s="42" t="n"/>
      <c r="L44" s="42" t="n"/>
      <c r="M44" s="42" t="n"/>
      <c r="N44" s="41">
        <f>IF(OR(L44="",M44=""),"",L44*M44)</f>
        <v/>
      </c>
      <c r="O44" s="41">
        <f>IF(N44="","",IF(N44&gt;=20,"Kritis",IF(N44&gt;=10,"Tinggi",IF(N44&gt;=5,"Sedang","Rendah"))))</f>
        <v/>
      </c>
      <c r="P44" s="42" t="n"/>
      <c r="Q44" s="43" t="n"/>
      <c r="R44" s="42" t="n"/>
    </row>
    <row r="45" ht="15" customHeight="1" s="23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3" t="n"/>
      <c r="K45" s="42" t="n"/>
      <c r="L45" s="42" t="n"/>
      <c r="M45" s="42" t="n"/>
      <c r="N45" s="41">
        <f>IF(OR(L45="",M45=""),"",L45*M45)</f>
        <v/>
      </c>
      <c r="O45" s="41">
        <f>IF(N45="","",IF(N45&gt;=20,"Kritis",IF(N45&gt;=10,"Tinggi",IF(N45&gt;=5,"Sedang","Rendah"))))</f>
        <v/>
      </c>
      <c r="P45" s="42" t="n"/>
      <c r="Q45" s="43" t="n"/>
      <c r="R45" s="42" t="n"/>
    </row>
    <row r="46" ht="15" customHeight="1" s="23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3" t="n"/>
      <c r="K46" s="42" t="n"/>
      <c r="L46" s="42" t="n"/>
      <c r="M46" s="42" t="n"/>
      <c r="N46" s="41">
        <f>IF(OR(L46="",M46=""),"",L46*M46)</f>
        <v/>
      </c>
      <c r="O46" s="41">
        <f>IF(N46="","",IF(N46&gt;=20,"Kritis",IF(N46&gt;=10,"Tinggi",IF(N46&gt;=5,"Sedang","Rendah"))))</f>
        <v/>
      </c>
      <c r="P46" s="42" t="n"/>
      <c r="Q46" s="43" t="n"/>
      <c r="R46" s="42" t="n"/>
    </row>
    <row r="47" ht="15" customHeight="1" s="23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3" t="n"/>
      <c r="K47" s="42" t="n"/>
      <c r="L47" s="42" t="n"/>
      <c r="M47" s="42" t="n"/>
      <c r="N47" s="41">
        <f>IF(OR(L47="",M47=""),"",L47*M47)</f>
        <v/>
      </c>
      <c r="O47" s="41">
        <f>IF(N47="","",IF(N47&gt;=20,"Kritis",IF(N47&gt;=10,"Tinggi",IF(N47&gt;=5,"Sedang","Rendah"))))</f>
        <v/>
      </c>
      <c r="P47" s="42" t="n"/>
      <c r="Q47" s="43" t="n"/>
      <c r="R47" s="42" t="n"/>
    </row>
    <row r="48" ht="15" customHeight="1" s="23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3" t="n"/>
      <c r="K48" s="42" t="n"/>
      <c r="L48" s="42" t="n"/>
      <c r="M48" s="42" t="n"/>
      <c r="N48" s="41">
        <f>IF(OR(L48="",M48=""),"",L48*M48)</f>
        <v/>
      </c>
      <c r="O48" s="41">
        <f>IF(N48="","",IF(N48&gt;=20,"Kritis",IF(N48&gt;=10,"Tinggi",IF(N48&gt;=5,"Sedang","Rendah"))))</f>
        <v/>
      </c>
      <c r="P48" s="42" t="n"/>
      <c r="Q48" s="43" t="n"/>
      <c r="R48" s="42" t="n"/>
    </row>
    <row r="49" ht="15" customHeight="1" s="23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3" t="n"/>
      <c r="K49" s="42" t="n"/>
      <c r="L49" s="42" t="n"/>
      <c r="M49" s="42" t="n"/>
      <c r="N49" s="41">
        <f>IF(OR(L49="",M49=""),"",L49*M49)</f>
        <v/>
      </c>
      <c r="O49" s="41">
        <f>IF(N49="","",IF(N49&gt;=20,"Kritis",IF(N49&gt;=10,"Tinggi",IF(N49&gt;=5,"Sedang","Rendah"))))</f>
        <v/>
      </c>
      <c r="P49" s="42" t="n"/>
      <c r="Q49" s="43" t="n"/>
      <c r="R49" s="42" t="n"/>
    </row>
    <row r="50" ht="15" customHeight="1" s="23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3" t="n"/>
      <c r="K50" s="42" t="n"/>
      <c r="L50" s="42" t="n"/>
      <c r="M50" s="42" t="n"/>
      <c r="N50" s="41">
        <f>IF(OR(L50="",M50=""),"",L50*M50)</f>
        <v/>
      </c>
      <c r="O50" s="41">
        <f>IF(N50="","",IF(N50&gt;=20,"Kritis",IF(N50&gt;=10,"Tinggi",IF(N50&gt;=5,"Sedang","Rendah"))))</f>
        <v/>
      </c>
      <c r="P50" s="42" t="n"/>
      <c r="Q50" s="43" t="n"/>
      <c r="R50" s="42" t="n"/>
    </row>
    <row r="51" ht="15" customHeight="1" s="23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3" t="n"/>
      <c r="K51" s="42" t="n"/>
      <c r="L51" s="42" t="n"/>
      <c r="M51" s="42" t="n"/>
      <c r="N51" s="41">
        <f>IF(OR(L51="",M51=""),"",L51*M51)</f>
        <v/>
      </c>
      <c r="O51" s="41">
        <f>IF(N51="","",IF(N51&gt;=20,"Kritis",IF(N51&gt;=10,"Tinggi",IF(N51&gt;=5,"Sedang","Rendah"))))</f>
        <v/>
      </c>
      <c r="P51" s="42" t="n"/>
      <c r="Q51" s="43" t="n"/>
      <c r="R51" s="42" t="n"/>
    </row>
    <row r="52" ht="15" customHeight="1" s="23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3" t="n"/>
      <c r="K52" s="42" t="n"/>
      <c r="L52" s="42" t="n"/>
      <c r="M52" s="42" t="n"/>
      <c r="N52" s="41">
        <f>IF(OR(L52="",M52=""),"",L52*M52)</f>
        <v/>
      </c>
      <c r="O52" s="41">
        <f>IF(N52="","",IF(N52&gt;=20,"Kritis",IF(N52&gt;=10,"Tinggi",IF(N52&gt;=5,"Sedang","Rendah"))))</f>
        <v/>
      </c>
      <c r="P52" s="42" t="n"/>
      <c r="Q52" s="43" t="n"/>
      <c r="R52" s="42" t="n"/>
    </row>
    <row r="53" ht="15" customHeight="1" s="23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3" t="n"/>
      <c r="K53" s="42" t="n"/>
      <c r="L53" s="42" t="n"/>
      <c r="M53" s="42" t="n"/>
      <c r="N53" s="41">
        <f>IF(OR(L53="",M53=""),"",L53*M53)</f>
        <v/>
      </c>
      <c r="O53" s="41">
        <f>IF(N53="","",IF(N53&gt;=20,"Kritis",IF(N53&gt;=10,"Tinggi",IF(N53&gt;=5,"Sedang","Rendah"))))</f>
        <v/>
      </c>
      <c r="P53" s="42" t="n"/>
      <c r="Q53" s="43" t="n"/>
      <c r="R53" s="42" t="n"/>
    </row>
    <row r="54" ht="15" customHeight="1" s="23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3" t="n"/>
      <c r="K54" s="42" t="n"/>
      <c r="L54" s="42" t="n"/>
      <c r="M54" s="42" t="n"/>
      <c r="N54" s="41">
        <f>IF(OR(L54="",M54=""),"",L54*M54)</f>
        <v/>
      </c>
      <c r="O54" s="41">
        <f>IF(N54="","",IF(N54&gt;=20,"Kritis",IF(N54&gt;=10,"Tinggi",IF(N54&gt;=5,"Sedang","Rendah"))))</f>
        <v/>
      </c>
      <c r="P54" s="42" t="n"/>
      <c r="Q54" s="43" t="n"/>
      <c r="R54" s="42" t="n"/>
    </row>
    <row r="55" ht="15" customHeight="1" s="23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3" t="n"/>
      <c r="K55" s="42" t="n"/>
      <c r="L55" s="42" t="n"/>
      <c r="M55" s="42" t="n"/>
      <c r="N55" s="41">
        <f>IF(OR(L55="",M55=""),"",L55*M55)</f>
        <v/>
      </c>
      <c r="O55" s="41">
        <f>IF(N55="","",IF(N55&gt;=20,"Kritis",IF(N55&gt;=10,"Tinggi",IF(N55&gt;=5,"Sedang","Rendah"))))</f>
        <v/>
      </c>
      <c r="P55" s="42" t="n"/>
      <c r="Q55" s="43" t="n"/>
      <c r="R55" s="42" t="n"/>
    </row>
    <row r="56" ht="15" customHeight="1" s="23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3" t="n"/>
      <c r="K56" s="42" t="n"/>
      <c r="L56" s="42" t="n"/>
      <c r="M56" s="42" t="n"/>
      <c r="N56" s="41">
        <f>IF(OR(L56="",M56=""),"",L56*M56)</f>
        <v/>
      </c>
      <c r="O56" s="41">
        <f>IF(N56="","",IF(N56&gt;=20,"Kritis",IF(N56&gt;=10,"Tinggi",IF(N56&gt;=5,"Sedang","Rendah"))))</f>
        <v/>
      </c>
      <c r="P56" s="42" t="n"/>
      <c r="Q56" s="43" t="n"/>
      <c r="R56" s="42" t="n"/>
    </row>
    <row r="57" ht="15" customHeight="1" s="23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3" t="n"/>
      <c r="K57" s="42" t="n"/>
      <c r="L57" s="42" t="n"/>
      <c r="M57" s="42" t="n"/>
      <c r="N57" s="41">
        <f>IF(OR(L57="",M57=""),"",L57*M57)</f>
        <v/>
      </c>
      <c r="O57" s="41">
        <f>IF(N57="","",IF(N57&gt;=20,"Kritis",IF(N57&gt;=10,"Tinggi",IF(N57&gt;=5,"Sedang","Rendah"))))</f>
        <v/>
      </c>
      <c r="P57" s="42" t="n"/>
      <c r="Q57" s="43" t="n"/>
      <c r="R57" s="42" t="n"/>
    </row>
    <row r="58" ht="15" customHeight="1" s="23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3" t="n"/>
      <c r="K58" s="42" t="n"/>
      <c r="L58" s="42" t="n"/>
      <c r="M58" s="42" t="n"/>
      <c r="N58" s="41">
        <f>IF(OR(L58="",M58=""),"",L58*M58)</f>
        <v/>
      </c>
      <c r="O58" s="41">
        <f>IF(N58="","",IF(N58&gt;=20,"Kritis",IF(N58&gt;=10,"Tinggi",IF(N58&gt;=5,"Sedang","Rendah"))))</f>
        <v/>
      </c>
      <c r="P58" s="42" t="n"/>
      <c r="Q58" s="43" t="n"/>
      <c r="R58" s="42" t="n"/>
    </row>
    <row r="59" ht="15" customHeight="1" s="23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3" t="n"/>
      <c r="K59" s="42" t="n"/>
      <c r="L59" s="42" t="n"/>
      <c r="M59" s="42" t="n"/>
      <c r="N59" s="41">
        <f>IF(OR(L59="",M59=""),"",L59*M59)</f>
        <v/>
      </c>
      <c r="O59" s="41">
        <f>IF(N59="","",IF(N59&gt;=20,"Kritis",IF(N59&gt;=10,"Tinggi",IF(N59&gt;=5,"Sedang","Rendah"))))</f>
        <v/>
      </c>
      <c r="P59" s="42" t="n"/>
      <c r="Q59" s="43" t="n"/>
      <c r="R59" s="42" t="n"/>
    </row>
  </sheetData>
  <autoFilter ref="A4:R59"/>
  <conditionalFormatting sqref="D5:D59">
    <cfRule type="cellIs" rank="0" priority="2" equalAverage="0" operator="equal" aboveAverage="0" dxfId="10" text="" percent="0" bottom="0">
      <formula>"Rendah"</formula>
    </cfRule>
    <cfRule type="cellIs" rank="0" priority="3" equalAverage="0" operator="equal" aboveAverage="0" dxfId="11" text="" percent="0" bottom="0">
      <formula>"Sedang"</formula>
    </cfRule>
    <cfRule type="cellIs" rank="0" priority="4" equalAverage="0" operator="equal" aboveAverage="0" dxfId="12" text="" percent="0" bottom="0">
      <formula>"Tinggi"</formula>
    </cfRule>
    <cfRule type="cellIs" rank="0" priority="5" equalAverage="0" operator="equal" aboveAverage="0" dxfId="13" text="" percent="0" bottom="0">
      <formula>"Kritis"</formula>
    </cfRule>
  </conditionalFormatting>
  <conditionalFormatting sqref="O5:O59">
    <cfRule type="cellIs" rank="0" priority="6" equalAverage="0" operator="equal" aboveAverage="0" dxfId="10" text="" percent="0" bottom="0">
      <formula>"Rendah"</formula>
    </cfRule>
    <cfRule type="cellIs" rank="0" priority="7" equalAverage="0" operator="equal" aboveAverage="0" dxfId="11" text="" percent="0" bottom="0">
      <formula>"Sedang"</formula>
    </cfRule>
    <cfRule type="cellIs" rank="0" priority="8" equalAverage="0" operator="equal" aboveAverage="0" dxfId="12" text="" percent="0" bottom="0">
      <formula>"Tinggi"</formula>
    </cfRule>
    <cfRule type="cellIs" rank="0" priority="9" equalAverage="0" operator="equal" aboveAverage="0" dxfId="13" text="" percent="0" bottom="0">
      <formula>"Kritis"</formula>
    </cfRule>
  </conditionalFormatting>
  <conditionalFormatting sqref="K5:K59">
    <cfRule type="expression" rank="0" priority="10" equalAverage="0" aboveAverage="0" dxfId="14" text="" percent="0" bottom="0">
      <formula>AND($J5&lt;&gt;"",$J5&lt;TODAY(),$K5&lt;&gt;"Selesai")</formula>
    </cfRule>
    <cfRule type="cellIs" rank="0" priority="11" equalAverage="0" operator="equal" aboveAverage="0" dxfId="10" text="" percent="0" bottom="0">
      <formula>"Selesai"</formula>
    </cfRule>
    <cfRule type="cellIs" rank="0" priority="12" equalAverage="0" operator="equal" aboveAverage="0" dxfId="11" text="" percent="0" bottom="0">
      <formula>"Tertunda"</formula>
    </cfRule>
  </conditionalFormatting>
  <dataValidations count="4">
    <dataValidation sqref="E5:E59" showDropDown="0" showInputMessage="0" showErrorMessage="0" allowBlank="1" type="list" errorStyle="stop" operator="between">
      <formula1>Daftar!$A$2:$A$5</formula1>
      <formula2>0</formula2>
    </dataValidation>
    <dataValidation sqref="K5:K59" showDropDown="0" showInputMessage="0" showErrorMessage="0" allowBlank="1" type="list" errorStyle="stop" operator="between">
      <formula1>Daftar!$B$2:$B$5</formula1>
      <formula2>0</formula2>
    </dataValidation>
    <dataValidation sqref="L5:L59" showDropDown="0" showInputMessage="0" showErrorMessage="0" allowBlank="1" type="list" errorStyle="stop" operator="between">
      <formula1>Daftar!$C$2:$C$6</formula1>
      <formula2>0</formula2>
    </dataValidation>
    <dataValidation sqref="M5:M59" showDropDown="0" showInputMessage="0" showErrorMessage="0" allowBlank="1" type="list" errorStyle="stop" operator="between">
      <formula1>Daftar!$C$2:$C$6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2026-10-13T06:09:07Z</dcterms:created>
  <dcterms:modified xmlns:dcterms="http://purl.org/dc/terms/" xmlns:xsi="http://www.w3.org/2001/XMLSchema-instance" xsi:type="dcterms:W3CDTF">2026-10-14T21:57:34Z</dcterms:modified>
  <cp:revision>0</cp:revision>
</cp:coreProperties>
</file>