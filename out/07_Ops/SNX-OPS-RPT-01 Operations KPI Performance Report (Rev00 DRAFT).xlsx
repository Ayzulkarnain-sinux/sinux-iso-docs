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KPI" sheetId="3" state="visible" r:id="rId3"/>
    <sheet xmlns:r="http://schemas.openxmlformats.org/officeDocument/2006/relationships" name="Narasi Bulanan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general" vertical="top" wrapText="1"/>
    </xf>
    <xf numFmtId="164" fontId="11" fillId="2" borderId="1" applyAlignment="1" pivotButton="0" quotePrefix="0" xfId="0">
      <alignment horizontal="general" vertical="top" wrapText="1"/>
    </xf>
    <xf numFmtId="164" fontId="11" fillId="2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" fontId="11" fillId="2" borderId="1" applyAlignment="1" pivotButton="0" quotePrefix="0" xfId="0">
      <alignment horizontal="general" vertical="top" wrapText="1"/>
    </xf>
    <xf numFmtId="1" fontId="11" fillId="2" borderId="1" applyAlignment="1" pivotButton="0" quotePrefix="0" xfId="0">
      <alignment horizontal="general" vertical="bottom"/>
    </xf>
    <xf numFmtId="1" fontId="11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general" vertical="top" wrapText="1"/>
    </xf>
    <xf numFmtId="164" fontId="11" fillId="2" borderId="1" applyAlignment="1" pivotButton="0" quotePrefix="0" xfId="0">
      <alignment horizontal="general" vertical="top" wrapText="1"/>
    </xf>
    <xf numFmtId="164" fontId="11" fillId="2" borderId="1" applyAlignment="1" pivotButton="0" quotePrefix="0" xfId="0">
      <alignment horizontal="general" vertical="bottom"/>
    </xf>
    <xf numFmtId="164" fontId="11" fillId="4" borderId="1" applyAlignment="1" pivotButton="0" quotePrefix="0" xfId="0">
      <alignment horizontal="general" vertical="bottom"/>
    </xf>
    <xf numFmtId="0" fontId="11" fillId="4" borderId="1" applyAlignment="1" pivotButton="0" quotePrefix="0" xfId="0">
      <alignment horizontal="general" vertical="bottom"/>
    </xf>
    <xf numFmtId="1" fontId="11" fillId="2" borderId="1" applyAlignment="1" pivotButton="0" quotePrefix="0" xfId="0">
      <alignment horizontal="general" vertical="top" wrapText="1"/>
    </xf>
    <xf numFmtId="1" fontId="11" fillId="2" borderId="1" applyAlignment="1" pivotButton="0" quotePrefix="0" xfId="0">
      <alignment horizontal="general" vertical="bottom"/>
    </xf>
    <xf numFmtId="1" fontId="11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70920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27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70" customWidth="1" style="27" min="2" max="2"/>
    <col width="30" customWidth="1" style="27" min="3" max="3"/>
    <col width="22" customWidth="1" style="27" min="4" max="4"/>
    <col width="14" customWidth="1" style="27" min="5" max="5"/>
  </cols>
  <sheetData>
    <row r="1" ht="18.55" customHeight="1" s="28">
      <c r="A1" s="29" t="inlineStr">
        <is>
          <t>Operations KPI &amp; Performance Monitoring Report</t>
        </is>
      </c>
    </row>
    <row r="2" ht="15" customHeight="1" s="28">
      <c r="A2" s="30" t="inlineStr">
        <is>
          <t>PT Strategi Integrasi Nusantara (SINUX) · Divisi Operation</t>
        </is>
      </c>
    </row>
    <row r="4" ht="15" customHeight="1" s="28">
      <c r="A4" s="31" t="inlineStr">
        <is>
          <t>Nomor dokumen</t>
        </is>
      </c>
      <c r="B4" s="32" t="inlineStr">
        <is>
          <t>SNX-OPS-RPT-01</t>
        </is>
      </c>
    </row>
    <row r="5" ht="15" customHeight="1" s="28">
      <c r="A5" s="31" t="inlineStr">
        <is>
          <t>Judul</t>
        </is>
      </c>
      <c r="B5" s="32" t="inlineStr">
        <is>
          <t>Operations KPI &amp; Performance Monitoring Report</t>
        </is>
      </c>
    </row>
    <row r="6" ht="15" customHeight="1" s="28">
      <c r="A6" s="31" t="inlineStr">
        <is>
          <t>Revisi</t>
        </is>
      </c>
      <c r="B6" s="32" t="inlineStr">
        <is>
          <t>00 (Draft)</t>
        </is>
      </c>
    </row>
    <row r="7" ht="15" customHeight="1" s="28">
      <c r="A7" s="31" t="inlineStr">
        <is>
          <t>Tanggal draft</t>
        </is>
      </c>
      <c r="B7" s="32" t="inlineStr">
        <is>
          <t>13 Oktober 2026</t>
        </is>
      </c>
    </row>
    <row r="8" ht="15" customHeight="1" s="28">
      <c r="A8" s="31" t="inlineStr">
        <is>
          <t>Tanggal efektif</t>
        </is>
      </c>
      <c r="B8" s="32" t="inlineStr">
        <is>
          <t>Ditetapkan saat pengesahan</t>
        </is>
      </c>
    </row>
    <row r="9" ht="15" customHeight="1" s="28">
      <c r="A9" s="31" t="inlineStr">
        <is>
          <t>Klasifikasi</t>
        </is>
      </c>
      <c r="B9" s="32" t="inlineStr">
        <is>
          <t>RESTRICTED (Internal)</t>
        </is>
      </c>
    </row>
    <row r="10" ht="15" customHeight="1" s="28">
      <c r="A10" s="31" t="inlineStr">
        <is>
          <t>Pemilik dokumen</t>
        </is>
      </c>
      <c r="B10" s="32" t="inlineStr">
        <is>
          <t>Head of Operation</t>
        </is>
      </c>
    </row>
    <row r="11" ht="15" customHeight="1" s="28">
      <c r="A11" s="31" t="inlineStr">
        <is>
          <t>Disetujui oleh</t>
        </is>
      </c>
      <c r="B11" s="32" t="inlineStr">
        <is>
          <t>Samuel Kristanto Utomo / President Director</t>
        </is>
      </c>
    </row>
    <row r="12" ht="15" customHeight="1" s="28">
      <c r="A12" s="31" t="inlineStr">
        <is>
          <t>Acuan ISO 9001:2015</t>
        </is>
      </c>
      <c r="B12" s="32" t="inlineStr">
        <is>
          <t>Klausul 9.1, 9.3.2</t>
        </is>
      </c>
    </row>
    <row r="13" ht="15" customHeight="1" s="28">
      <c r="A13" s="31" t="inlineStr">
        <is>
          <t>Acuan ISO/IEC 27001:2022</t>
        </is>
      </c>
      <c r="B13" s="32" t="inlineStr">
        <is>
          <t>Klausul 9.1</t>
        </is>
      </c>
    </row>
    <row r="14" ht="15" customHeight="1" s="28">
      <c r="A14" s="31" t="inlineStr">
        <is>
          <t>Masa simpan record</t>
        </is>
      </c>
      <c r="B14" s="32" t="inlineStr">
        <is>
          <t>3 tahun</t>
        </is>
      </c>
    </row>
    <row r="15" ht="23.85" customHeight="1" s="28">
      <c r="A15" s="31" t="inlineStr">
        <is>
          <t>Tujuan</t>
        </is>
      </c>
      <c r="B15" s="32" t="inlineStr">
        <is>
          <t>Laporan bulanan KPI dan kinerja Divisi Operation, masukan pemantauan klausul 9.1 dan tinjauan manajemen klausul 9.3.2.</t>
        </is>
      </c>
    </row>
    <row r="17" ht="15" customHeight="1" s="28">
      <c r="A17" s="33" t="inlineStr">
        <is>
          <t>Cara pakai</t>
        </is>
      </c>
    </row>
    <row r="18" ht="15" customHeight="1" s="28">
      <c r="A18" s="34" t="inlineStr">
        <is>
          <t>1.</t>
        </is>
      </c>
      <c r="B18" s="35" t="inlineStr">
        <is>
          <t>Isi tahun di sheet KPI sel B3.</t>
        </is>
      </c>
    </row>
    <row r="19" ht="23.85" customHeight="1" s="28">
      <c r="A19" s="34" t="inlineStr">
        <is>
          <t>2.</t>
        </is>
      </c>
      <c r="B19" s="35" t="inlineStr">
        <is>
          <t>Setiap awal bulan, isi nilai aktual bulan sebelumnya dari sumber data di kolom Sumber. Persentase ditulis sebagai pecahan (0.95 = 95%).</t>
        </is>
      </c>
    </row>
    <row r="20" ht="23.85" customHeight="1" s="28">
      <c r="A20" s="34" t="inlineStr">
        <is>
          <t>3.</t>
        </is>
      </c>
      <c r="B20" s="35" t="inlineStr">
        <is>
          <t>Status bulan terakhir dan rata-rata tahun berjalan dihitung otomatis; sel bulan merah berarti di bawah target.</t>
        </is>
      </c>
    </row>
    <row r="21" ht="23.85" customHeight="1" s="28">
      <c r="A21" s="34" t="inlineStr">
        <is>
          <t>4.</t>
        </is>
      </c>
      <c r="B21" s="35" t="inlineStr">
        <is>
          <t>Isi sheet Narasi Bulanan sebagai ringkasan untuk Direktur (COO) dan bahan tinjauan manajemen.</t>
        </is>
      </c>
    </row>
    <row r="22" ht="15" customHeight="1" s="28">
      <c r="A22" s="34" t="inlineStr">
        <is>
          <t>5.</t>
        </is>
      </c>
      <c r="B22" s="35" t="inlineStr">
        <is>
          <t>Target adalah target awal dan dikalibrasi setelah 3 bulan data.</t>
        </is>
      </c>
    </row>
    <row r="24" ht="15" customHeight="1" s="28">
      <c r="A24" s="33" t="inlineStr">
        <is>
          <t>Legenda warna</t>
        </is>
      </c>
    </row>
    <row r="25" ht="15" customHeight="1" s="28">
      <c r="A25" s="36" t="n"/>
      <c r="B25" s="34" t="inlineStr">
        <is>
          <t>Sel input: diisi pengguna</t>
        </is>
      </c>
    </row>
    <row r="26" ht="15" customHeight="1" s="28">
      <c r="A26" s="37" t="n"/>
      <c r="B26" s="34" t="inlineStr">
        <is>
          <t>Biru muda: tidak dipakai, tidak ada baris contoh</t>
        </is>
      </c>
    </row>
    <row r="27" ht="15" customHeight="1" s="28">
      <c r="A27" s="38" t="n"/>
      <c r="B27" s="34" t="inlineStr">
        <is>
          <t>Sel rumus: jangan diubah</t>
        </is>
      </c>
    </row>
    <row r="29" ht="15" customHeight="1" s="28">
      <c r="A29" s="33" t="inlineStr">
        <is>
          <t>Riwayat revisi</t>
        </is>
      </c>
    </row>
    <row r="30" ht="15" customHeight="1" s="28">
      <c r="A30" s="39" t="inlineStr">
        <is>
          <t>Revisi</t>
        </is>
      </c>
      <c r="B30" s="39" t="inlineStr">
        <is>
          <t>Tanggal</t>
        </is>
      </c>
      <c r="C30" s="39" t="inlineStr">
        <is>
          <t>Uraian perubahan</t>
        </is>
      </c>
      <c r="D30" s="39" t="inlineStr">
        <is>
          <t>Disusun</t>
        </is>
      </c>
      <c r="E30" s="39" t="inlineStr">
        <is>
          <t>Disetujui</t>
        </is>
      </c>
    </row>
    <row r="31" ht="23.85" customHeight="1" s="28">
      <c r="A31" s="32" t="inlineStr">
        <is>
          <t>00</t>
        </is>
      </c>
      <c r="B31" s="32" t="inlineStr">
        <is>
          <t>13 Oktober 2026</t>
        </is>
      </c>
      <c r="C31" s="32" t="inlineStr">
        <is>
          <t>Draft awal untuk review dan pengesahan</t>
        </is>
      </c>
      <c r="D31" s="32" t="inlineStr">
        <is>
          <t>Divisi Operation</t>
        </is>
      </c>
      <c r="E31" s="32" t="inlineStr">
        <is>
          <t>Menunggu</t>
        </is>
      </c>
    </row>
    <row r="32" ht="57.45" customHeight="1" s="28">
      <c r="A32" s="32" t="n"/>
      <c r="B32" s="32" t="n"/>
      <c r="C32" s="32" t="n"/>
      <c r="D32" s="32" t="n"/>
      <c r="E32" s="32" t="n"/>
    </row>
    <row r="34" ht="15" customHeight="1" s="28">
      <c r="A34" s="33" t="inlineStr">
        <is>
          <t>Pengesahan</t>
        </is>
      </c>
    </row>
    <row r="35" ht="15" customHeight="1" s="28">
      <c r="A35" s="39" t="inlineStr">
        <is>
          <t>Peran</t>
        </is>
      </c>
      <c r="B35" s="39" t="inlineStr">
        <is>
          <t>Nama dan jabatan</t>
        </is>
      </c>
      <c r="C35" s="39" t="inlineStr">
        <is>
          <t>Tanda tangan</t>
        </is>
      </c>
      <c r="D35" s="39" t="inlineStr">
        <is>
          <t>Tanggal</t>
        </is>
      </c>
    </row>
    <row r="36" ht="27.75" customHeight="1" s="28">
      <c r="A36" s="40" t="inlineStr">
        <is>
          <t>Disusun oleh</t>
        </is>
      </c>
      <c r="B36" s="40" t="inlineStr">
        <is>
          <t>Erik Dwi Yanto / Technical/Operation Engineer L1</t>
        </is>
      </c>
      <c r="C36" s="40" t="n"/>
      <c r="D36" s="40" t="n"/>
    </row>
    <row r="37" ht="27.75" customHeight="1" s="28">
      <c r="A37" s="40" t="inlineStr">
        <is>
          <t>Diperiksa oleh</t>
        </is>
      </c>
      <c r="B37" s="40" t="inlineStr">
        <is>
          <t>Fani Fatullah / VP Tech Operation and Services</t>
        </is>
      </c>
      <c r="C37" s="40" t="n"/>
      <c r="D37" s="40" t="n"/>
    </row>
    <row r="38" ht="27.75" customHeight="1" s="28">
      <c r="A38" s="40" t="inlineStr">
        <is>
          <t>Disetujui oleh</t>
        </is>
      </c>
      <c r="B38" s="40" t="inlineStr">
        <is>
          <t>Samuel Kristanto Utomo / President Director</t>
        </is>
      </c>
      <c r="C38" s="40" t="n"/>
      <c r="D38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8">
      <c r="A1" s="41" t="inlineStr">
        <is>
          <t>Diagram alur proses</t>
        </is>
      </c>
    </row>
    <row r="2" ht="15" customHeight="1" s="28">
      <c r="A2" s="30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U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10" customWidth="1" style="27" min="2" max="2"/>
    <col width="36" customWidth="1" style="27" min="3" max="3"/>
    <col width="6" customWidth="1" style="27" min="4" max="4"/>
    <col width="8" customWidth="1" style="27" min="5" max="5"/>
    <col width="18" customWidth="1" style="27" min="6" max="6"/>
    <col width="7" customWidth="1" style="27" min="7" max="18"/>
    <col width="10" customWidth="1" style="27" min="19" max="20"/>
    <col width="14" customWidth="1" style="27" min="21" max="21"/>
  </cols>
  <sheetData>
    <row r="1" ht="16.15" customHeight="1" s="28">
      <c r="A1" s="41" t="inlineStr">
        <is>
          <t>Operations KPI dan performance monitoring</t>
        </is>
      </c>
    </row>
    <row r="3" ht="15" customHeight="1" s="28">
      <c r="A3" s="27" t="inlineStr">
        <is>
          <t>Tahun</t>
        </is>
      </c>
      <c r="B3" s="42" t="n">
        <v>2027</v>
      </c>
    </row>
    <row r="5" ht="23.85" customHeight="1" s="28">
      <c r="A5" s="43" t="inlineStr">
        <is>
          <t>No</t>
        </is>
      </c>
      <c r="B5" s="43" t="inlineStr">
        <is>
          <t>Sub divisi</t>
        </is>
      </c>
      <c r="C5" s="43" t="inlineStr">
        <is>
          <t>KPI</t>
        </is>
      </c>
      <c r="D5" s="43" t="inlineStr">
        <is>
          <t>Arah</t>
        </is>
      </c>
      <c r="E5" s="43" t="inlineStr">
        <is>
          <t>Target</t>
        </is>
      </c>
      <c r="F5" s="43" t="inlineStr">
        <is>
          <t>Sumber</t>
        </is>
      </c>
      <c r="G5" s="43" t="inlineStr">
        <is>
          <t>Jan</t>
        </is>
      </c>
      <c r="H5" s="43" t="inlineStr">
        <is>
          <t>Feb</t>
        </is>
      </c>
      <c r="I5" s="43" t="inlineStr">
        <is>
          <t>Mar</t>
        </is>
      </c>
      <c r="J5" s="43" t="inlineStr">
        <is>
          <t>Apr</t>
        </is>
      </c>
      <c r="K5" s="43" t="inlineStr">
        <is>
          <t>Mei</t>
        </is>
      </c>
      <c r="L5" s="43" t="inlineStr">
        <is>
          <t>Jun</t>
        </is>
      </c>
      <c r="M5" s="43" t="inlineStr">
        <is>
          <t>Jul</t>
        </is>
      </c>
      <c r="N5" s="43" t="inlineStr">
        <is>
          <t>Agu</t>
        </is>
      </c>
      <c r="O5" s="43" t="inlineStr">
        <is>
          <t>Sep</t>
        </is>
      </c>
      <c r="P5" s="43" t="inlineStr">
        <is>
          <t>Okt</t>
        </is>
      </c>
      <c r="Q5" s="43" t="inlineStr">
        <is>
          <t>Nov</t>
        </is>
      </c>
      <c r="R5" s="43" t="inlineStr">
        <is>
          <t>Des</t>
        </is>
      </c>
      <c r="S5" s="43" t="inlineStr">
        <is>
          <t>Rata-rata YTD</t>
        </is>
      </c>
      <c r="T5" s="43" t="inlineStr">
        <is>
          <t>Bulan terakhir</t>
        </is>
      </c>
      <c r="U5" s="43" t="inlineStr">
        <is>
          <t>Status</t>
        </is>
      </c>
    </row>
    <row r="6" ht="15" customHeight="1" s="28">
      <c r="A6" s="44" t="n">
        <v>1</v>
      </c>
      <c r="B6" s="44" t="inlineStr">
        <is>
          <t>NOC</t>
        </is>
      </c>
      <c r="C6" s="44" t="inlineStr">
        <is>
          <t>Availability layanan yang dikelola</t>
        </is>
      </c>
      <c r="D6" s="44" t="inlineStr">
        <is>
          <t>≥</t>
        </is>
      </c>
      <c r="E6" s="45" t="n">
        <v>0.999</v>
      </c>
      <c r="F6" s="44" t="inlineStr">
        <is>
          <t>SNX-OPS-FRM-09</t>
        </is>
      </c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7">
        <f>IF(COUNT(G6:R6)=0,"",AVERAGE(G6:R6))</f>
        <v/>
      </c>
      <c r="T6" s="47">
        <f>IF(COUNT(G6:R6)=0,"",LOOKUP(2,1/(G6:R6&lt;&gt;""),G6:R6))</f>
        <v/>
      </c>
      <c r="U6" s="48">
        <f>IF(T6="","Belum diukur",IF(D6="≥",IF(T6&gt;=E6,"Tercapai","Di bawah target"),IF(T6&lt;=E6,"Tercapai","Di bawah target")))</f>
        <v/>
      </c>
    </row>
    <row r="7" ht="15" customHeight="1" s="28">
      <c r="A7" s="44" t="n">
        <v>2</v>
      </c>
      <c r="B7" s="44" t="inlineStr">
        <is>
          <t>NOC</t>
        </is>
      </c>
      <c r="C7" s="44" t="inlineStr">
        <is>
          <t>Tiket P1 dan P2 di-ack dalam target</t>
        </is>
      </c>
      <c r="D7" s="44" t="inlineStr">
        <is>
          <t>≥</t>
        </is>
      </c>
      <c r="E7" s="45" t="n">
        <v>0.95</v>
      </c>
      <c r="F7" s="44" t="inlineStr">
        <is>
          <t>SNX-OPS-FRM-08</t>
        </is>
      </c>
      <c r="G7" s="46" t="n"/>
      <c r="H7" s="46" t="n"/>
      <c r="I7" s="46" t="n"/>
      <c r="J7" s="46" t="n"/>
      <c r="K7" s="46" t="n"/>
      <c r="L7" s="46" t="n"/>
      <c r="M7" s="46" t="n"/>
      <c r="N7" s="46" t="n"/>
      <c r="O7" s="46" t="n"/>
      <c r="P7" s="46" t="n"/>
      <c r="Q7" s="46" t="n"/>
      <c r="R7" s="46" t="n"/>
      <c r="S7" s="47">
        <f>IF(COUNT(G7:R7)=0,"",AVERAGE(G7:R7))</f>
        <v/>
      </c>
      <c r="T7" s="47">
        <f>IF(COUNT(G7:R7)=0,"",LOOKUP(2,1/(G7:R7&lt;&gt;""),G7:R7))</f>
        <v/>
      </c>
      <c r="U7" s="48">
        <f>IF(T7="","Belum diukur",IF(D7="≥",IF(T7&gt;=E7,"Tercapai","Di bawah target"),IF(T7&lt;=E7,"Tercapai","Di bawah target")))</f>
        <v/>
      </c>
    </row>
    <row r="8" ht="15" customHeight="1" s="28">
      <c r="A8" s="44" t="n">
        <v>3</v>
      </c>
      <c r="B8" s="44" t="inlineStr">
        <is>
          <t>NOC</t>
        </is>
      </c>
      <c r="C8" s="44" t="inlineStr">
        <is>
          <t>Backup job sukses</t>
        </is>
      </c>
      <c r="D8" s="44" t="inlineStr">
        <is>
          <t>≥</t>
        </is>
      </c>
      <c r="E8" s="45" t="n">
        <v>0.98</v>
      </c>
      <c r="F8" s="44" t="inlineStr">
        <is>
          <t>SNX-ISMS-FRM-01</t>
        </is>
      </c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7">
        <f>IF(COUNT(G8:R8)=0,"",AVERAGE(G8:R8))</f>
        <v/>
      </c>
      <c r="T8" s="47">
        <f>IF(COUNT(G8:R8)=0,"",LOOKUP(2,1/(G8:R8&lt;&gt;""),G8:R8))</f>
        <v/>
      </c>
      <c r="U8" s="48">
        <f>IF(T8="","Belum diukur",IF(D8="≥",IF(T8&gt;=E8,"Tercapai","Di bawah target"),IF(T8&lt;=E8,"Tercapai","Di bawah target")))</f>
        <v/>
      </c>
    </row>
    <row r="9" ht="15" customHeight="1" s="28">
      <c r="A9" s="44" t="n">
        <v>4</v>
      </c>
      <c r="B9" s="44" t="inlineStr">
        <is>
          <t>NOC</t>
        </is>
      </c>
      <c r="C9" s="44" t="inlineStr">
        <is>
          <t>Uji restore berhasil</t>
        </is>
      </c>
      <c r="D9" s="44" t="inlineStr">
        <is>
          <t>≥</t>
        </is>
      </c>
      <c r="E9" s="45" t="n">
        <v>0.95</v>
      </c>
      <c r="F9" s="44" t="inlineStr">
        <is>
          <t>SNX-ISMS-FRM-01</t>
        </is>
      </c>
      <c r="G9" s="46" t="n"/>
      <c r="H9" s="46" t="n"/>
      <c r="I9" s="46" t="n"/>
      <c r="J9" s="46" t="n"/>
      <c r="K9" s="46" t="n"/>
      <c r="L9" s="46" t="n"/>
      <c r="M9" s="46" t="n"/>
      <c r="N9" s="46" t="n"/>
      <c r="O9" s="46" t="n"/>
      <c r="P9" s="46" t="n"/>
      <c r="Q9" s="46" t="n"/>
      <c r="R9" s="46" t="n"/>
      <c r="S9" s="47">
        <f>IF(COUNT(G9:R9)=0,"",AVERAGE(G9:R9))</f>
        <v/>
      </c>
      <c r="T9" s="47">
        <f>IF(COUNT(G9:R9)=0,"",LOOKUP(2,1/(G9:R9&lt;&gt;""),G9:R9))</f>
        <v/>
      </c>
      <c r="U9" s="48">
        <f>IF(T9="","Belum diukur",IF(D9="≥",IF(T9&gt;=E9,"Tercapai","Di bawah target"),IF(T9&lt;=E9,"Tercapai","Di bawah target")))</f>
        <v/>
      </c>
    </row>
    <row r="10" ht="15" customHeight="1" s="28">
      <c r="A10" s="44" t="n">
        <v>5</v>
      </c>
      <c r="B10" s="44" t="inlineStr">
        <is>
          <t>NOC</t>
        </is>
      </c>
      <c r="C10" s="44" t="inlineStr">
        <is>
          <t>Kepatuhan jadwal preventive maintenance</t>
        </is>
      </c>
      <c r="D10" s="44" t="inlineStr">
        <is>
          <t>≥</t>
        </is>
      </c>
      <c r="E10" s="45" t="n">
        <v>0.95</v>
      </c>
      <c r="F10" s="44" t="inlineStr">
        <is>
          <t>SNX-OPS-FRM-07</t>
        </is>
      </c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7">
        <f>IF(COUNT(G10:R10)=0,"",AVERAGE(G10:R10))</f>
        <v/>
      </c>
      <c r="T10" s="47">
        <f>IF(COUNT(G10:R10)=0,"",LOOKUP(2,1/(G10:R10&lt;&gt;""),G10:R10))</f>
        <v/>
      </c>
      <c r="U10" s="48">
        <f>IF(T10="","Belum diukur",IF(D10="≥",IF(T10&gt;=E10,"Tercapai","Di bawah target"),IF(T10&lt;=E10,"Tercapai","Di bawah target")))</f>
        <v/>
      </c>
    </row>
    <row r="11" ht="15" customHeight="1" s="28">
      <c r="A11" s="44" t="n">
        <v>6</v>
      </c>
      <c r="B11" s="44" t="inlineStr">
        <is>
          <t>NOC</t>
        </is>
      </c>
      <c r="C11" s="44" t="inlineStr">
        <is>
          <t>Change tanpa rollback darurat</t>
        </is>
      </c>
      <c r="D11" s="44" t="inlineStr">
        <is>
          <t>≥</t>
        </is>
      </c>
      <c r="E11" s="45" t="n">
        <v>0.95</v>
      </c>
      <c r="F11" s="44" t="inlineStr">
        <is>
          <t>SNX-OPS-FRM-04</t>
        </is>
      </c>
      <c r="G11" s="46" t="n"/>
      <c r="H11" s="46" t="n"/>
      <c r="I11" s="46" t="n"/>
      <c r="J11" s="46" t="n"/>
      <c r="K11" s="46" t="n"/>
      <c r="L11" s="46" t="n"/>
      <c r="M11" s="46" t="n"/>
      <c r="N11" s="46" t="n"/>
      <c r="O11" s="46" t="n"/>
      <c r="P11" s="46" t="n"/>
      <c r="Q11" s="46" t="n"/>
      <c r="R11" s="46" t="n"/>
      <c r="S11" s="47">
        <f>IF(COUNT(G11:R11)=0,"",AVERAGE(G11:R11))</f>
        <v/>
      </c>
      <c r="T11" s="47">
        <f>IF(COUNT(G11:R11)=0,"",LOOKUP(2,1/(G11:R11&lt;&gt;""),G11:R11))</f>
        <v/>
      </c>
      <c r="U11" s="48">
        <f>IF(T11="","Belum diukur",IF(D11="≥",IF(T11&gt;=E11,"Tercapai","Di bawah target"),IF(T11&lt;=E11,"Tercapai","Di bawah target")))</f>
        <v/>
      </c>
    </row>
    <row r="12" ht="22.35" customHeight="1" s="28">
      <c r="A12" s="44" t="n">
        <v>7</v>
      </c>
      <c r="B12" s="44" t="inlineStr">
        <is>
          <t>SOC</t>
        </is>
      </c>
      <c r="C12" s="44" t="inlineStr">
        <is>
          <t>Alert kritis di-triage dalam 15 menit</t>
        </is>
      </c>
      <c r="D12" s="44" t="inlineStr">
        <is>
          <t>≥</t>
        </is>
      </c>
      <c r="E12" s="45" t="n">
        <v>0.95</v>
      </c>
      <c r="F12" s="44" t="inlineStr">
        <is>
          <t>SIEM, SNX-ISMS-FRM-02</t>
        </is>
      </c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  <c r="S12" s="47">
        <f>IF(COUNT(G12:R12)=0,"",AVERAGE(G12:R12))</f>
        <v/>
      </c>
      <c r="T12" s="47">
        <f>IF(COUNT(G12:R12)=0,"",LOOKUP(2,1/(G12:R12&lt;&gt;""),G12:R12))</f>
        <v/>
      </c>
      <c r="U12" s="48">
        <f>IF(T12="","Belum diukur",IF(D12="≥",IF(T12&gt;=E12,"Tercapai","Di bawah target"),IF(T12&lt;=E12,"Tercapai","Di bawah target")))</f>
        <v/>
      </c>
    </row>
    <row r="13" ht="22.35" customHeight="1" s="28">
      <c r="A13" s="44" t="n">
        <v>8</v>
      </c>
      <c r="B13" s="44" t="inlineStr">
        <is>
          <t>SOC</t>
        </is>
      </c>
      <c r="C13" s="44" t="inlineStr">
        <is>
          <t>Vulnerability Darurat dan Kritis ditutup dalam tenggat</t>
        </is>
      </c>
      <c r="D13" s="44" t="inlineStr">
        <is>
          <t>≥</t>
        </is>
      </c>
      <c r="E13" s="45" t="n">
        <v>0.95</v>
      </c>
      <c r="F13" s="44" t="inlineStr">
        <is>
          <t>Tiket vulnerability</t>
        </is>
      </c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  <c r="S13" s="47">
        <f>IF(COUNT(G13:R13)=0,"",AVERAGE(G13:R13))</f>
        <v/>
      </c>
      <c r="T13" s="47">
        <f>IF(COUNT(G13:R13)=0,"",LOOKUP(2,1/(G13:R13&lt;&gt;""),G13:R13))</f>
        <v/>
      </c>
      <c r="U13" s="48">
        <f>IF(T13="","Belum diukur",IF(D13="≥",IF(T13&gt;=E13,"Tercapai","Di bawah target"),IF(T13&lt;=E13,"Tercapai","Di bawah target")))</f>
        <v/>
      </c>
    </row>
    <row r="14" ht="15" customHeight="1" s="28">
      <c r="A14" s="44" t="n">
        <v>9</v>
      </c>
      <c r="B14" s="44" t="inlineStr">
        <is>
          <t>SOC</t>
        </is>
      </c>
      <c r="C14" s="44" t="inlineStr">
        <is>
          <t>Laporan IR tepat waktu dan sesuai format</t>
        </is>
      </c>
      <c r="D14" s="44" t="inlineStr">
        <is>
          <t>≥</t>
        </is>
      </c>
      <c r="E14" s="45" t="n">
        <v>1</v>
      </c>
      <c r="F14" s="44" t="inlineStr">
        <is>
          <t>SNX-ISMS-FRM-02</t>
        </is>
      </c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  <c r="S14" s="47">
        <f>IF(COUNT(G14:R14)=0,"",AVERAGE(G14:R14))</f>
        <v/>
      </c>
      <c r="T14" s="47">
        <f>IF(COUNT(G14:R14)=0,"",LOOKUP(2,1/(G14:R14&lt;&gt;""),G14:R14))</f>
        <v/>
      </c>
      <c r="U14" s="48">
        <f>IF(T14="","Belum diukur",IF(D14="≥",IF(T14&gt;=E14,"Tercapai","Di bawah target"),IF(T14&lt;=E14,"Tercapai","Di bawah target")))</f>
        <v/>
      </c>
    </row>
    <row r="15" ht="15" customHeight="1" s="28">
      <c r="A15" s="44" t="n">
        <v>10</v>
      </c>
      <c r="B15" s="44" t="inlineStr">
        <is>
          <t>SOC</t>
        </is>
      </c>
      <c r="C15" s="44" t="inlineStr">
        <is>
          <t>Insiden keamanan berulang dengan akar sama</t>
        </is>
      </c>
      <c r="D15" s="44" t="inlineStr">
        <is>
          <t>≤</t>
        </is>
      </c>
      <c r="E15" s="49" t="n">
        <v>0</v>
      </c>
      <c r="F15" s="44" t="inlineStr">
        <is>
          <t>SNX-ISMS-FRM-02</t>
        </is>
      </c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1">
        <f>IF(COUNT(G15:R15)=0,"",AVERAGE(G15:R15))</f>
        <v/>
      </c>
      <c r="T15" s="51">
        <f>IF(COUNT(G15:R15)=0,"",LOOKUP(2,1/(G15:R15&lt;&gt;""),G15:R15))</f>
        <v/>
      </c>
      <c r="U15" s="48">
        <f>IF(T15="","Belum diukur",IF(D15="≥",IF(T15&gt;=E15,"Tercapai","Di bawah target"),IF(T15&lt;=E15,"Tercapai","Di bawah target")))</f>
        <v/>
      </c>
    </row>
    <row r="16" ht="15" customHeight="1" s="28">
      <c r="A16" s="44" t="n">
        <v>11</v>
      </c>
      <c r="B16" s="44" t="inlineStr">
        <is>
          <t>SD dan PM</t>
        </is>
      </c>
      <c r="C16" s="44" t="inlineStr">
        <is>
          <t>Laporan SLA terkirim hari kerja ke-5</t>
        </is>
      </c>
      <c r="D16" s="44" t="inlineStr">
        <is>
          <t>≥</t>
        </is>
      </c>
      <c r="E16" s="45" t="n">
        <v>1</v>
      </c>
      <c r="F16" s="44" t="inlineStr">
        <is>
          <t>SNX-OPS-FRM-09</t>
        </is>
      </c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n"/>
      <c r="P16" s="46" t="n"/>
      <c r="Q16" s="46" t="n"/>
      <c r="R16" s="46" t="n"/>
      <c r="S16" s="47">
        <f>IF(COUNT(G16:R16)=0,"",AVERAGE(G16:R16))</f>
        <v/>
      </c>
      <c r="T16" s="47">
        <f>IF(COUNT(G16:R16)=0,"",LOOKUP(2,1/(G16:R16&lt;&gt;""),G16:R16))</f>
        <v/>
      </c>
      <c r="U16" s="48">
        <f>IF(T16="","Belum diukur",IF(D16="≥",IF(T16&gt;=E16,"Tercapai","Di bawah target"),IF(T16&lt;=E16,"Tercapai","Di bawah target")))</f>
        <v/>
      </c>
    </row>
    <row r="17" ht="15" customHeight="1" s="28">
      <c r="A17" s="44" t="n">
        <v>12</v>
      </c>
      <c r="B17" s="44" t="inlineStr">
        <is>
          <t>SD dan PM</t>
        </is>
      </c>
      <c r="C17" s="44" t="inlineStr">
        <is>
          <t>Proyek selesai sesuai jadwal baseline</t>
        </is>
      </c>
      <c r="D17" s="44" t="inlineStr">
        <is>
          <t>≥</t>
        </is>
      </c>
      <c r="E17" s="45" t="n">
        <v>0.8</v>
      </c>
      <c r="F17" s="44" t="inlineStr">
        <is>
          <t>SNX-OPS-FRM-01</t>
        </is>
      </c>
      <c r="G17" s="46" t="n"/>
      <c r="H17" s="46" t="n"/>
      <c r="I17" s="46" t="n"/>
      <c r="J17" s="46" t="n"/>
      <c r="K17" s="46" t="n"/>
      <c r="L17" s="46" t="n"/>
      <c r="M17" s="46" t="n"/>
      <c r="N17" s="46" t="n"/>
      <c r="O17" s="46" t="n"/>
      <c r="P17" s="46" t="n"/>
      <c r="Q17" s="46" t="n"/>
      <c r="R17" s="46" t="n"/>
      <c r="S17" s="47">
        <f>IF(COUNT(G17:R17)=0,"",AVERAGE(G17:R17))</f>
        <v/>
      </c>
      <c r="T17" s="47">
        <f>IF(COUNT(G17:R17)=0,"",LOOKUP(2,1/(G17:R17&lt;&gt;""),G17:R17))</f>
        <v/>
      </c>
      <c r="U17" s="48">
        <f>IF(T17="","Belum diukur",IF(D17="≥",IF(T17&gt;=E17,"Tercapai","Di bawah target"),IF(T17&lt;=E17,"Tercapai","Di bawah target")))</f>
        <v/>
      </c>
    </row>
    <row r="18" ht="15" customHeight="1" s="28">
      <c r="A18" s="44" t="n">
        <v>13</v>
      </c>
      <c r="B18" s="44" t="inlineStr">
        <is>
          <t>SD dan PM</t>
        </is>
      </c>
      <c r="C18" s="44" t="inlineStr">
        <is>
          <t>Onboarding live sesuai tanggal kontrak</t>
        </is>
      </c>
      <c r="D18" s="44" t="inlineStr">
        <is>
          <t>≥</t>
        </is>
      </c>
      <c r="E18" s="45" t="n">
        <v>0.9</v>
      </c>
      <c r="F18" s="44" t="inlineStr">
        <is>
          <t>SNX-OPS-FRM-01</t>
        </is>
      </c>
      <c r="G18" s="46" t="n"/>
      <c r="H18" s="46" t="n"/>
      <c r="I18" s="46" t="n"/>
      <c r="J18" s="46" t="n"/>
      <c r="K18" s="46" t="n"/>
      <c r="L18" s="46" t="n"/>
      <c r="M18" s="46" t="n"/>
      <c r="N18" s="46" t="n"/>
      <c r="O18" s="46" t="n"/>
      <c r="P18" s="46" t="n"/>
      <c r="Q18" s="46" t="n"/>
      <c r="R18" s="46" t="n"/>
      <c r="S18" s="47">
        <f>IF(COUNT(G18:R18)=0,"",AVERAGE(G18:R18))</f>
        <v/>
      </c>
      <c r="T18" s="47">
        <f>IF(COUNT(G18:R18)=0,"",LOOKUP(2,1/(G18:R18&lt;&gt;""),G18:R18))</f>
        <v/>
      </c>
      <c r="U18" s="48">
        <f>IF(T18="","Belum diukur",IF(D18="≥",IF(T18&gt;=E18,"Tercapai","Di bawah target"),IF(T18&lt;=E18,"Tercapai","Di bawah target")))</f>
        <v/>
      </c>
    </row>
    <row r="19" ht="15" customHeight="1" s="28">
      <c r="A19" s="44" t="n">
        <v>14</v>
      </c>
      <c r="B19" s="44" t="inlineStr">
        <is>
          <t>SD dan PM</t>
        </is>
      </c>
      <c r="C19" s="44" t="inlineStr">
        <is>
          <t>RCA P1 dan P2 terkirim dalam 2 hari kerja</t>
        </is>
      </c>
      <c r="D19" s="44" t="inlineStr">
        <is>
          <t>≥</t>
        </is>
      </c>
      <c r="E19" s="45" t="n">
        <v>1</v>
      </c>
      <c r="F19" s="44" t="inlineStr">
        <is>
          <t>SNX-OPS-FRM-10</t>
        </is>
      </c>
      <c r="G19" s="46" t="n"/>
      <c r="H19" s="46" t="n"/>
      <c r="I19" s="46" t="n"/>
      <c r="J19" s="46" t="n"/>
      <c r="K19" s="46" t="n"/>
      <c r="L19" s="46" t="n"/>
      <c r="M19" s="46" t="n"/>
      <c r="N19" s="46" t="n"/>
      <c r="O19" s="46" t="n"/>
      <c r="P19" s="46" t="n"/>
      <c r="Q19" s="46" t="n"/>
      <c r="R19" s="46" t="n"/>
      <c r="S19" s="47">
        <f>IF(COUNT(G19:R19)=0,"",AVERAGE(G19:R19))</f>
        <v/>
      </c>
      <c r="T19" s="47">
        <f>IF(COUNT(G19:R19)=0,"",LOOKUP(2,1/(G19:R19&lt;&gt;""),G19:R19))</f>
        <v/>
      </c>
      <c r="U19" s="48">
        <f>IF(T19="","Belum diukur",IF(D19="≥",IF(T19&gt;=E19,"Tercapai","Di bawah target"),IF(T19&lt;=E19,"Tercapai","Di bawah target")))</f>
        <v/>
      </c>
    </row>
    <row r="20" ht="15" customHeight="1" s="28">
      <c r="A20" s="44" t="n">
        <v>15</v>
      </c>
      <c r="B20" s="44" t="inlineStr">
        <is>
          <t>ISMS</t>
        </is>
      </c>
      <c r="C20" s="44" t="inlineStr">
        <is>
          <t>Review akses privileged triwulanan terlaksana</t>
        </is>
      </c>
      <c r="D20" s="44" t="inlineStr">
        <is>
          <t>≥</t>
        </is>
      </c>
      <c r="E20" s="45" t="n">
        <v>1</v>
      </c>
      <c r="F20" s="44" t="inlineStr">
        <is>
          <t>SNX-ISMS-REG-04</t>
        </is>
      </c>
      <c r="G20" s="46" t="n"/>
      <c r="H20" s="46" t="n"/>
      <c r="I20" s="46" t="n"/>
      <c r="J20" s="46" t="n"/>
      <c r="K20" s="46" t="n"/>
      <c r="L20" s="46" t="n"/>
      <c r="M20" s="46" t="n"/>
      <c r="N20" s="46" t="n"/>
      <c r="O20" s="46" t="n"/>
      <c r="P20" s="46" t="n"/>
      <c r="Q20" s="46" t="n"/>
      <c r="R20" s="46" t="n"/>
      <c r="S20" s="47">
        <f>IF(COUNT(G20:R20)=0,"",AVERAGE(G20:R20))</f>
        <v/>
      </c>
      <c r="T20" s="47">
        <f>IF(COUNT(G20:R20)=0,"",LOOKUP(2,1/(G20:R20&lt;&gt;""),G20:R20))</f>
        <v/>
      </c>
      <c r="U20" s="48">
        <f>IF(T20="","Belum diukur",IF(D20="≥",IF(T20&gt;=E20,"Tercapai","Di bawah target"),IF(T20&lt;=E20,"Tercapai","Di bawah target")))</f>
        <v/>
      </c>
    </row>
    <row r="21" ht="15" customHeight="1" s="28">
      <c r="A21" s="44" t="n">
        <v>16</v>
      </c>
      <c r="B21" s="44" t="inlineStr">
        <is>
          <t>ISMS</t>
        </is>
      </c>
      <c r="C21" s="44" t="inlineStr">
        <is>
          <t>Tindakan risk treatment selesai sesuai target</t>
        </is>
      </c>
      <c r="D21" s="44" t="inlineStr">
        <is>
          <t>≥</t>
        </is>
      </c>
      <c r="E21" s="45" t="n">
        <v>0.9</v>
      </c>
      <c r="F21" s="44" t="inlineStr">
        <is>
          <t>SNX-ISMS-REG-03</t>
        </is>
      </c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  <c r="P21" s="46" t="n"/>
      <c r="Q21" s="46" t="n"/>
      <c r="R21" s="46" t="n"/>
      <c r="S21" s="47">
        <f>IF(COUNT(G21:R21)=0,"",AVERAGE(G21:R21))</f>
        <v/>
      </c>
      <c r="T21" s="47">
        <f>IF(COUNT(G21:R21)=0,"",LOOKUP(2,1/(G21:R21&lt;&gt;""),G21:R21))</f>
        <v/>
      </c>
      <c r="U21" s="48">
        <f>IF(T21="","Belum diukur",IF(D21="≥",IF(T21&gt;=E21,"Tercapai","Di bawah target"),IF(T21&lt;=E21,"Tercapai","Di bawah target")))</f>
        <v/>
      </c>
    </row>
    <row r="22" ht="15" customHeight="1" s="28">
      <c r="A22" s="44" t="n">
        <v>17</v>
      </c>
      <c r="B22" s="44" t="inlineStr">
        <is>
          <t>Semua</t>
        </is>
      </c>
      <c r="C22" s="44" t="inlineStr">
        <is>
          <t>Serah terima shift ditandai diterima</t>
        </is>
      </c>
      <c r="D22" s="44" t="inlineStr">
        <is>
          <t>≥</t>
        </is>
      </c>
      <c r="E22" s="45" t="n">
        <v>1</v>
      </c>
      <c r="F22" s="44" t="inlineStr">
        <is>
          <t>Shift Log</t>
        </is>
      </c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  <c r="P22" s="46" t="n"/>
      <c r="Q22" s="46" t="n"/>
      <c r="R22" s="46" t="n"/>
      <c r="S22" s="47">
        <f>IF(COUNT(G22:R22)=0,"",AVERAGE(G22:R22))</f>
        <v/>
      </c>
      <c r="T22" s="47">
        <f>IF(COUNT(G22:R22)=0,"",LOOKUP(2,1/(G22:R22&lt;&gt;""),G22:R22))</f>
        <v/>
      </c>
      <c r="U22" s="48">
        <f>IF(T22="","Belum diukur",IF(D22="≥",IF(T22&gt;=E22,"Tercapai","Di bawah target"),IF(T22&lt;=E22,"Tercapai","Di bawah target")))</f>
        <v/>
      </c>
    </row>
    <row r="24" ht="15" customHeight="1" s="28">
      <c r="C24" s="52" t="inlineStr">
        <is>
          <t>KPI tercapai (bulan terakhir)</t>
        </is>
      </c>
      <c r="U24" s="27">
        <f>COUNTIF(U6:U22,"Tercapai")&amp;" dari "&amp;(ROWS(U6:U22)-COUNTIF(U6:U22,"Belum diukur"))</f>
        <v/>
      </c>
    </row>
  </sheetData>
  <conditionalFormatting sqref="G6:R22">
    <cfRule type="expression" rank="0" priority="2" equalAverage="0" aboveAverage="0" dxfId="0" text="" percent="0" bottom="0">
      <formula>AND(G6&lt;&gt;"",$D6="≥",G6&lt;$E6)</formula>
    </cfRule>
    <cfRule type="expression" rank="0" priority="3" equalAverage="0" aboveAverage="0" dxfId="0" text="" percent="0" bottom="0">
      <formula>AND(G6&lt;&gt;"",$D6="≤",G6&gt;$E6)</formula>
    </cfRule>
    <cfRule type="expression" rank="0" priority="4" equalAverage="0" aboveAverage="0" dxfId="1" text="" percent="0" bottom="0">
      <formula>G6&lt;&gt;""</formula>
    </cfRule>
  </conditionalFormatting>
  <conditionalFormatting sqref="U6:U22">
    <cfRule type="cellIs" rank="0" priority="5" equalAverage="0" operator="equal" aboveAverage="0" dxfId="1" text="" percent="0" bottom="0">
      <formula>"Tercapai"</formula>
    </cfRule>
    <cfRule type="cellIs" rank="0" priority="6" equalAverage="0" operator="equal" aboveAverage="0" dxfId="0" text="" percent="0" bottom="0">
      <formula>"Di bawah target"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27" min="1" max="1"/>
    <col width="100" customWidth="1" style="27" min="2" max="2"/>
  </cols>
  <sheetData>
    <row r="1" ht="16.15" customHeight="1" s="28">
      <c r="A1" s="41" t="inlineStr">
        <is>
          <t>Narasi kinerja bulanan untuk COO dan tinjauan manajemen</t>
        </is>
      </c>
    </row>
    <row r="3" ht="39.75" customHeight="1" s="28">
      <c r="A3" s="53" t="inlineStr">
        <is>
          <t>Bulan laporan</t>
        </is>
      </c>
      <c r="B3" s="54" t="n"/>
    </row>
    <row r="4" ht="39.75" customHeight="1" s="28">
      <c r="A4" s="53" t="inlineStr">
        <is>
          <t>Ringkasan kinerja (satu paragraf)</t>
        </is>
      </c>
      <c r="B4" s="54" t="n"/>
    </row>
    <row r="5" ht="39.75" customHeight="1" s="28">
      <c r="A5" s="53" t="inlineStr">
        <is>
          <t>KPI di bawah target dan penyebabnya</t>
        </is>
      </c>
      <c r="B5" s="54" t="n"/>
    </row>
    <row r="6" ht="39.75" customHeight="1" s="28">
      <c r="A6" s="53" t="inlineStr">
        <is>
          <t>Insiden P1 dan P2 serta status RCA</t>
        </is>
      </c>
      <c r="B6" s="54" t="n"/>
    </row>
    <row r="7" ht="39.75" customHeight="1" s="28">
      <c r="A7" s="53" t="inlineStr">
        <is>
          <t>Breach SLA dan tindakan</t>
        </is>
      </c>
      <c r="B7" s="54" t="n"/>
    </row>
    <row r="8" ht="39.75" customHeight="1" s="28">
      <c r="A8" s="53" t="inlineStr">
        <is>
          <t>Status change, maintenance, dan backup</t>
        </is>
      </c>
      <c r="B8" s="54" t="n"/>
    </row>
    <row r="9" ht="39.75" customHeight="1" s="28">
      <c r="A9" s="53" t="inlineStr">
        <is>
          <t>Status risiko keamanan informasi (perubahan level, Risk Treatment Plan terlambat)</t>
        </is>
      </c>
      <c r="B9" s="54" t="n"/>
    </row>
    <row r="10" ht="39.75" customHeight="1" s="28">
      <c r="A10" s="53" t="inlineStr">
        <is>
          <t>Temuan audit dan ketidaksesuaian terbuka</t>
        </is>
      </c>
      <c r="B10" s="54" t="n"/>
    </row>
    <row r="11" ht="39.75" customHeight="1" s="28">
      <c r="A11" s="53" t="inlineStr">
        <is>
          <t>Masukan pelanggan dan keluhan</t>
        </is>
      </c>
      <c r="B11" s="54" t="n"/>
    </row>
    <row r="12" ht="39.75" customHeight="1" s="28">
      <c r="A12" s="53" t="inlineStr">
        <is>
          <t>Kebutuhan sumber daya (personel, alat, anggaran)</t>
        </is>
      </c>
      <c r="B12" s="54" t="n"/>
    </row>
    <row r="13" ht="39.75" customHeight="1" s="28">
      <c r="A13" s="53" t="inlineStr">
        <is>
          <t>Peluang perbaikan</t>
        </is>
      </c>
      <c r="B13" s="54" t="n"/>
    </row>
    <row r="14" ht="39.75" customHeight="1" s="28">
      <c r="A14" s="53" t="inlineStr">
        <is>
          <t>Keputusan yang dibutuhkan dari manajemen</t>
        </is>
      </c>
      <c r="B14" s="54" t="n"/>
    </row>
    <row r="15" ht="39.75" customHeight="1" s="28">
      <c r="A15" s="53" t="inlineStr">
        <is>
          <t>Disusun oleh dan tanggal</t>
        </is>
      </c>
      <c r="B15" s="54" t="n"/>
    </row>
    <row r="16" ht="39.75" customHeight="1" s="28">
      <c r="A16" s="53" t="inlineStr">
        <is>
          <t>Diperiksa oleh COO dan tanggal</t>
        </is>
      </c>
      <c r="B16" s="5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2026-10-13T06:09:09Z</dcterms:created>
  <dcterms:modified xmlns:dcterms="http://purl.org/dc/terms/" xmlns:xsi="http://www.w3.org/2001/XMLSchema-instance" xsi:type="dcterms:W3CDTF">2026-10-14T21:51:42Z</dcterms:modified>
  <cp:revision>0</cp:revision>
</cp:coreProperties>
</file>