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Matriks Risiko" sheetId="5" state="visible" r:id="rId5"/>
  </sheets>
  <definedNames>
    <definedName name="_xlnm._FilterDatabase" localSheetId="3" hidden="1">'Risk Register'!$A$4:$R$66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7C80"/>
        <bgColor rgb="FFFF99CC"/>
      </patternFill>
    </fill>
    <fill>
      <patternFill patternType="solid">
        <fgColor rgb="FFC6EFCE"/>
        <bgColor rgb="FFE7EE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7C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28</row>
      <rowOff>99720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876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2" min="1" max="1"/>
    <col width="70" customWidth="1" style="32" min="2" max="2"/>
    <col width="30" customWidth="1" style="32" min="3" max="3"/>
    <col width="22" customWidth="1" style="32" min="4" max="4"/>
    <col width="14" customWidth="1" style="32" min="5" max="5"/>
  </cols>
  <sheetData>
    <row r="1" ht="18.55" customHeight="1" s="33">
      <c r="A1" s="34" t="inlineStr">
        <is>
          <t>Project Risk Register</t>
        </is>
      </c>
    </row>
    <row r="2" ht="15" customHeight="1" s="33">
      <c r="A2" s="35" t="inlineStr">
        <is>
          <t>PT Strategi Integrasi Nusantara (SINUX) · Divisi Operation</t>
        </is>
      </c>
    </row>
    <row r="4" ht="15" customHeight="1" s="33">
      <c r="A4" s="36" t="inlineStr">
        <is>
          <t>Nomor dokumen</t>
        </is>
      </c>
      <c r="B4" s="37" t="inlineStr">
        <is>
          <t>SNX-OPS-FRM-02</t>
        </is>
      </c>
    </row>
    <row r="5" ht="15" customHeight="1" s="33">
      <c r="A5" s="36" t="inlineStr">
        <is>
          <t>Judul</t>
        </is>
      </c>
      <c r="B5" s="37" t="inlineStr">
        <is>
          <t>Project Risk Register</t>
        </is>
      </c>
    </row>
    <row r="6" ht="15" customHeight="1" s="33">
      <c r="A6" s="36" t="inlineStr">
        <is>
          <t>Revisi</t>
        </is>
      </c>
      <c r="B6" s="37" t="inlineStr">
        <is>
          <t>00 (Draft)</t>
        </is>
      </c>
    </row>
    <row r="7" ht="15" customHeight="1" s="33">
      <c r="A7" s="36" t="inlineStr">
        <is>
          <t>Tanggal draft</t>
        </is>
      </c>
      <c r="B7" s="37" t="inlineStr">
        <is>
          <t>13 Oktober 2026</t>
        </is>
      </c>
    </row>
    <row r="8" ht="15" customHeight="1" s="33">
      <c r="A8" s="36" t="inlineStr">
        <is>
          <t>Tanggal efektif</t>
        </is>
      </c>
      <c r="B8" s="37" t="inlineStr">
        <is>
          <t>Ditetapkan saat pengesahan</t>
        </is>
      </c>
    </row>
    <row r="9" ht="15" customHeight="1" s="33">
      <c r="A9" s="36" t="inlineStr">
        <is>
          <t>Klasifikasi</t>
        </is>
      </c>
      <c r="B9" s="37" t="inlineStr">
        <is>
          <t>RESTRICTED (Internal)</t>
        </is>
      </c>
    </row>
    <row r="10" ht="15" customHeight="1" s="33">
      <c r="A10" s="36" t="inlineStr">
        <is>
          <t>Pemilik dokumen</t>
        </is>
      </c>
      <c r="B10" s="37" t="inlineStr">
        <is>
          <t>Project Manager</t>
        </is>
      </c>
    </row>
    <row r="11" ht="15" customHeight="1" s="33">
      <c r="A11" s="36" t="inlineStr">
        <is>
          <t>Disetujui oleh</t>
        </is>
      </c>
      <c r="B11" s="37" t="inlineStr">
        <is>
          <t>Samuel Kristanto Utomo / President Director</t>
        </is>
      </c>
    </row>
    <row r="12" ht="15" customHeight="1" s="33">
      <c r="A12" s="36" t="inlineStr">
        <is>
          <t>Acuan ISO 9001:2015</t>
        </is>
      </c>
      <c r="B12" s="37" t="inlineStr">
        <is>
          <t>Klausul 6.1, 8.1</t>
        </is>
      </c>
    </row>
    <row r="13" ht="15" customHeight="1" s="33">
      <c r="A13" s="36" t="inlineStr">
        <is>
          <t>Acuan ISO/IEC 27001:2022</t>
        </is>
      </c>
      <c r="B13" s="37" t="inlineStr">
        <is>
          <t>Annex A 5.8</t>
        </is>
      </c>
    </row>
    <row r="14" ht="15" customHeight="1" s="33">
      <c r="A14" s="36" t="inlineStr">
        <is>
          <t>Masa simpan record</t>
        </is>
      </c>
      <c r="B14" s="37" t="inlineStr">
        <is>
          <t>Durasi kontrak + 3 tahun</t>
        </is>
      </c>
    </row>
    <row r="15" ht="23.85" customHeight="1" s="33">
      <c r="A15" s="36" t="inlineStr">
        <is>
          <t>Tujuan</t>
        </is>
      </c>
      <c r="B15" s="37" t="inlineStr">
        <is>
          <t>Mencatat, menilai, dan memantau risiko proyek, termasuk risiko keamanan informasi selama proyek.</t>
        </is>
      </c>
    </row>
    <row r="17" ht="15" customHeight="1" s="33">
      <c r="A17" s="38" t="inlineStr">
        <is>
          <t>Cara pakai</t>
        </is>
      </c>
    </row>
    <row r="18" ht="15" customHeight="1" s="33">
      <c r="A18" s="39" t="inlineStr">
        <is>
          <t>1.</t>
        </is>
      </c>
      <c r="B18" s="40" t="inlineStr">
        <is>
          <t>Satu file per proyek; ganti nama menjadi FRM-02_&lt;KodeProyek&gt;.xlsx.</t>
        </is>
      </c>
    </row>
    <row r="19" ht="15" customHeight="1" s="33">
      <c r="A19" s="39" t="inlineStr">
        <is>
          <t>2.</t>
        </is>
      </c>
      <c r="B19" s="40" t="inlineStr">
        <is>
          <t>Tulis risiko dalam pola sebab, kejadian, dampak.</t>
        </is>
      </c>
    </row>
    <row r="20" ht="23.85" customHeight="1" s="33">
      <c r="A20" s="39" t="inlineStr">
        <is>
          <t>3.</t>
        </is>
      </c>
      <c r="B20" s="40" t="inlineStr">
        <is>
          <t>Isi Likelihood dan Impact 1 sampai 5 sesuai sheet Matriks Risiko; skor dan level dihitung otomatis.</t>
        </is>
      </c>
    </row>
    <row r="21" ht="23.85" customHeight="1" s="33">
      <c r="A21" s="39" t="inlineStr">
        <is>
          <t>4.</t>
        </is>
      </c>
      <c r="B21" s="40" t="inlineStr">
        <is>
          <t>Risiko berlevel Tinggi atau Kritis menurut Skor (bukan Skor residual) otomatis ditandai Ya di kolom Naik ke ISMS dan wajib disalin ke SNX-ISMS-REG-02.</t>
        </is>
      </c>
    </row>
    <row r="22" ht="15" customHeight="1" s="33">
      <c r="A22" s="39" t="inlineStr">
        <is>
          <t>5.</t>
        </is>
      </c>
      <c r="B22" s="40" t="inlineStr">
        <is>
          <t>Tinjau mingguan bersama laporan progres SNX-OPS-FRM-03.</t>
        </is>
      </c>
    </row>
    <row r="24" ht="15" customHeight="1" s="33">
      <c r="A24" s="38" t="inlineStr">
        <is>
          <t>Legenda warna</t>
        </is>
      </c>
    </row>
    <row r="25" ht="15" customHeight="1" s="33">
      <c r="A25" s="41" t="n"/>
      <c r="B25" s="39" t="inlineStr">
        <is>
          <t>Sel input: diisi pengguna</t>
        </is>
      </c>
    </row>
    <row r="26" ht="15" customHeight="1" s="33">
      <c r="A26" s="42" t="n"/>
      <c r="B26" s="39" t="n"/>
    </row>
    <row r="27" ht="15" customHeight="1" s="33">
      <c r="A27" s="42" t="n"/>
      <c r="B27" s="39" t="inlineStr">
        <is>
          <t>Sel rumus: jangan diubah</t>
        </is>
      </c>
    </row>
    <row r="29" ht="15" customHeight="1" s="33">
      <c r="A29" s="38" t="inlineStr">
        <is>
          <t>Riwayat revisi</t>
        </is>
      </c>
    </row>
    <row r="30" ht="15" customHeight="1" s="33">
      <c r="A30" s="43" t="inlineStr">
        <is>
          <t>Revisi</t>
        </is>
      </c>
      <c r="B30" s="43" t="inlineStr">
        <is>
          <t>Tanggal</t>
        </is>
      </c>
      <c r="C30" s="43" t="inlineStr">
        <is>
          <t>Uraian perubahan</t>
        </is>
      </c>
      <c r="D30" s="43" t="inlineStr">
        <is>
          <t>Disusun</t>
        </is>
      </c>
      <c r="E30" s="43" t="inlineStr">
        <is>
          <t>Disetujui</t>
        </is>
      </c>
    </row>
    <row r="31" ht="23.85" customHeight="1" s="33">
      <c r="A31" s="37" t="inlineStr">
        <is>
          <t>00</t>
        </is>
      </c>
      <c r="B31" s="37" t="inlineStr">
        <is>
          <t>13 Oktober 2026</t>
        </is>
      </c>
      <c r="C31" s="37" t="inlineStr">
        <is>
          <t>Draft awal untuk review dan pengesahan</t>
        </is>
      </c>
      <c r="D31" s="37" t="inlineStr">
        <is>
          <t>Divisi Operation</t>
        </is>
      </c>
      <c r="E31" s="37" t="inlineStr">
        <is>
          <t>Menunggu</t>
        </is>
      </c>
    </row>
    <row r="32" ht="57.45" customHeight="1" s="33">
      <c r="A32" s="37" t="n"/>
      <c r="B32" s="37" t="n"/>
      <c r="C32" s="37" t="n"/>
      <c r="D32" s="37" t="n"/>
      <c r="E32" s="37" t="n"/>
    </row>
    <row r="33"/>
    <row r="34" ht="15" customHeight="1" s="33">
      <c r="A34" s="38" t="inlineStr">
        <is>
          <t>Pengesahan</t>
        </is>
      </c>
    </row>
    <row r="35" ht="15" customHeight="1" s="33">
      <c r="A35" s="43" t="inlineStr">
        <is>
          <t>Peran</t>
        </is>
      </c>
      <c r="B35" s="43" t="inlineStr">
        <is>
          <t>Nama dan jabatan</t>
        </is>
      </c>
      <c r="C35" s="43" t="inlineStr">
        <is>
          <t>Tanda tangan</t>
        </is>
      </c>
      <c r="D35" s="43" t="inlineStr">
        <is>
          <t>Tanggal</t>
        </is>
      </c>
    </row>
    <row r="36" ht="27.75" customHeight="1" s="33">
      <c r="A36" s="44" t="inlineStr">
        <is>
          <t>Disusun oleh</t>
        </is>
      </c>
      <c r="B36" s="44" t="inlineStr">
        <is>
          <t>Erik Dwi Yanto / Technical/Operation Engineer L1</t>
        </is>
      </c>
      <c r="C36" s="44" t="n"/>
      <c r="D36" s="44" t="n"/>
    </row>
    <row r="37" ht="27.75" customHeight="1" s="33">
      <c r="A37" s="44" t="inlineStr">
        <is>
          <t>Diperiksa oleh</t>
        </is>
      </c>
      <c r="B37" s="44" t="inlineStr">
        <is>
          <t>Fani Fatullah / VP Tech Operation and Services</t>
        </is>
      </c>
      <c r="C37" s="44" t="n"/>
      <c r="D37" s="44" t="n"/>
    </row>
    <row r="38" ht="27.75" customHeight="1" s="33">
      <c r="A38" s="44" t="inlineStr">
        <is>
          <t>Disetujui oleh</t>
        </is>
      </c>
      <c r="B38" s="44" t="inlineStr">
        <is>
          <t>Samuel Kristanto Utomo / President Director</t>
        </is>
      </c>
      <c r="C38" s="44" t="n"/>
      <c r="D38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33">
      <c r="A1" s="45" t="inlineStr">
        <is>
          <t>Diagram alur proses</t>
        </is>
      </c>
    </row>
    <row r="2" ht="15" customHeight="1" s="33">
      <c r="A2" s="35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2" min="1" max="1"/>
    <col width="16" customWidth="1" style="32" min="2" max="4"/>
  </cols>
  <sheetData>
    <row r="1" ht="15" customHeight="1" s="33">
      <c r="A1" s="46" t="inlineStr">
        <is>
          <t>Kategori</t>
        </is>
      </c>
      <c r="B1" s="46" t="inlineStr">
        <is>
          <t>Respon</t>
        </is>
      </c>
      <c r="C1" s="46" t="inlineStr">
        <is>
          <t>Status</t>
        </is>
      </c>
      <c r="D1" s="46" t="inlineStr">
        <is>
          <t>Skala</t>
        </is>
      </c>
    </row>
    <row r="2" ht="15" customHeight="1" s="33">
      <c r="A2" s="39" t="inlineStr">
        <is>
          <t>Teknis</t>
        </is>
      </c>
      <c r="B2" s="39" t="inlineStr">
        <is>
          <t>Hindari</t>
        </is>
      </c>
      <c r="C2" s="39" t="inlineStr">
        <is>
          <t>Terbuka</t>
        </is>
      </c>
      <c r="D2" s="39" t="n">
        <v>1</v>
      </c>
    </row>
    <row r="3" ht="15" customHeight="1" s="33">
      <c r="A3" s="39" t="inlineStr">
        <is>
          <t>Jadwal</t>
        </is>
      </c>
      <c r="B3" s="39" t="inlineStr">
        <is>
          <t>Mitigasi</t>
        </is>
      </c>
      <c r="C3" s="39" t="inlineStr">
        <is>
          <t>Dipantau</t>
        </is>
      </c>
      <c r="D3" s="39" t="n">
        <v>2</v>
      </c>
    </row>
    <row r="4" ht="15" customHeight="1" s="33">
      <c r="A4" s="39" t="inlineStr">
        <is>
          <t>Scope</t>
        </is>
      </c>
      <c r="B4" s="39" t="inlineStr">
        <is>
          <t>Transfer</t>
        </is>
      </c>
      <c r="C4" s="39" t="inlineStr">
        <is>
          <t>Ditutup</t>
        </is>
      </c>
      <c r="D4" s="39" t="n">
        <v>3</v>
      </c>
    </row>
    <row r="5" ht="15" customHeight="1" s="33">
      <c r="A5" s="39" t="inlineStr">
        <is>
          <t>Sumber daya</t>
        </is>
      </c>
      <c r="B5" s="39" t="inlineStr">
        <is>
          <t>Terima</t>
        </is>
      </c>
      <c r="D5" s="39" t="n">
        <v>4</v>
      </c>
    </row>
    <row r="6" ht="15" customHeight="1" s="33">
      <c r="A6" s="39" t="inlineStr">
        <is>
          <t>Supplier</t>
        </is>
      </c>
      <c r="D6" s="39" t="n">
        <v>5</v>
      </c>
    </row>
    <row r="7" ht="15" customHeight="1" s="33">
      <c r="A7" s="39" t="inlineStr">
        <is>
          <t>Keamanan informasi</t>
        </is>
      </c>
    </row>
    <row r="8" ht="15" customHeight="1" s="33">
      <c r="A8" s="39" t="inlineStr">
        <is>
          <t>Pelanggan</t>
        </is>
      </c>
    </row>
    <row r="9" ht="15" customHeight="1" s="33">
      <c r="A9" s="39" t="inlineStr">
        <is>
          <t>Komersial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2" min="1" max="1"/>
    <col width="12" customWidth="1" style="32" min="2" max="2"/>
    <col width="16" customWidth="1" style="32" min="3" max="3"/>
    <col width="44" customWidth="1" style="32" min="4" max="4"/>
    <col width="18" customWidth="1" style="32" min="5" max="5"/>
    <col width="5" customWidth="1" style="32" min="6" max="7"/>
    <col width="6" customWidth="1" style="32" min="8" max="8"/>
    <col width="9" customWidth="1" style="32" min="9" max="9"/>
    <col width="11" customWidth="1" style="32" min="10" max="10"/>
    <col width="40" customWidth="1" style="32" min="11" max="11"/>
    <col width="12" customWidth="1" style="32" min="12" max="12"/>
    <col width="11" customWidth="1" style="32" min="13" max="13"/>
    <col width="8" customWidth="1" style="32" min="14" max="16"/>
    <col width="10" customWidth="1" style="32" min="17" max="17"/>
    <col width="9" customWidth="1" style="32" min="18" max="18"/>
  </cols>
  <sheetData>
    <row r="1" ht="16.15" customHeight="1" s="33">
      <c r="A1" s="45" t="inlineStr">
        <is>
          <t>Project risk register</t>
        </is>
      </c>
    </row>
    <row r="2" ht="15" customHeight="1" s="33">
      <c r="A2" s="35" t="inlineStr">
        <is>
          <t>Skor, level, dan kolom Naik ke ISMS dihitung otomatis; kolom Naik ke ISMS memakai Skor, bukan Skor residual.</t>
        </is>
      </c>
    </row>
    <row r="4" ht="31.5" customHeight="1" s="33">
      <c r="A4" s="47" t="inlineStr">
        <is>
          <t>ID</t>
        </is>
      </c>
      <c r="B4" s="47" t="inlineStr">
        <is>
          <t>Tanggal</t>
        </is>
      </c>
      <c r="C4" s="47" t="inlineStr">
        <is>
          <t>Kategori</t>
        </is>
      </c>
      <c r="D4" s="47" t="inlineStr">
        <is>
          <t>Uraian risiko (sebab, kejadian, dampak)</t>
        </is>
      </c>
      <c r="E4" s="47" t="inlineStr">
        <is>
          <t>Pemilik</t>
        </is>
      </c>
      <c r="F4" s="47" t="inlineStr">
        <is>
          <t>L</t>
        </is>
      </c>
      <c r="G4" s="47" t="inlineStr">
        <is>
          <t>I</t>
        </is>
      </c>
      <c r="H4" s="47" t="inlineStr">
        <is>
          <t>Skor</t>
        </is>
      </c>
      <c r="I4" s="47" t="inlineStr">
        <is>
          <t>Level</t>
        </is>
      </c>
      <c r="J4" s="47" t="inlineStr">
        <is>
          <t>Respon</t>
        </is>
      </c>
      <c r="K4" s="47" t="inlineStr">
        <is>
          <t>Rencana tindakan</t>
        </is>
      </c>
      <c r="L4" s="47" t="inlineStr">
        <is>
          <t>Tenggat</t>
        </is>
      </c>
      <c r="M4" s="47" t="inlineStr">
        <is>
          <t>Status</t>
        </is>
      </c>
      <c r="N4" s="47" t="inlineStr">
        <is>
          <t>L residual</t>
        </is>
      </c>
      <c r="O4" s="47" t="inlineStr">
        <is>
          <t>I residual</t>
        </is>
      </c>
      <c r="P4" s="47" t="inlineStr">
        <is>
          <t>Skor residual</t>
        </is>
      </c>
      <c r="Q4" s="47" t="inlineStr">
        <is>
          <t>Level residual</t>
        </is>
      </c>
      <c r="R4" s="47" t="inlineStr">
        <is>
          <t>Naik ke ISMS</t>
        </is>
      </c>
    </row>
    <row r="5" ht="35.05" customHeight="1" s="33">
      <c r="A5" s="48" t="n"/>
      <c r="B5" s="49" t="n"/>
      <c r="C5" s="48" t="n"/>
      <c r="D5" s="48" t="n"/>
      <c r="E5" s="48" t="n"/>
      <c r="F5" s="48" t="n"/>
      <c r="G5" s="48" t="n"/>
      <c r="H5" s="50">
        <f>IF(OR(F5="",G5=""),"",F5*G5)</f>
        <v/>
      </c>
      <c r="I5" s="50">
        <f>IF(H5="","",IF(H5&gt;=20,"Kritis",IF(H5&gt;=10,"Tinggi",IF(H5&gt;=5,"Sedang","Rendah"))))</f>
        <v/>
      </c>
      <c r="J5" s="48" t="n"/>
      <c r="K5" s="48" t="n"/>
      <c r="L5" s="49" t="n"/>
      <c r="M5" s="48" t="n"/>
      <c r="N5" s="48" t="n"/>
      <c r="O5" s="48" t="n"/>
      <c r="P5" s="50">
        <f>IF(OR(N5="",O5=""),"",N5*O5)</f>
        <v/>
      </c>
      <c r="Q5" s="50">
        <f>IF(P5="","",IF(P5&gt;=20,"Kritis",IF(P5&gt;=10,"Tinggi",IF(P5&gt;=5,"Sedang","Rendah"))))</f>
        <v/>
      </c>
      <c r="R5" s="50">
        <f>IF(H5="","",IF(H5&gt;=10,"Ya","Tidak"))</f>
        <v/>
      </c>
    </row>
    <row r="6" ht="23.85" customHeight="1" s="33">
      <c r="A6" s="48" t="n"/>
      <c r="B6" s="49" t="n"/>
      <c r="C6" s="48" t="n"/>
      <c r="D6" s="48" t="n"/>
      <c r="E6" s="48" t="n"/>
      <c r="F6" s="48" t="n"/>
      <c r="G6" s="48" t="n"/>
      <c r="H6" s="50">
        <f>IF(OR(F6="",G6=""),"",F6*G6)</f>
        <v/>
      </c>
      <c r="I6" s="50">
        <f>IF(H6="","",IF(H6&gt;=20,"Kritis",IF(H6&gt;=10,"Tinggi",IF(H6&gt;=5,"Sedang","Rendah"))))</f>
        <v/>
      </c>
      <c r="J6" s="48" t="n"/>
      <c r="K6" s="48" t="n"/>
      <c r="L6" s="49" t="n"/>
      <c r="M6" s="48" t="n"/>
      <c r="N6" s="48" t="n"/>
      <c r="O6" s="48" t="n"/>
      <c r="P6" s="50">
        <f>IF(OR(N6="",O6=""),"",N6*O6)</f>
        <v/>
      </c>
      <c r="Q6" s="50">
        <f>IF(P6="","",IF(P6&gt;=20,"Kritis",IF(P6&gt;=10,"Tinggi",IF(P6&gt;=5,"Sedang","Rendah"))))</f>
        <v/>
      </c>
      <c r="R6" s="50">
        <f>IF(H6="","",IF(H6&gt;=10,"Ya","Tidak"))</f>
        <v/>
      </c>
    </row>
    <row r="7" ht="15" customHeight="1" s="33">
      <c r="A7" s="48" t="n"/>
      <c r="B7" s="49" t="n"/>
      <c r="C7" s="48" t="n"/>
      <c r="D7" s="48" t="n"/>
      <c r="E7" s="48" t="n"/>
      <c r="F7" s="48" t="n"/>
      <c r="G7" s="48" t="n"/>
      <c r="H7" s="50">
        <f>IF(OR(F7="",G7=""),"",F7*G7)</f>
        <v/>
      </c>
      <c r="I7" s="50">
        <f>IF(H7="","",IF(H7&gt;=20,"Kritis",IF(H7&gt;=10,"Tinggi",IF(H7&gt;=5,"Sedang","Rendah"))))</f>
        <v/>
      </c>
      <c r="J7" s="48" t="n"/>
      <c r="K7" s="48" t="n"/>
      <c r="L7" s="49" t="n"/>
      <c r="M7" s="48" t="n"/>
      <c r="N7" s="48" t="n"/>
      <c r="O7" s="48" t="n"/>
      <c r="P7" s="50">
        <f>IF(OR(N7="",O7=""),"",N7*O7)</f>
        <v/>
      </c>
      <c r="Q7" s="50">
        <f>IF(P7="","",IF(P7&gt;=20,"Kritis",IF(P7&gt;=10,"Tinggi",IF(P7&gt;=5,"Sedang","Rendah"))))</f>
        <v/>
      </c>
      <c r="R7" s="50">
        <f>IF(H7="","",IF(H7&gt;=10,"Ya","Tidak"))</f>
        <v/>
      </c>
    </row>
    <row r="8" ht="15" customHeight="1" s="33">
      <c r="A8" s="48" t="n"/>
      <c r="B8" s="49" t="n"/>
      <c r="C8" s="48" t="n"/>
      <c r="D8" s="48" t="n"/>
      <c r="E8" s="48" t="n"/>
      <c r="F8" s="48" t="n"/>
      <c r="G8" s="48" t="n"/>
      <c r="H8" s="50">
        <f>IF(OR(F8="",G8=""),"",F8*G8)</f>
        <v/>
      </c>
      <c r="I8" s="50">
        <f>IF(H8="","",IF(H8&gt;=20,"Kritis",IF(H8&gt;=10,"Tinggi",IF(H8&gt;=5,"Sedang","Rendah"))))</f>
        <v/>
      </c>
      <c r="J8" s="48" t="n"/>
      <c r="K8" s="48" t="n"/>
      <c r="L8" s="49" t="n"/>
      <c r="M8" s="48" t="n"/>
      <c r="N8" s="48" t="n"/>
      <c r="O8" s="48" t="n"/>
      <c r="P8" s="50">
        <f>IF(OR(N8="",O8=""),"",N8*O8)</f>
        <v/>
      </c>
      <c r="Q8" s="50">
        <f>IF(P8="","",IF(P8&gt;=20,"Kritis",IF(P8&gt;=10,"Tinggi",IF(P8&gt;=5,"Sedang","Rendah"))))</f>
        <v/>
      </c>
      <c r="R8" s="50">
        <f>IF(H8="","",IF(H8&gt;=10,"Ya","Tidak"))</f>
        <v/>
      </c>
    </row>
    <row r="9" ht="15" customHeight="1" s="33">
      <c r="A9" s="48" t="n"/>
      <c r="B9" s="49" t="n"/>
      <c r="C9" s="48" t="n"/>
      <c r="D9" s="48" t="n"/>
      <c r="E9" s="48" t="n"/>
      <c r="F9" s="48" t="n"/>
      <c r="G9" s="48" t="n"/>
      <c r="H9" s="50">
        <f>IF(OR(F9="",G9=""),"",F9*G9)</f>
        <v/>
      </c>
      <c r="I9" s="50">
        <f>IF(H9="","",IF(H9&gt;=20,"Kritis",IF(H9&gt;=10,"Tinggi",IF(H9&gt;=5,"Sedang","Rendah"))))</f>
        <v/>
      </c>
      <c r="J9" s="48" t="n"/>
      <c r="K9" s="48" t="n"/>
      <c r="L9" s="49" t="n"/>
      <c r="M9" s="48" t="n"/>
      <c r="N9" s="48" t="n"/>
      <c r="O9" s="48" t="n"/>
      <c r="P9" s="50">
        <f>IF(OR(N9="",O9=""),"",N9*O9)</f>
        <v/>
      </c>
      <c r="Q9" s="50">
        <f>IF(P9="","",IF(P9&gt;=20,"Kritis",IF(P9&gt;=10,"Tinggi",IF(P9&gt;=5,"Sedang","Rendah"))))</f>
        <v/>
      </c>
      <c r="R9" s="50">
        <f>IF(H9="","",IF(H9&gt;=10,"Ya","Tidak"))</f>
        <v/>
      </c>
    </row>
    <row r="10" ht="15" customHeight="1" s="33">
      <c r="A10" s="48" t="n"/>
      <c r="B10" s="49" t="n"/>
      <c r="C10" s="48" t="n"/>
      <c r="D10" s="48" t="n"/>
      <c r="E10" s="48" t="n"/>
      <c r="F10" s="48" t="n"/>
      <c r="G10" s="48" t="n"/>
      <c r="H10" s="50">
        <f>IF(OR(F10="",G10=""),"",F10*G10)</f>
        <v/>
      </c>
      <c r="I10" s="50">
        <f>IF(H10="","",IF(H10&gt;=20,"Kritis",IF(H10&gt;=10,"Tinggi",IF(H10&gt;=5,"Sedang","Rendah"))))</f>
        <v/>
      </c>
      <c r="J10" s="48" t="n"/>
      <c r="K10" s="48" t="n"/>
      <c r="L10" s="49" t="n"/>
      <c r="M10" s="48" t="n"/>
      <c r="N10" s="48" t="n"/>
      <c r="O10" s="48" t="n"/>
      <c r="P10" s="50">
        <f>IF(OR(N10="",O10=""),"",N10*O10)</f>
        <v/>
      </c>
      <c r="Q10" s="50">
        <f>IF(P10="","",IF(P10&gt;=20,"Kritis",IF(P10&gt;=10,"Tinggi",IF(P10&gt;=5,"Sedang","Rendah"))))</f>
        <v/>
      </c>
      <c r="R10" s="50">
        <f>IF(H10="","",IF(H10&gt;=10,"Ya","Tidak"))</f>
        <v/>
      </c>
    </row>
    <row r="11" ht="15" customHeight="1" s="33">
      <c r="A11" s="48" t="n"/>
      <c r="B11" s="49" t="n"/>
      <c r="C11" s="48" t="n"/>
      <c r="D11" s="48" t="n"/>
      <c r="E11" s="48" t="n"/>
      <c r="F11" s="48" t="n"/>
      <c r="G11" s="48" t="n"/>
      <c r="H11" s="50">
        <f>IF(OR(F11="",G11=""),"",F11*G11)</f>
        <v/>
      </c>
      <c r="I11" s="50">
        <f>IF(H11="","",IF(H11&gt;=20,"Kritis",IF(H11&gt;=10,"Tinggi",IF(H11&gt;=5,"Sedang","Rendah"))))</f>
        <v/>
      </c>
      <c r="J11" s="48" t="n"/>
      <c r="K11" s="48" t="n"/>
      <c r="L11" s="49" t="n"/>
      <c r="M11" s="48" t="n"/>
      <c r="N11" s="48" t="n"/>
      <c r="O11" s="48" t="n"/>
      <c r="P11" s="50">
        <f>IF(OR(N11="",O11=""),"",N11*O11)</f>
        <v/>
      </c>
      <c r="Q11" s="50">
        <f>IF(P11="","",IF(P11&gt;=20,"Kritis",IF(P11&gt;=10,"Tinggi",IF(P11&gt;=5,"Sedang","Rendah"))))</f>
        <v/>
      </c>
      <c r="R11" s="50">
        <f>IF(H11="","",IF(H11&gt;=10,"Ya","Tidak"))</f>
        <v/>
      </c>
    </row>
    <row r="12" ht="15" customHeight="1" s="33">
      <c r="A12" s="48" t="n"/>
      <c r="B12" s="49" t="n"/>
      <c r="C12" s="48" t="n"/>
      <c r="D12" s="48" t="n"/>
      <c r="E12" s="48" t="n"/>
      <c r="F12" s="48" t="n"/>
      <c r="G12" s="48" t="n"/>
      <c r="H12" s="50">
        <f>IF(OR(F12="",G12=""),"",F12*G12)</f>
        <v/>
      </c>
      <c r="I12" s="50">
        <f>IF(H12="","",IF(H12&gt;=20,"Kritis",IF(H12&gt;=10,"Tinggi",IF(H12&gt;=5,"Sedang","Rendah"))))</f>
        <v/>
      </c>
      <c r="J12" s="48" t="n"/>
      <c r="K12" s="48" t="n"/>
      <c r="L12" s="49" t="n"/>
      <c r="M12" s="48" t="n"/>
      <c r="N12" s="48" t="n"/>
      <c r="O12" s="48" t="n"/>
      <c r="P12" s="50">
        <f>IF(OR(N12="",O12=""),"",N12*O12)</f>
        <v/>
      </c>
      <c r="Q12" s="50">
        <f>IF(P12="","",IF(P12&gt;=20,"Kritis",IF(P12&gt;=10,"Tinggi",IF(P12&gt;=5,"Sedang","Rendah"))))</f>
        <v/>
      </c>
      <c r="R12" s="50">
        <f>IF(H12="","",IF(H12&gt;=10,"Ya","Tidak"))</f>
        <v/>
      </c>
    </row>
    <row r="13" ht="15" customHeight="1" s="33">
      <c r="A13" s="48" t="n"/>
      <c r="B13" s="49" t="n"/>
      <c r="C13" s="48" t="n"/>
      <c r="D13" s="48" t="n"/>
      <c r="E13" s="48" t="n"/>
      <c r="F13" s="48" t="n"/>
      <c r="G13" s="48" t="n"/>
      <c r="H13" s="50">
        <f>IF(OR(F13="",G13=""),"",F13*G13)</f>
        <v/>
      </c>
      <c r="I13" s="50">
        <f>IF(H13="","",IF(H13&gt;=20,"Kritis",IF(H13&gt;=10,"Tinggi",IF(H13&gt;=5,"Sedang","Rendah"))))</f>
        <v/>
      </c>
      <c r="J13" s="48" t="n"/>
      <c r="K13" s="48" t="n"/>
      <c r="L13" s="49" t="n"/>
      <c r="M13" s="48" t="n"/>
      <c r="N13" s="48" t="n"/>
      <c r="O13" s="48" t="n"/>
      <c r="P13" s="50">
        <f>IF(OR(N13="",O13=""),"",N13*O13)</f>
        <v/>
      </c>
      <c r="Q13" s="50">
        <f>IF(P13="","",IF(P13&gt;=20,"Kritis",IF(P13&gt;=10,"Tinggi",IF(P13&gt;=5,"Sedang","Rendah"))))</f>
        <v/>
      </c>
      <c r="R13" s="50">
        <f>IF(H13="","",IF(H13&gt;=10,"Ya","Tidak"))</f>
        <v/>
      </c>
    </row>
    <row r="14" ht="15" customHeight="1" s="33">
      <c r="A14" s="48" t="n"/>
      <c r="B14" s="49" t="n"/>
      <c r="C14" s="48" t="n"/>
      <c r="D14" s="48" t="n"/>
      <c r="E14" s="48" t="n"/>
      <c r="F14" s="48" t="n"/>
      <c r="G14" s="48" t="n"/>
      <c r="H14" s="50">
        <f>IF(OR(F14="",G14=""),"",F14*G14)</f>
        <v/>
      </c>
      <c r="I14" s="50">
        <f>IF(H14="","",IF(H14&gt;=20,"Kritis",IF(H14&gt;=10,"Tinggi",IF(H14&gt;=5,"Sedang","Rendah"))))</f>
        <v/>
      </c>
      <c r="J14" s="48" t="n"/>
      <c r="K14" s="48" t="n"/>
      <c r="L14" s="49" t="n"/>
      <c r="M14" s="48" t="n"/>
      <c r="N14" s="48" t="n"/>
      <c r="O14" s="48" t="n"/>
      <c r="P14" s="50">
        <f>IF(OR(N14="",O14=""),"",N14*O14)</f>
        <v/>
      </c>
      <c r="Q14" s="50">
        <f>IF(P14="","",IF(P14&gt;=20,"Kritis",IF(P14&gt;=10,"Tinggi",IF(P14&gt;=5,"Sedang","Rendah"))))</f>
        <v/>
      </c>
      <c r="R14" s="50">
        <f>IF(H14="","",IF(H14&gt;=10,"Ya","Tidak"))</f>
        <v/>
      </c>
    </row>
    <row r="15" ht="15" customHeight="1" s="33">
      <c r="A15" s="48" t="n"/>
      <c r="B15" s="49" t="n"/>
      <c r="C15" s="48" t="n"/>
      <c r="D15" s="48" t="n"/>
      <c r="E15" s="48" t="n"/>
      <c r="F15" s="48" t="n"/>
      <c r="G15" s="48" t="n"/>
      <c r="H15" s="50">
        <f>IF(OR(F15="",G15=""),"",F15*G15)</f>
        <v/>
      </c>
      <c r="I15" s="50">
        <f>IF(H15="","",IF(H15&gt;=20,"Kritis",IF(H15&gt;=10,"Tinggi",IF(H15&gt;=5,"Sedang","Rendah"))))</f>
        <v/>
      </c>
      <c r="J15" s="48" t="n"/>
      <c r="K15" s="48" t="n"/>
      <c r="L15" s="49" t="n"/>
      <c r="M15" s="48" t="n"/>
      <c r="N15" s="48" t="n"/>
      <c r="O15" s="48" t="n"/>
      <c r="P15" s="50">
        <f>IF(OR(N15="",O15=""),"",N15*O15)</f>
        <v/>
      </c>
      <c r="Q15" s="50">
        <f>IF(P15="","",IF(P15&gt;=20,"Kritis",IF(P15&gt;=10,"Tinggi",IF(P15&gt;=5,"Sedang","Rendah"))))</f>
        <v/>
      </c>
      <c r="R15" s="50">
        <f>IF(H15="","",IF(H15&gt;=10,"Ya","Tidak"))</f>
        <v/>
      </c>
    </row>
    <row r="16" ht="15" customHeight="1" s="33">
      <c r="A16" s="48" t="n"/>
      <c r="B16" s="49" t="n"/>
      <c r="C16" s="48" t="n"/>
      <c r="D16" s="48" t="n"/>
      <c r="E16" s="48" t="n"/>
      <c r="F16" s="48" t="n"/>
      <c r="G16" s="48" t="n"/>
      <c r="H16" s="50">
        <f>IF(OR(F16="",G16=""),"",F16*G16)</f>
        <v/>
      </c>
      <c r="I16" s="50">
        <f>IF(H16="","",IF(H16&gt;=20,"Kritis",IF(H16&gt;=10,"Tinggi",IF(H16&gt;=5,"Sedang","Rendah"))))</f>
        <v/>
      </c>
      <c r="J16" s="48" t="n"/>
      <c r="K16" s="48" t="n"/>
      <c r="L16" s="49" t="n"/>
      <c r="M16" s="48" t="n"/>
      <c r="N16" s="48" t="n"/>
      <c r="O16" s="48" t="n"/>
      <c r="P16" s="50">
        <f>IF(OR(N16="",O16=""),"",N16*O16)</f>
        <v/>
      </c>
      <c r="Q16" s="50">
        <f>IF(P16="","",IF(P16&gt;=20,"Kritis",IF(P16&gt;=10,"Tinggi",IF(P16&gt;=5,"Sedang","Rendah"))))</f>
        <v/>
      </c>
      <c r="R16" s="50">
        <f>IF(H16="","",IF(H16&gt;=10,"Ya","Tidak"))</f>
        <v/>
      </c>
    </row>
    <row r="17" ht="15" customHeight="1" s="33">
      <c r="A17" s="48" t="n"/>
      <c r="B17" s="49" t="n"/>
      <c r="C17" s="48" t="n"/>
      <c r="D17" s="48" t="n"/>
      <c r="E17" s="48" t="n"/>
      <c r="F17" s="48" t="n"/>
      <c r="G17" s="48" t="n"/>
      <c r="H17" s="50">
        <f>IF(OR(F17="",G17=""),"",F17*G17)</f>
        <v/>
      </c>
      <c r="I17" s="50">
        <f>IF(H17="","",IF(H17&gt;=20,"Kritis",IF(H17&gt;=10,"Tinggi",IF(H17&gt;=5,"Sedang","Rendah"))))</f>
        <v/>
      </c>
      <c r="J17" s="48" t="n"/>
      <c r="K17" s="48" t="n"/>
      <c r="L17" s="49" t="n"/>
      <c r="M17" s="48" t="n"/>
      <c r="N17" s="48" t="n"/>
      <c r="O17" s="48" t="n"/>
      <c r="P17" s="50">
        <f>IF(OR(N17="",O17=""),"",N17*O17)</f>
        <v/>
      </c>
      <c r="Q17" s="50">
        <f>IF(P17="","",IF(P17&gt;=20,"Kritis",IF(P17&gt;=10,"Tinggi",IF(P17&gt;=5,"Sedang","Rendah"))))</f>
        <v/>
      </c>
      <c r="R17" s="50">
        <f>IF(H17="","",IF(H17&gt;=10,"Ya","Tidak"))</f>
        <v/>
      </c>
    </row>
    <row r="18" ht="15" customHeight="1" s="33">
      <c r="A18" s="48" t="n"/>
      <c r="B18" s="49" t="n"/>
      <c r="C18" s="48" t="n"/>
      <c r="D18" s="48" t="n"/>
      <c r="E18" s="48" t="n"/>
      <c r="F18" s="48" t="n"/>
      <c r="G18" s="48" t="n"/>
      <c r="H18" s="50">
        <f>IF(OR(F18="",G18=""),"",F18*G18)</f>
        <v/>
      </c>
      <c r="I18" s="50">
        <f>IF(H18="","",IF(H18&gt;=20,"Kritis",IF(H18&gt;=10,"Tinggi",IF(H18&gt;=5,"Sedang","Rendah"))))</f>
        <v/>
      </c>
      <c r="J18" s="48" t="n"/>
      <c r="K18" s="48" t="n"/>
      <c r="L18" s="49" t="n"/>
      <c r="M18" s="48" t="n"/>
      <c r="N18" s="48" t="n"/>
      <c r="O18" s="48" t="n"/>
      <c r="P18" s="50">
        <f>IF(OR(N18="",O18=""),"",N18*O18)</f>
        <v/>
      </c>
      <c r="Q18" s="50">
        <f>IF(P18="","",IF(P18&gt;=20,"Kritis",IF(P18&gt;=10,"Tinggi",IF(P18&gt;=5,"Sedang","Rendah"))))</f>
        <v/>
      </c>
      <c r="R18" s="50">
        <f>IF(H18="","",IF(H18&gt;=10,"Ya","Tidak"))</f>
        <v/>
      </c>
    </row>
    <row r="19" ht="15" customHeight="1" s="33">
      <c r="A19" s="48" t="n"/>
      <c r="B19" s="49" t="n"/>
      <c r="C19" s="48" t="n"/>
      <c r="D19" s="48" t="n"/>
      <c r="E19" s="48" t="n"/>
      <c r="F19" s="48" t="n"/>
      <c r="G19" s="48" t="n"/>
      <c r="H19" s="50">
        <f>IF(OR(F19="",G19=""),"",F19*G19)</f>
        <v/>
      </c>
      <c r="I19" s="50">
        <f>IF(H19="","",IF(H19&gt;=20,"Kritis",IF(H19&gt;=10,"Tinggi",IF(H19&gt;=5,"Sedang","Rendah"))))</f>
        <v/>
      </c>
      <c r="J19" s="48" t="n"/>
      <c r="K19" s="48" t="n"/>
      <c r="L19" s="49" t="n"/>
      <c r="M19" s="48" t="n"/>
      <c r="N19" s="48" t="n"/>
      <c r="O19" s="48" t="n"/>
      <c r="P19" s="50">
        <f>IF(OR(N19="",O19=""),"",N19*O19)</f>
        <v/>
      </c>
      <c r="Q19" s="50">
        <f>IF(P19="","",IF(P19&gt;=20,"Kritis",IF(P19&gt;=10,"Tinggi",IF(P19&gt;=5,"Sedang","Rendah"))))</f>
        <v/>
      </c>
      <c r="R19" s="50">
        <f>IF(H19="","",IF(H19&gt;=10,"Ya","Tidak"))</f>
        <v/>
      </c>
    </row>
    <row r="20" ht="15" customHeight="1" s="33">
      <c r="A20" s="48" t="n"/>
      <c r="B20" s="49" t="n"/>
      <c r="C20" s="48" t="n"/>
      <c r="D20" s="48" t="n"/>
      <c r="E20" s="48" t="n"/>
      <c r="F20" s="48" t="n"/>
      <c r="G20" s="48" t="n"/>
      <c r="H20" s="50">
        <f>IF(OR(F20="",G20=""),"",F20*G20)</f>
        <v/>
      </c>
      <c r="I20" s="50">
        <f>IF(H20="","",IF(H20&gt;=20,"Kritis",IF(H20&gt;=10,"Tinggi",IF(H20&gt;=5,"Sedang","Rendah"))))</f>
        <v/>
      </c>
      <c r="J20" s="48" t="n"/>
      <c r="K20" s="48" t="n"/>
      <c r="L20" s="49" t="n"/>
      <c r="M20" s="48" t="n"/>
      <c r="N20" s="48" t="n"/>
      <c r="O20" s="48" t="n"/>
      <c r="P20" s="50">
        <f>IF(OR(N20="",O20=""),"",N20*O20)</f>
        <v/>
      </c>
      <c r="Q20" s="50">
        <f>IF(P20="","",IF(P20&gt;=20,"Kritis",IF(P20&gt;=10,"Tinggi",IF(P20&gt;=5,"Sedang","Rendah"))))</f>
        <v/>
      </c>
      <c r="R20" s="50">
        <f>IF(H20="","",IF(H20&gt;=10,"Ya","Tidak"))</f>
        <v/>
      </c>
    </row>
    <row r="21" ht="15" customHeight="1" s="33">
      <c r="A21" s="48" t="n"/>
      <c r="B21" s="49" t="n"/>
      <c r="C21" s="48" t="n"/>
      <c r="D21" s="48" t="n"/>
      <c r="E21" s="48" t="n"/>
      <c r="F21" s="48" t="n"/>
      <c r="G21" s="48" t="n"/>
      <c r="H21" s="50">
        <f>IF(OR(F21="",G21=""),"",F21*G21)</f>
        <v/>
      </c>
      <c r="I21" s="50">
        <f>IF(H21="","",IF(H21&gt;=20,"Kritis",IF(H21&gt;=10,"Tinggi",IF(H21&gt;=5,"Sedang","Rendah"))))</f>
        <v/>
      </c>
      <c r="J21" s="48" t="n"/>
      <c r="K21" s="48" t="n"/>
      <c r="L21" s="49" t="n"/>
      <c r="M21" s="48" t="n"/>
      <c r="N21" s="48" t="n"/>
      <c r="O21" s="48" t="n"/>
      <c r="P21" s="50">
        <f>IF(OR(N21="",O21=""),"",N21*O21)</f>
        <v/>
      </c>
      <c r="Q21" s="50">
        <f>IF(P21="","",IF(P21&gt;=20,"Kritis",IF(P21&gt;=10,"Tinggi",IF(P21&gt;=5,"Sedang","Rendah"))))</f>
        <v/>
      </c>
      <c r="R21" s="50">
        <f>IF(H21="","",IF(H21&gt;=10,"Ya","Tidak"))</f>
        <v/>
      </c>
    </row>
    <row r="22" ht="15" customHeight="1" s="33">
      <c r="A22" s="48" t="n"/>
      <c r="B22" s="49" t="n"/>
      <c r="C22" s="48" t="n"/>
      <c r="D22" s="48" t="n"/>
      <c r="E22" s="48" t="n"/>
      <c r="F22" s="48" t="n"/>
      <c r="G22" s="48" t="n"/>
      <c r="H22" s="50">
        <f>IF(OR(F22="",G22=""),"",F22*G22)</f>
        <v/>
      </c>
      <c r="I22" s="50">
        <f>IF(H22="","",IF(H22&gt;=20,"Kritis",IF(H22&gt;=10,"Tinggi",IF(H22&gt;=5,"Sedang","Rendah"))))</f>
        <v/>
      </c>
      <c r="J22" s="48" t="n"/>
      <c r="K22" s="48" t="n"/>
      <c r="L22" s="49" t="n"/>
      <c r="M22" s="48" t="n"/>
      <c r="N22" s="48" t="n"/>
      <c r="O22" s="48" t="n"/>
      <c r="P22" s="50">
        <f>IF(OR(N22="",O22=""),"",N22*O22)</f>
        <v/>
      </c>
      <c r="Q22" s="50">
        <f>IF(P22="","",IF(P22&gt;=20,"Kritis",IF(P22&gt;=10,"Tinggi",IF(P22&gt;=5,"Sedang","Rendah"))))</f>
        <v/>
      </c>
      <c r="R22" s="50">
        <f>IF(H22="","",IF(H22&gt;=10,"Ya","Tidak"))</f>
        <v/>
      </c>
    </row>
    <row r="23" ht="15" customHeight="1" s="33">
      <c r="A23" s="48" t="n"/>
      <c r="B23" s="49" t="n"/>
      <c r="C23" s="48" t="n"/>
      <c r="D23" s="48" t="n"/>
      <c r="E23" s="48" t="n"/>
      <c r="F23" s="48" t="n"/>
      <c r="G23" s="48" t="n"/>
      <c r="H23" s="50">
        <f>IF(OR(F23="",G23=""),"",F23*G23)</f>
        <v/>
      </c>
      <c r="I23" s="50">
        <f>IF(H23="","",IF(H23&gt;=20,"Kritis",IF(H23&gt;=10,"Tinggi",IF(H23&gt;=5,"Sedang","Rendah"))))</f>
        <v/>
      </c>
      <c r="J23" s="48" t="n"/>
      <c r="K23" s="48" t="n"/>
      <c r="L23" s="49" t="n"/>
      <c r="M23" s="48" t="n"/>
      <c r="N23" s="48" t="n"/>
      <c r="O23" s="48" t="n"/>
      <c r="P23" s="50">
        <f>IF(OR(N23="",O23=""),"",N23*O23)</f>
        <v/>
      </c>
      <c r="Q23" s="50">
        <f>IF(P23="","",IF(P23&gt;=20,"Kritis",IF(P23&gt;=10,"Tinggi",IF(P23&gt;=5,"Sedang","Rendah"))))</f>
        <v/>
      </c>
      <c r="R23" s="50">
        <f>IF(H23="","",IF(H23&gt;=10,"Ya","Tidak"))</f>
        <v/>
      </c>
    </row>
    <row r="24" ht="15" customHeight="1" s="33">
      <c r="A24" s="48" t="n"/>
      <c r="B24" s="49" t="n"/>
      <c r="C24" s="48" t="n"/>
      <c r="D24" s="48" t="n"/>
      <c r="E24" s="48" t="n"/>
      <c r="F24" s="48" t="n"/>
      <c r="G24" s="48" t="n"/>
      <c r="H24" s="50">
        <f>IF(OR(F24="",G24=""),"",F24*G24)</f>
        <v/>
      </c>
      <c r="I24" s="50">
        <f>IF(H24="","",IF(H24&gt;=20,"Kritis",IF(H24&gt;=10,"Tinggi",IF(H24&gt;=5,"Sedang","Rendah"))))</f>
        <v/>
      </c>
      <c r="J24" s="48" t="n"/>
      <c r="K24" s="48" t="n"/>
      <c r="L24" s="49" t="n"/>
      <c r="M24" s="48" t="n"/>
      <c r="N24" s="48" t="n"/>
      <c r="O24" s="48" t="n"/>
      <c r="P24" s="50">
        <f>IF(OR(N24="",O24=""),"",N24*O24)</f>
        <v/>
      </c>
      <c r="Q24" s="50">
        <f>IF(P24="","",IF(P24&gt;=20,"Kritis",IF(P24&gt;=10,"Tinggi",IF(P24&gt;=5,"Sedang","Rendah"))))</f>
        <v/>
      </c>
      <c r="R24" s="50">
        <f>IF(H24="","",IF(H24&gt;=10,"Ya","Tidak"))</f>
        <v/>
      </c>
    </row>
    <row r="25" ht="15" customHeight="1" s="33">
      <c r="A25" s="48" t="n"/>
      <c r="B25" s="49" t="n"/>
      <c r="C25" s="48" t="n"/>
      <c r="D25" s="48" t="n"/>
      <c r="E25" s="48" t="n"/>
      <c r="F25" s="48" t="n"/>
      <c r="G25" s="48" t="n"/>
      <c r="H25" s="50">
        <f>IF(OR(F25="",G25=""),"",F25*G25)</f>
        <v/>
      </c>
      <c r="I25" s="50">
        <f>IF(H25="","",IF(H25&gt;=20,"Kritis",IF(H25&gt;=10,"Tinggi",IF(H25&gt;=5,"Sedang","Rendah"))))</f>
        <v/>
      </c>
      <c r="J25" s="48" t="n"/>
      <c r="K25" s="48" t="n"/>
      <c r="L25" s="49" t="n"/>
      <c r="M25" s="48" t="n"/>
      <c r="N25" s="48" t="n"/>
      <c r="O25" s="48" t="n"/>
      <c r="P25" s="50">
        <f>IF(OR(N25="",O25=""),"",N25*O25)</f>
        <v/>
      </c>
      <c r="Q25" s="50">
        <f>IF(P25="","",IF(P25&gt;=20,"Kritis",IF(P25&gt;=10,"Tinggi",IF(P25&gt;=5,"Sedang","Rendah"))))</f>
        <v/>
      </c>
      <c r="R25" s="50">
        <f>IF(H25="","",IF(H25&gt;=10,"Ya","Tidak"))</f>
        <v/>
      </c>
    </row>
    <row r="26" ht="15" customHeight="1" s="33">
      <c r="A26" s="48" t="n"/>
      <c r="B26" s="49" t="n"/>
      <c r="C26" s="48" t="n"/>
      <c r="D26" s="48" t="n"/>
      <c r="E26" s="48" t="n"/>
      <c r="F26" s="48" t="n"/>
      <c r="G26" s="48" t="n"/>
      <c r="H26" s="50">
        <f>IF(OR(F26="",G26=""),"",F26*G26)</f>
        <v/>
      </c>
      <c r="I26" s="50">
        <f>IF(H26="","",IF(H26&gt;=20,"Kritis",IF(H26&gt;=10,"Tinggi",IF(H26&gt;=5,"Sedang","Rendah"))))</f>
        <v/>
      </c>
      <c r="J26" s="48" t="n"/>
      <c r="K26" s="48" t="n"/>
      <c r="L26" s="49" t="n"/>
      <c r="M26" s="48" t="n"/>
      <c r="N26" s="48" t="n"/>
      <c r="O26" s="48" t="n"/>
      <c r="P26" s="50">
        <f>IF(OR(N26="",O26=""),"",N26*O26)</f>
        <v/>
      </c>
      <c r="Q26" s="50">
        <f>IF(P26="","",IF(P26&gt;=20,"Kritis",IF(P26&gt;=10,"Tinggi",IF(P26&gt;=5,"Sedang","Rendah"))))</f>
        <v/>
      </c>
      <c r="R26" s="50">
        <f>IF(H26="","",IF(H26&gt;=10,"Ya","Tidak"))</f>
        <v/>
      </c>
    </row>
    <row r="27" ht="15" customHeight="1" s="33">
      <c r="A27" s="48" t="n"/>
      <c r="B27" s="49" t="n"/>
      <c r="C27" s="48" t="n"/>
      <c r="D27" s="48" t="n"/>
      <c r="E27" s="48" t="n"/>
      <c r="F27" s="48" t="n"/>
      <c r="G27" s="48" t="n"/>
      <c r="H27" s="50">
        <f>IF(OR(F27="",G27=""),"",F27*G27)</f>
        <v/>
      </c>
      <c r="I27" s="50">
        <f>IF(H27="","",IF(H27&gt;=20,"Kritis",IF(H27&gt;=10,"Tinggi",IF(H27&gt;=5,"Sedang","Rendah"))))</f>
        <v/>
      </c>
      <c r="J27" s="48" t="n"/>
      <c r="K27" s="48" t="n"/>
      <c r="L27" s="49" t="n"/>
      <c r="M27" s="48" t="n"/>
      <c r="N27" s="48" t="n"/>
      <c r="O27" s="48" t="n"/>
      <c r="P27" s="50">
        <f>IF(OR(N27="",O27=""),"",N27*O27)</f>
        <v/>
      </c>
      <c r="Q27" s="50">
        <f>IF(P27="","",IF(P27&gt;=20,"Kritis",IF(P27&gt;=10,"Tinggi",IF(P27&gt;=5,"Sedang","Rendah"))))</f>
        <v/>
      </c>
      <c r="R27" s="50">
        <f>IF(H27="","",IF(H27&gt;=10,"Ya","Tidak"))</f>
        <v/>
      </c>
    </row>
    <row r="28" ht="15" customHeight="1" s="33">
      <c r="A28" s="48" t="n"/>
      <c r="B28" s="49" t="n"/>
      <c r="C28" s="48" t="n"/>
      <c r="D28" s="48" t="n"/>
      <c r="E28" s="48" t="n"/>
      <c r="F28" s="48" t="n"/>
      <c r="G28" s="48" t="n"/>
      <c r="H28" s="50">
        <f>IF(OR(F28="",G28=""),"",F28*G28)</f>
        <v/>
      </c>
      <c r="I28" s="50">
        <f>IF(H28="","",IF(H28&gt;=20,"Kritis",IF(H28&gt;=10,"Tinggi",IF(H28&gt;=5,"Sedang","Rendah"))))</f>
        <v/>
      </c>
      <c r="J28" s="48" t="n"/>
      <c r="K28" s="48" t="n"/>
      <c r="L28" s="49" t="n"/>
      <c r="M28" s="48" t="n"/>
      <c r="N28" s="48" t="n"/>
      <c r="O28" s="48" t="n"/>
      <c r="P28" s="50">
        <f>IF(OR(N28="",O28=""),"",N28*O28)</f>
        <v/>
      </c>
      <c r="Q28" s="50">
        <f>IF(P28="","",IF(P28&gt;=20,"Kritis",IF(P28&gt;=10,"Tinggi",IF(P28&gt;=5,"Sedang","Rendah"))))</f>
        <v/>
      </c>
      <c r="R28" s="50">
        <f>IF(H28="","",IF(H28&gt;=10,"Ya","Tidak"))</f>
        <v/>
      </c>
    </row>
    <row r="29" ht="15" customHeight="1" s="33">
      <c r="A29" s="48" t="n"/>
      <c r="B29" s="49" t="n"/>
      <c r="C29" s="48" t="n"/>
      <c r="D29" s="48" t="n"/>
      <c r="E29" s="48" t="n"/>
      <c r="F29" s="48" t="n"/>
      <c r="G29" s="48" t="n"/>
      <c r="H29" s="50">
        <f>IF(OR(F29="",G29=""),"",F29*G29)</f>
        <v/>
      </c>
      <c r="I29" s="50">
        <f>IF(H29="","",IF(H29&gt;=20,"Kritis",IF(H29&gt;=10,"Tinggi",IF(H29&gt;=5,"Sedang","Rendah"))))</f>
        <v/>
      </c>
      <c r="J29" s="48" t="n"/>
      <c r="K29" s="48" t="n"/>
      <c r="L29" s="49" t="n"/>
      <c r="M29" s="48" t="n"/>
      <c r="N29" s="48" t="n"/>
      <c r="O29" s="48" t="n"/>
      <c r="P29" s="50">
        <f>IF(OR(N29="",O29=""),"",N29*O29)</f>
        <v/>
      </c>
      <c r="Q29" s="50">
        <f>IF(P29="","",IF(P29&gt;=20,"Kritis",IF(P29&gt;=10,"Tinggi",IF(P29&gt;=5,"Sedang","Rendah"))))</f>
        <v/>
      </c>
      <c r="R29" s="50">
        <f>IF(H29="","",IF(H29&gt;=10,"Ya","Tidak"))</f>
        <v/>
      </c>
    </row>
    <row r="30" ht="15" customHeight="1" s="33">
      <c r="A30" s="48" t="n"/>
      <c r="B30" s="49" t="n"/>
      <c r="C30" s="48" t="n"/>
      <c r="D30" s="48" t="n"/>
      <c r="E30" s="48" t="n"/>
      <c r="F30" s="48" t="n"/>
      <c r="G30" s="48" t="n"/>
      <c r="H30" s="50">
        <f>IF(OR(F30="",G30=""),"",F30*G30)</f>
        <v/>
      </c>
      <c r="I30" s="50">
        <f>IF(H30="","",IF(H30&gt;=20,"Kritis",IF(H30&gt;=10,"Tinggi",IF(H30&gt;=5,"Sedang","Rendah"))))</f>
        <v/>
      </c>
      <c r="J30" s="48" t="n"/>
      <c r="K30" s="48" t="n"/>
      <c r="L30" s="49" t="n"/>
      <c r="M30" s="48" t="n"/>
      <c r="N30" s="48" t="n"/>
      <c r="O30" s="48" t="n"/>
      <c r="P30" s="50">
        <f>IF(OR(N30="",O30=""),"",N30*O30)</f>
        <v/>
      </c>
      <c r="Q30" s="50">
        <f>IF(P30="","",IF(P30&gt;=20,"Kritis",IF(P30&gt;=10,"Tinggi",IF(P30&gt;=5,"Sedang","Rendah"))))</f>
        <v/>
      </c>
      <c r="R30" s="50">
        <f>IF(H30="","",IF(H30&gt;=10,"Ya","Tidak"))</f>
        <v/>
      </c>
    </row>
    <row r="31" ht="15" customHeight="1" s="33">
      <c r="A31" s="48" t="n"/>
      <c r="B31" s="49" t="n"/>
      <c r="C31" s="48" t="n"/>
      <c r="D31" s="48" t="n"/>
      <c r="E31" s="48" t="n"/>
      <c r="F31" s="48" t="n"/>
      <c r="G31" s="48" t="n"/>
      <c r="H31" s="50">
        <f>IF(OR(F31="",G31=""),"",F31*G31)</f>
        <v/>
      </c>
      <c r="I31" s="50">
        <f>IF(H31="","",IF(H31&gt;=20,"Kritis",IF(H31&gt;=10,"Tinggi",IF(H31&gt;=5,"Sedang","Rendah"))))</f>
        <v/>
      </c>
      <c r="J31" s="48" t="n"/>
      <c r="K31" s="48" t="n"/>
      <c r="L31" s="49" t="n"/>
      <c r="M31" s="48" t="n"/>
      <c r="N31" s="48" t="n"/>
      <c r="O31" s="48" t="n"/>
      <c r="P31" s="50">
        <f>IF(OR(N31="",O31=""),"",N31*O31)</f>
        <v/>
      </c>
      <c r="Q31" s="50">
        <f>IF(P31="","",IF(P31&gt;=20,"Kritis",IF(P31&gt;=10,"Tinggi",IF(P31&gt;=5,"Sedang","Rendah"))))</f>
        <v/>
      </c>
      <c r="R31" s="50">
        <f>IF(H31="","",IF(H31&gt;=10,"Ya","Tidak"))</f>
        <v/>
      </c>
    </row>
    <row r="32" ht="15" customHeight="1" s="33">
      <c r="A32" s="48" t="n"/>
      <c r="B32" s="49" t="n"/>
      <c r="C32" s="48" t="n"/>
      <c r="D32" s="48" t="n"/>
      <c r="E32" s="48" t="n"/>
      <c r="F32" s="48" t="n"/>
      <c r="G32" s="48" t="n"/>
      <c r="H32" s="50">
        <f>IF(OR(F32="",G32=""),"",F32*G32)</f>
        <v/>
      </c>
      <c r="I32" s="50">
        <f>IF(H32="","",IF(H32&gt;=20,"Kritis",IF(H32&gt;=10,"Tinggi",IF(H32&gt;=5,"Sedang","Rendah"))))</f>
        <v/>
      </c>
      <c r="J32" s="48" t="n"/>
      <c r="K32" s="48" t="n"/>
      <c r="L32" s="49" t="n"/>
      <c r="M32" s="48" t="n"/>
      <c r="N32" s="48" t="n"/>
      <c r="O32" s="48" t="n"/>
      <c r="P32" s="50">
        <f>IF(OR(N32="",O32=""),"",N32*O32)</f>
        <v/>
      </c>
      <c r="Q32" s="50">
        <f>IF(P32="","",IF(P32&gt;=20,"Kritis",IF(P32&gt;=10,"Tinggi",IF(P32&gt;=5,"Sedang","Rendah"))))</f>
        <v/>
      </c>
      <c r="R32" s="50">
        <f>IF(H32="","",IF(H32&gt;=10,"Ya","Tidak"))</f>
        <v/>
      </c>
    </row>
    <row r="33" ht="15" customHeight="1" s="33">
      <c r="A33" s="48" t="n"/>
      <c r="B33" s="49" t="n"/>
      <c r="C33" s="48" t="n"/>
      <c r="D33" s="48" t="n"/>
      <c r="E33" s="48" t="n"/>
      <c r="F33" s="48" t="n"/>
      <c r="G33" s="48" t="n"/>
      <c r="H33" s="50">
        <f>IF(OR(F33="",G33=""),"",F33*G33)</f>
        <v/>
      </c>
      <c r="I33" s="50">
        <f>IF(H33="","",IF(H33&gt;=20,"Kritis",IF(H33&gt;=10,"Tinggi",IF(H33&gt;=5,"Sedang","Rendah"))))</f>
        <v/>
      </c>
      <c r="J33" s="48" t="n"/>
      <c r="K33" s="48" t="n"/>
      <c r="L33" s="49" t="n"/>
      <c r="M33" s="48" t="n"/>
      <c r="N33" s="48" t="n"/>
      <c r="O33" s="48" t="n"/>
      <c r="P33" s="50">
        <f>IF(OR(N33="",O33=""),"",N33*O33)</f>
        <v/>
      </c>
      <c r="Q33" s="50">
        <f>IF(P33="","",IF(P33&gt;=20,"Kritis",IF(P33&gt;=10,"Tinggi",IF(P33&gt;=5,"Sedang","Rendah"))))</f>
        <v/>
      </c>
      <c r="R33" s="50">
        <f>IF(H33="","",IF(H33&gt;=10,"Ya","Tidak"))</f>
        <v/>
      </c>
    </row>
    <row r="34" ht="15" customHeight="1" s="33">
      <c r="A34" s="48" t="n"/>
      <c r="B34" s="49" t="n"/>
      <c r="C34" s="48" t="n"/>
      <c r="D34" s="48" t="n"/>
      <c r="E34" s="48" t="n"/>
      <c r="F34" s="48" t="n"/>
      <c r="G34" s="48" t="n"/>
      <c r="H34" s="50">
        <f>IF(OR(F34="",G34=""),"",F34*G34)</f>
        <v/>
      </c>
      <c r="I34" s="50">
        <f>IF(H34="","",IF(H34&gt;=20,"Kritis",IF(H34&gt;=10,"Tinggi",IF(H34&gt;=5,"Sedang","Rendah"))))</f>
        <v/>
      </c>
      <c r="J34" s="48" t="n"/>
      <c r="K34" s="48" t="n"/>
      <c r="L34" s="49" t="n"/>
      <c r="M34" s="48" t="n"/>
      <c r="N34" s="48" t="n"/>
      <c r="O34" s="48" t="n"/>
      <c r="P34" s="50">
        <f>IF(OR(N34="",O34=""),"",N34*O34)</f>
        <v/>
      </c>
      <c r="Q34" s="50">
        <f>IF(P34="","",IF(P34&gt;=20,"Kritis",IF(P34&gt;=10,"Tinggi",IF(P34&gt;=5,"Sedang","Rendah"))))</f>
        <v/>
      </c>
      <c r="R34" s="50">
        <f>IF(H34="","",IF(H34&gt;=10,"Ya","Tidak"))</f>
        <v/>
      </c>
    </row>
    <row r="35" ht="15" customHeight="1" s="33">
      <c r="A35" s="48" t="n"/>
      <c r="B35" s="49" t="n"/>
      <c r="C35" s="48" t="n"/>
      <c r="D35" s="48" t="n"/>
      <c r="E35" s="48" t="n"/>
      <c r="F35" s="48" t="n"/>
      <c r="G35" s="48" t="n"/>
      <c r="H35" s="50">
        <f>IF(OR(F35="",G35=""),"",F35*G35)</f>
        <v/>
      </c>
      <c r="I35" s="50">
        <f>IF(H35="","",IF(H35&gt;=20,"Kritis",IF(H35&gt;=10,"Tinggi",IF(H35&gt;=5,"Sedang","Rendah"))))</f>
        <v/>
      </c>
      <c r="J35" s="48" t="n"/>
      <c r="K35" s="48" t="n"/>
      <c r="L35" s="49" t="n"/>
      <c r="M35" s="48" t="n"/>
      <c r="N35" s="48" t="n"/>
      <c r="O35" s="48" t="n"/>
      <c r="P35" s="50">
        <f>IF(OR(N35="",O35=""),"",N35*O35)</f>
        <v/>
      </c>
      <c r="Q35" s="50">
        <f>IF(P35="","",IF(P35&gt;=20,"Kritis",IF(P35&gt;=10,"Tinggi",IF(P35&gt;=5,"Sedang","Rendah"))))</f>
        <v/>
      </c>
      <c r="R35" s="50">
        <f>IF(H35="","",IF(H35&gt;=10,"Ya","Tidak"))</f>
        <v/>
      </c>
    </row>
    <row r="36" ht="15" customHeight="1" s="33">
      <c r="A36" s="48" t="n"/>
      <c r="B36" s="49" t="n"/>
      <c r="C36" s="48" t="n"/>
      <c r="D36" s="48" t="n"/>
      <c r="E36" s="48" t="n"/>
      <c r="F36" s="48" t="n"/>
      <c r="G36" s="48" t="n"/>
      <c r="H36" s="50">
        <f>IF(OR(F36="",G36=""),"",F36*G36)</f>
        <v/>
      </c>
      <c r="I36" s="50">
        <f>IF(H36="","",IF(H36&gt;=20,"Kritis",IF(H36&gt;=10,"Tinggi",IF(H36&gt;=5,"Sedang","Rendah"))))</f>
        <v/>
      </c>
      <c r="J36" s="48" t="n"/>
      <c r="K36" s="48" t="n"/>
      <c r="L36" s="49" t="n"/>
      <c r="M36" s="48" t="n"/>
      <c r="N36" s="48" t="n"/>
      <c r="O36" s="48" t="n"/>
      <c r="P36" s="50">
        <f>IF(OR(N36="",O36=""),"",N36*O36)</f>
        <v/>
      </c>
      <c r="Q36" s="50">
        <f>IF(P36="","",IF(P36&gt;=20,"Kritis",IF(P36&gt;=10,"Tinggi",IF(P36&gt;=5,"Sedang","Rendah"))))</f>
        <v/>
      </c>
      <c r="R36" s="50">
        <f>IF(H36="","",IF(H36&gt;=10,"Ya","Tidak"))</f>
        <v/>
      </c>
    </row>
    <row r="37" ht="15" customHeight="1" s="33">
      <c r="A37" s="48" t="n"/>
      <c r="B37" s="49" t="n"/>
      <c r="C37" s="48" t="n"/>
      <c r="D37" s="48" t="n"/>
      <c r="E37" s="48" t="n"/>
      <c r="F37" s="48" t="n"/>
      <c r="G37" s="48" t="n"/>
      <c r="H37" s="50">
        <f>IF(OR(F37="",G37=""),"",F37*G37)</f>
        <v/>
      </c>
      <c r="I37" s="50">
        <f>IF(H37="","",IF(H37&gt;=20,"Kritis",IF(H37&gt;=10,"Tinggi",IF(H37&gt;=5,"Sedang","Rendah"))))</f>
        <v/>
      </c>
      <c r="J37" s="48" t="n"/>
      <c r="K37" s="48" t="n"/>
      <c r="L37" s="49" t="n"/>
      <c r="M37" s="48" t="n"/>
      <c r="N37" s="48" t="n"/>
      <c r="O37" s="48" t="n"/>
      <c r="P37" s="50">
        <f>IF(OR(N37="",O37=""),"",N37*O37)</f>
        <v/>
      </c>
      <c r="Q37" s="50">
        <f>IF(P37="","",IF(P37&gt;=20,"Kritis",IF(P37&gt;=10,"Tinggi",IF(P37&gt;=5,"Sedang","Rendah"))))</f>
        <v/>
      </c>
      <c r="R37" s="50">
        <f>IF(H37="","",IF(H37&gt;=10,"Ya","Tidak"))</f>
        <v/>
      </c>
    </row>
    <row r="38" ht="15" customHeight="1" s="33">
      <c r="A38" s="48" t="n"/>
      <c r="B38" s="49" t="n"/>
      <c r="C38" s="48" t="n"/>
      <c r="D38" s="48" t="n"/>
      <c r="E38" s="48" t="n"/>
      <c r="F38" s="48" t="n"/>
      <c r="G38" s="48" t="n"/>
      <c r="H38" s="50">
        <f>IF(OR(F38="",G38=""),"",F38*G38)</f>
        <v/>
      </c>
      <c r="I38" s="50">
        <f>IF(H38="","",IF(H38&gt;=20,"Kritis",IF(H38&gt;=10,"Tinggi",IF(H38&gt;=5,"Sedang","Rendah"))))</f>
        <v/>
      </c>
      <c r="J38" s="48" t="n"/>
      <c r="K38" s="48" t="n"/>
      <c r="L38" s="49" t="n"/>
      <c r="M38" s="48" t="n"/>
      <c r="N38" s="48" t="n"/>
      <c r="O38" s="48" t="n"/>
      <c r="P38" s="50">
        <f>IF(OR(N38="",O38=""),"",N38*O38)</f>
        <v/>
      </c>
      <c r="Q38" s="50">
        <f>IF(P38="","",IF(P38&gt;=20,"Kritis",IF(P38&gt;=10,"Tinggi",IF(P38&gt;=5,"Sedang","Rendah"))))</f>
        <v/>
      </c>
      <c r="R38" s="50">
        <f>IF(H38="","",IF(H38&gt;=10,"Ya","Tidak"))</f>
        <v/>
      </c>
    </row>
    <row r="39" ht="15" customHeight="1" s="33">
      <c r="A39" s="48" t="n"/>
      <c r="B39" s="49" t="n"/>
      <c r="C39" s="48" t="n"/>
      <c r="D39" s="48" t="n"/>
      <c r="E39" s="48" t="n"/>
      <c r="F39" s="48" t="n"/>
      <c r="G39" s="48" t="n"/>
      <c r="H39" s="50">
        <f>IF(OR(F39="",G39=""),"",F39*G39)</f>
        <v/>
      </c>
      <c r="I39" s="50">
        <f>IF(H39="","",IF(H39&gt;=20,"Kritis",IF(H39&gt;=10,"Tinggi",IF(H39&gt;=5,"Sedang","Rendah"))))</f>
        <v/>
      </c>
      <c r="J39" s="48" t="n"/>
      <c r="K39" s="48" t="n"/>
      <c r="L39" s="49" t="n"/>
      <c r="M39" s="48" t="n"/>
      <c r="N39" s="48" t="n"/>
      <c r="O39" s="48" t="n"/>
      <c r="P39" s="50">
        <f>IF(OR(N39="",O39=""),"",N39*O39)</f>
        <v/>
      </c>
      <c r="Q39" s="50">
        <f>IF(P39="","",IF(P39&gt;=20,"Kritis",IF(P39&gt;=10,"Tinggi",IF(P39&gt;=5,"Sedang","Rendah"))))</f>
        <v/>
      </c>
      <c r="R39" s="50">
        <f>IF(H39="","",IF(H39&gt;=10,"Ya","Tidak"))</f>
        <v/>
      </c>
    </row>
    <row r="40" ht="15" customHeight="1" s="33">
      <c r="A40" s="48" t="n"/>
      <c r="B40" s="49" t="n"/>
      <c r="C40" s="48" t="n"/>
      <c r="D40" s="48" t="n"/>
      <c r="E40" s="48" t="n"/>
      <c r="F40" s="48" t="n"/>
      <c r="G40" s="48" t="n"/>
      <c r="H40" s="50">
        <f>IF(OR(F40="",G40=""),"",F40*G40)</f>
        <v/>
      </c>
      <c r="I40" s="50">
        <f>IF(H40="","",IF(H40&gt;=20,"Kritis",IF(H40&gt;=10,"Tinggi",IF(H40&gt;=5,"Sedang","Rendah"))))</f>
        <v/>
      </c>
      <c r="J40" s="48" t="n"/>
      <c r="K40" s="48" t="n"/>
      <c r="L40" s="49" t="n"/>
      <c r="M40" s="48" t="n"/>
      <c r="N40" s="48" t="n"/>
      <c r="O40" s="48" t="n"/>
      <c r="P40" s="50">
        <f>IF(OR(N40="",O40=""),"",N40*O40)</f>
        <v/>
      </c>
      <c r="Q40" s="50">
        <f>IF(P40="","",IF(P40&gt;=20,"Kritis",IF(P40&gt;=10,"Tinggi",IF(P40&gt;=5,"Sedang","Rendah"))))</f>
        <v/>
      </c>
      <c r="R40" s="50">
        <f>IF(H40="","",IF(H40&gt;=10,"Ya","Tidak"))</f>
        <v/>
      </c>
    </row>
    <row r="41" ht="15" customHeight="1" s="33">
      <c r="A41" s="48" t="n"/>
      <c r="B41" s="49" t="n"/>
      <c r="C41" s="48" t="n"/>
      <c r="D41" s="48" t="n"/>
      <c r="E41" s="48" t="n"/>
      <c r="F41" s="48" t="n"/>
      <c r="G41" s="48" t="n"/>
      <c r="H41" s="50">
        <f>IF(OR(F41="",G41=""),"",F41*G41)</f>
        <v/>
      </c>
      <c r="I41" s="50">
        <f>IF(H41="","",IF(H41&gt;=20,"Kritis",IF(H41&gt;=10,"Tinggi",IF(H41&gt;=5,"Sedang","Rendah"))))</f>
        <v/>
      </c>
      <c r="J41" s="48" t="n"/>
      <c r="K41" s="48" t="n"/>
      <c r="L41" s="49" t="n"/>
      <c r="M41" s="48" t="n"/>
      <c r="N41" s="48" t="n"/>
      <c r="O41" s="48" t="n"/>
      <c r="P41" s="50">
        <f>IF(OR(N41="",O41=""),"",N41*O41)</f>
        <v/>
      </c>
      <c r="Q41" s="50">
        <f>IF(P41="","",IF(P41&gt;=20,"Kritis",IF(P41&gt;=10,"Tinggi",IF(P41&gt;=5,"Sedang","Rendah"))))</f>
        <v/>
      </c>
      <c r="R41" s="50">
        <f>IF(H41="","",IF(H41&gt;=10,"Ya","Tidak"))</f>
        <v/>
      </c>
    </row>
    <row r="42" ht="15" customHeight="1" s="33">
      <c r="A42" s="48" t="n"/>
      <c r="B42" s="49" t="n"/>
      <c r="C42" s="48" t="n"/>
      <c r="D42" s="48" t="n"/>
      <c r="E42" s="48" t="n"/>
      <c r="F42" s="48" t="n"/>
      <c r="G42" s="48" t="n"/>
      <c r="H42" s="50">
        <f>IF(OR(F42="",G42=""),"",F42*G42)</f>
        <v/>
      </c>
      <c r="I42" s="50">
        <f>IF(H42="","",IF(H42&gt;=20,"Kritis",IF(H42&gt;=10,"Tinggi",IF(H42&gt;=5,"Sedang","Rendah"))))</f>
        <v/>
      </c>
      <c r="J42" s="48" t="n"/>
      <c r="K42" s="48" t="n"/>
      <c r="L42" s="49" t="n"/>
      <c r="M42" s="48" t="n"/>
      <c r="N42" s="48" t="n"/>
      <c r="O42" s="48" t="n"/>
      <c r="P42" s="50">
        <f>IF(OR(N42="",O42=""),"",N42*O42)</f>
        <v/>
      </c>
      <c r="Q42" s="50">
        <f>IF(P42="","",IF(P42&gt;=20,"Kritis",IF(P42&gt;=10,"Tinggi",IF(P42&gt;=5,"Sedang","Rendah"))))</f>
        <v/>
      </c>
      <c r="R42" s="50">
        <f>IF(H42="","",IF(H42&gt;=10,"Ya","Tidak"))</f>
        <v/>
      </c>
    </row>
    <row r="43" ht="15" customHeight="1" s="33">
      <c r="A43" s="48" t="n"/>
      <c r="B43" s="49" t="n"/>
      <c r="C43" s="48" t="n"/>
      <c r="D43" s="48" t="n"/>
      <c r="E43" s="48" t="n"/>
      <c r="F43" s="48" t="n"/>
      <c r="G43" s="48" t="n"/>
      <c r="H43" s="50">
        <f>IF(OR(F43="",G43=""),"",F43*G43)</f>
        <v/>
      </c>
      <c r="I43" s="50">
        <f>IF(H43="","",IF(H43&gt;=20,"Kritis",IF(H43&gt;=10,"Tinggi",IF(H43&gt;=5,"Sedang","Rendah"))))</f>
        <v/>
      </c>
      <c r="J43" s="48" t="n"/>
      <c r="K43" s="48" t="n"/>
      <c r="L43" s="49" t="n"/>
      <c r="M43" s="48" t="n"/>
      <c r="N43" s="48" t="n"/>
      <c r="O43" s="48" t="n"/>
      <c r="P43" s="50">
        <f>IF(OR(N43="",O43=""),"",N43*O43)</f>
        <v/>
      </c>
      <c r="Q43" s="50">
        <f>IF(P43="","",IF(P43&gt;=20,"Kritis",IF(P43&gt;=10,"Tinggi",IF(P43&gt;=5,"Sedang","Rendah"))))</f>
        <v/>
      </c>
      <c r="R43" s="50">
        <f>IF(H43="","",IF(H43&gt;=10,"Ya","Tidak"))</f>
        <v/>
      </c>
    </row>
    <row r="44" ht="15" customHeight="1" s="33">
      <c r="A44" s="48" t="n"/>
      <c r="B44" s="49" t="n"/>
      <c r="C44" s="48" t="n"/>
      <c r="D44" s="48" t="n"/>
      <c r="E44" s="48" t="n"/>
      <c r="F44" s="48" t="n"/>
      <c r="G44" s="48" t="n"/>
      <c r="H44" s="50">
        <f>IF(OR(F44="",G44=""),"",F44*G44)</f>
        <v/>
      </c>
      <c r="I44" s="50">
        <f>IF(H44="","",IF(H44&gt;=20,"Kritis",IF(H44&gt;=10,"Tinggi",IF(H44&gt;=5,"Sedang","Rendah"))))</f>
        <v/>
      </c>
      <c r="J44" s="48" t="n"/>
      <c r="K44" s="48" t="n"/>
      <c r="L44" s="49" t="n"/>
      <c r="M44" s="48" t="n"/>
      <c r="N44" s="48" t="n"/>
      <c r="O44" s="48" t="n"/>
      <c r="P44" s="50">
        <f>IF(OR(N44="",O44=""),"",N44*O44)</f>
        <v/>
      </c>
      <c r="Q44" s="50">
        <f>IF(P44="","",IF(P44&gt;=20,"Kritis",IF(P44&gt;=10,"Tinggi",IF(P44&gt;=5,"Sedang","Rendah"))))</f>
        <v/>
      </c>
      <c r="R44" s="50">
        <f>IF(H44="","",IF(H44&gt;=10,"Ya","Tidak"))</f>
        <v/>
      </c>
    </row>
    <row r="45" ht="15" customHeight="1" s="33">
      <c r="A45" s="48" t="n"/>
      <c r="B45" s="49" t="n"/>
      <c r="C45" s="48" t="n"/>
      <c r="D45" s="48" t="n"/>
      <c r="E45" s="48" t="n"/>
      <c r="F45" s="48" t="n"/>
      <c r="G45" s="48" t="n"/>
      <c r="H45" s="50">
        <f>IF(OR(F45="",G45=""),"",F45*G45)</f>
        <v/>
      </c>
      <c r="I45" s="50">
        <f>IF(H45="","",IF(H45&gt;=20,"Kritis",IF(H45&gt;=10,"Tinggi",IF(H45&gt;=5,"Sedang","Rendah"))))</f>
        <v/>
      </c>
      <c r="J45" s="48" t="n"/>
      <c r="K45" s="48" t="n"/>
      <c r="L45" s="49" t="n"/>
      <c r="M45" s="48" t="n"/>
      <c r="N45" s="48" t="n"/>
      <c r="O45" s="48" t="n"/>
      <c r="P45" s="50">
        <f>IF(OR(N45="",O45=""),"",N45*O45)</f>
        <v/>
      </c>
      <c r="Q45" s="50">
        <f>IF(P45="","",IF(P45&gt;=20,"Kritis",IF(P45&gt;=10,"Tinggi",IF(P45&gt;=5,"Sedang","Rendah"))))</f>
        <v/>
      </c>
      <c r="R45" s="50">
        <f>IF(H45="","",IF(H45&gt;=10,"Ya","Tidak"))</f>
        <v/>
      </c>
    </row>
    <row r="46" ht="15" customHeight="1" s="33">
      <c r="A46" s="48" t="n"/>
      <c r="B46" s="49" t="n"/>
      <c r="C46" s="48" t="n"/>
      <c r="D46" s="48" t="n"/>
      <c r="E46" s="48" t="n"/>
      <c r="F46" s="48" t="n"/>
      <c r="G46" s="48" t="n"/>
      <c r="H46" s="50">
        <f>IF(OR(F46="",G46=""),"",F46*G46)</f>
        <v/>
      </c>
      <c r="I46" s="50">
        <f>IF(H46="","",IF(H46&gt;=20,"Kritis",IF(H46&gt;=10,"Tinggi",IF(H46&gt;=5,"Sedang","Rendah"))))</f>
        <v/>
      </c>
      <c r="J46" s="48" t="n"/>
      <c r="K46" s="48" t="n"/>
      <c r="L46" s="49" t="n"/>
      <c r="M46" s="48" t="n"/>
      <c r="N46" s="48" t="n"/>
      <c r="O46" s="48" t="n"/>
      <c r="P46" s="50">
        <f>IF(OR(N46="",O46=""),"",N46*O46)</f>
        <v/>
      </c>
      <c r="Q46" s="50">
        <f>IF(P46="","",IF(P46&gt;=20,"Kritis",IF(P46&gt;=10,"Tinggi",IF(P46&gt;=5,"Sedang","Rendah"))))</f>
        <v/>
      </c>
      <c r="R46" s="50">
        <f>IF(H46="","",IF(H46&gt;=10,"Ya","Tidak"))</f>
        <v/>
      </c>
    </row>
    <row r="47" ht="15" customHeight="1" s="33">
      <c r="A47" s="48" t="n"/>
      <c r="B47" s="49" t="n"/>
      <c r="C47" s="48" t="n"/>
      <c r="D47" s="48" t="n"/>
      <c r="E47" s="48" t="n"/>
      <c r="F47" s="48" t="n"/>
      <c r="G47" s="48" t="n"/>
      <c r="H47" s="50">
        <f>IF(OR(F47="",G47=""),"",F47*G47)</f>
        <v/>
      </c>
      <c r="I47" s="50">
        <f>IF(H47="","",IF(H47&gt;=20,"Kritis",IF(H47&gt;=10,"Tinggi",IF(H47&gt;=5,"Sedang","Rendah"))))</f>
        <v/>
      </c>
      <c r="J47" s="48" t="n"/>
      <c r="K47" s="48" t="n"/>
      <c r="L47" s="49" t="n"/>
      <c r="M47" s="48" t="n"/>
      <c r="N47" s="48" t="n"/>
      <c r="O47" s="48" t="n"/>
      <c r="P47" s="50">
        <f>IF(OR(N47="",O47=""),"",N47*O47)</f>
        <v/>
      </c>
      <c r="Q47" s="50">
        <f>IF(P47="","",IF(P47&gt;=20,"Kritis",IF(P47&gt;=10,"Tinggi",IF(P47&gt;=5,"Sedang","Rendah"))))</f>
        <v/>
      </c>
      <c r="R47" s="50">
        <f>IF(H47="","",IF(H47&gt;=10,"Ya","Tidak"))</f>
        <v/>
      </c>
    </row>
    <row r="48" ht="15" customHeight="1" s="33">
      <c r="A48" s="48" t="n"/>
      <c r="B48" s="49" t="n"/>
      <c r="C48" s="48" t="n"/>
      <c r="D48" s="48" t="n"/>
      <c r="E48" s="48" t="n"/>
      <c r="F48" s="48" t="n"/>
      <c r="G48" s="48" t="n"/>
      <c r="H48" s="50">
        <f>IF(OR(F48="",G48=""),"",F48*G48)</f>
        <v/>
      </c>
      <c r="I48" s="50">
        <f>IF(H48="","",IF(H48&gt;=20,"Kritis",IF(H48&gt;=10,"Tinggi",IF(H48&gt;=5,"Sedang","Rendah"))))</f>
        <v/>
      </c>
      <c r="J48" s="48" t="n"/>
      <c r="K48" s="48" t="n"/>
      <c r="L48" s="49" t="n"/>
      <c r="M48" s="48" t="n"/>
      <c r="N48" s="48" t="n"/>
      <c r="O48" s="48" t="n"/>
      <c r="P48" s="50">
        <f>IF(OR(N48="",O48=""),"",N48*O48)</f>
        <v/>
      </c>
      <c r="Q48" s="50">
        <f>IF(P48="","",IF(P48&gt;=20,"Kritis",IF(P48&gt;=10,"Tinggi",IF(P48&gt;=5,"Sedang","Rendah"))))</f>
        <v/>
      </c>
      <c r="R48" s="50">
        <f>IF(H48="","",IF(H48&gt;=10,"Ya","Tidak"))</f>
        <v/>
      </c>
    </row>
    <row r="49" ht="15" customHeight="1" s="33">
      <c r="A49" s="48" t="n"/>
      <c r="B49" s="49" t="n"/>
      <c r="C49" s="48" t="n"/>
      <c r="D49" s="48" t="n"/>
      <c r="E49" s="48" t="n"/>
      <c r="F49" s="48" t="n"/>
      <c r="G49" s="48" t="n"/>
      <c r="H49" s="50">
        <f>IF(OR(F49="",G49=""),"",F49*G49)</f>
        <v/>
      </c>
      <c r="I49" s="50">
        <f>IF(H49="","",IF(H49&gt;=20,"Kritis",IF(H49&gt;=10,"Tinggi",IF(H49&gt;=5,"Sedang","Rendah"))))</f>
        <v/>
      </c>
      <c r="J49" s="48" t="n"/>
      <c r="K49" s="48" t="n"/>
      <c r="L49" s="49" t="n"/>
      <c r="M49" s="48" t="n"/>
      <c r="N49" s="48" t="n"/>
      <c r="O49" s="48" t="n"/>
      <c r="P49" s="50">
        <f>IF(OR(N49="",O49=""),"",N49*O49)</f>
        <v/>
      </c>
      <c r="Q49" s="50">
        <f>IF(P49="","",IF(P49&gt;=20,"Kritis",IF(P49&gt;=10,"Tinggi",IF(P49&gt;=5,"Sedang","Rendah"))))</f>
        <v/>
      </c>
      <c r="R49" s="50">
        <f>IF(H49="","",IF(H49&gt;=10,"Ya","Tidak"))</f>
        <v/>
      </c>
    </row>
    <row r="50" ht="15" customHeight="1" s="33">
      <c r="A50" s="48" t="n"/>
      <c r="B50" s="49" t="n"/>
      <c r="C50" s="48" t="n"/>
      <c r="D50" s="48" t="n"/>
      <c r="E50" s="48" t="n"/>
      <c r="F50" s="48" t="n"/>
      <c r="G50" s="48" t="n"/>
      <c r="H50" s="50">
        <f>IF(OR(F50="",G50=""),"",F50*G50)</f>
        <v/>
      </c>
      <c r="I50" s="50">
        <f>IF(H50="","",IF(H50&gt;=20,"Kritis",IF(H50&gt;=10,"Tinggi",IF(H50&gt;=5,"Sedang","Rendah"))))</f>
        <v/>
      </c>
      <c r="J50" s="48" t="n"/>
      <c r="K50" s="48" t="n"/>
      <c r="L50" s="49" t="n"/>
      <c r="M50" s="48" t="n"/>
      <c r="N50" s="48" t="n"/>
      <c r="O50" s="48" t="n"/>
      <c r="P50" s="50">
        <f>IF(OR(N50="",O50=""),"",N50*O50)</f>
        <v/>
      </c>
      <c r="Q50" s="50">
        <f>IF(P50="","",IF(P50&gt;=20,"Kritis",IF(P50&gt;=10,"Tinggi",IF(P50&gt;=5,"Sedang","Rendah"))))</f>
        <v/>
      </c>
      <c r="R50" s="50">
        <f>IF(H50="","",IF(H50&gt;=10,"Ya","Tidak"))</f>
        <v/>
      </c>
    </row>
    <row r="51" ht="15" customHeight="1" s="33">
      <c r="A51" s="48" t="n"/>
      <c r="B51" s="49" t="n"/>
      <c r="C51" s="48" t="n"/>
      <c r="D51" s="48" t="n"/>
      <c r="E51" s="48" t="n"/>
      <c r="F51" s="48" t="n"/>
      <c r="G51" s="48" t="n"/>
      <c r="H51" s="50">
        <f>IF(OR(F51="",G51=""),"",F51*G51)</f>
        <v/>
      </c>
      <c r="I51" s="50">
        <f>IF(H51="","",IF(H51&gt;=20,"Kritis",IF(H51&gt;=10,"Tinggi",IF(H51&gt;=5,"Sedang","Rendah"))))</f>
        <v/>
      </c>
      <c r="J51" s="48" t="n"/>
      <c r="K51" s="48" t="n"/>
      <c r="L51" s="49" t="n"/>
      <c r="M51" s="48" t="n"/>
      <c r="N51" s="48" t="n"/>
      <c r="O51" s="48" t="n"/>
      <c r="P51" s="50">
        <f>IF(OR(N51="",O51=""),"",N51*O51)</f>
        <v/>
      </c>
      <c r="Q51" s="50">
        <f>IF(P51="","",IF(P51&gt;=20,"Kritis",IF(P51&gt;=10,"Tinggi",IF(P51&gt;=5,"Sedang","Rendah"))))</f>
        <v/>
      </c>
      <c r="R51" s="50">
        <f>IF(H51="","",IF(H51&gt;=10,"Ya","Tidak"))</f>
        <v/>
      </c>
    </row>
    <row r="52" ht="15" customHeight="1" s="33">
      <c r="A52" s="48" t="n"/>
      <c r="B52" s="49" t="n"/>
      <c r="C52" s="48" t="n"/>
      <c r="D52" s="48" t="n"/>
      <c r="E52" s="48" t="n"/>
      <c r="F52" s="48" t="n"/>
      <c r="G52" s="48" t="n"/>
      <c r="H52" s="50">
        <f>IF(OR(F52="",G52=""),"",F52*G52)</f>
        <v/>
      </c>
      <c r="I52" s="50">
        <f>IF(H52="","",IF(H52&gt;=20,"Kritis",IF(H52&gt;=10,"Tinggi",IF(H52&gt;=5,"Sedang","Rendah"))))</f>
        <v/>
      </c>
      <c r="J52" s="48" t="n"/>
      <c r="K52" s="48" t="n"/>
      <c r="L52" s="49" t="n"/>
      <c r="M52" s="48" t="n"/>
      <c r="N52" s="48" t="n"/>
      <c r="O52" s="48" t="n"/>
      <c r="P52" s="50">
        <f>IF(OR(N52="",O52=""),"",N52*O52)</f>
        <v/>
      </c>
      <c r="Q52" s="50">
        <f>IF(P52="","",IF(P52&gt;=20,"Kritis",IF(P52&gt;=10,"Tinggi",IF(P52&gt;=5,"Sedang","Rendah"))))</f>
        <v/>
      </c>
      <c r="R52" s="50">
        <f>IF(H52="","",IF(H52&gt;=10,"Ya","Tidak"))</f>
        <v/>
      </c>
    </row>
    <row r="53" ht="15" customHeight="1" s="33">
      <c r="A53" s="48" t="n"/>
      <c r="B53" s="49" t="n"/>
      <c r="C53" s="48" t="n"/>
      <c r="D53" s="48" t="n"/>
      <c r="E53" s="48" t="n"/>
      <c r="F53" s="48" t="n"/>
      <c r="G53" s="48" t="n"/>
      <c r="H53" s="50">
        <f>IF(OR(F53="",G53=""),"",F53*G53)</f>
        <v/>
      </c>
      <c r="I53" s="50">
        <f>IF(H53="","",IF(H53&gt;=20,"Kritis",IF(H53&gt;=10,"Tinggi",IF(H53&gt;=5,"Sedang","Rendah"))))</f>
        <v/>
      </c>
      <c r="J53" s="48" t="n"/>
      <c r="K53" s="48" t="n"/>
      <c r="L53" s="49" t="n"/>
      <c r="M53" s="48" t="n"/>
      <c r="N53" s="48" t="n"/>
      <c r="O53" s="48" t="n"/>
      <c r="P53" s="50">
        <f>IF(OR(N53="",O53=""),"",N53*O53)</f>
        <v/>
      </c>
      <c r="Q53" s="50">
        <f>IF(P53="","",IF(P53&gt;=20,"Kritis",IF(P53&gt;=10,"Tinggi",IF(P53&gt;=5,"Sedang","Rendah"))))</f>
        <v/>
      </c>
      <c r="R53" s="50">
        <f>IF(H53="","",IF(H53&gt;=10,"Ya","Tidak"))</f>
        <v/>
      </c>
    </row>
    <row r="54" ht="15" customHeight="1" s="33">
      <c r="A54" s="48" t="n"/>
      <c r="B54" s="49" t="n"/>
      <c r="C54" s="48" t="n"/>
      <c r="D54" s="48" t="n"/>
      <c r="E54" s="48" t="n"/>
      <c r="F54" s="48" t="n"/>
      <c r="G54" s="48" t="n"/>
      <c r="H54" s="50">
        <f>IF(OR(F54="",G54=""),"",F54*G54)</f>
        <v/>
      </c>
      <c r="I54" s="50">
        <f>IF(H54="","",IF(H54&gt;=20,"Kritis",IF(H54&gt;=10,"Tinggi",IF(H54&gt;=5,"Sedang","Rendah"))))</f>
        <v/>
      </c>
      <c r="J54" s="48" t="n"/>
      <c r="K54" s="48" t="n"/>
      <c r="L54" s="49" t="n"/>
      <c r="M54" s="48" t="n"/>
      <c r="N54" s="48" t="n"/>
      <c r="O54" s="48" t="n"/>
      <c r="P54" s="50">
        <f>IF(OR(N54="",O54=""),"",N54*O54)</f>
        <v/>
      </c>
      <c r="Q54" s="50">
        <f>IF(P54="","",IF(P54&gt;=20,"Kritis",IF(P54&gt;=10,"Tinggi",IF(P54&gt;=5,"Sedang","Rendah"))))</f>
        <v/>
      </c>
      <c r="R54" s="50">
        <f>IF(H54="","",IF(H54&gt;=10,"Ya","Tidak"))</f>
        <v/>
      </c>
    </row>
    <row r="55" ht="15" customHeight="1" s="33">
      <c r="A55" s="48" t="n"/>
      <c r="B55" s="49" t="n"/>
      <c r="C55" s="48" t="n"/>
      <c r="D55" s="48" t="n"/>
      <c r="E55" s="48" t="n"/>
      <c r="F55" s="48" t="n"/>
      <c r="G55" s="48" t="n"/>
      <c r="H55" s="50">
        <f>IF(OR(F55="",G55=""),"",F55*G55)</f>
        <v/>
      </c>
      <c r="I55" s="50">
        <f>IF(H55="","",IF(H55&gt;=20,"Kritis",IF(H55&gt;=10,"Tinggi",IF(H55&gt;=5,"Sedang","Rendah"))))</f>
        <v/>
      </c>
      <c r="J55" s="48" t="n"/>
      <c r="K55" s="48" t="n"/>
      <c r="L55" s="49" t="n"/>
      <c r="M55" s="48" t="n"/>
      <c r="N55" s="48" t="n"/>
      <c r="O55" s="48" t="n"/>
      <c r="P55" s="50">
        <f>IF(OR(N55="",O55=""),"",N55*O55)</f>
        <v/>
      </c>
      <c r="Q55" s="50">
        <f>IF(P55="","",IF(P55&gt;=20,"Kritis",IF(P55&gt;=10,"Tinggi",IF(P55&gt;=5,"Sedang","Rendah"))))</f>
        <v/>
      </c>
      <c r="R55" s="50">
        <f>IF(H55="","",IF(H55&gt;=10,"Ya","Tidak"))</f>
        <v/>
      </c>
    </row>
    <row r="56" ht="15" customHeight="1" s="33">
      <c r="A56" s="48" t="n"/>
      <c r="B56" s="49" t="n"/>
      <c r="C56" s="48" t="n"/>
      <c r="D56" s="48" t="n"/>
      <c r="E56" s="48" t="n"/>
      <c r="F56" s="48" t="n"/>
      <c r="G56" s="48" t="n"/>
      <c r="H56" s="50">
        <f>IF(OR(F56="",G56=""),"",F56*G56)</f>
        <v/>
      </c>
      <c r="I56" s="50">
        <f>IF(H56="","",IF(H56&gt;=20,"Kritis",IF(H56&gt;=10,"Tinggi",IF(H56&gt;=5,"Sedang","Rendah"))))</f>
        <v/>
      </c>
      <c r="J56" s="48" t="n"/>
      <c r="K56" s="48" t="n"/>
      <c r="L56" s="49" t="n"/>
      <c r="M56" s="48" t="n"/>
      <c r="N56" s="48" t="n"/>
      <c r="O56" s="48" t="n"/>
      <c r="P56" s="50">
        <f>IF(OR(N56="",O56=""),"",N56*O56)</f>
        <v/>
      </c>
      <c r="Q56" s="50">
        <f>IF(P56="","",IF(P56&gt;=20,"Kritis",IF(P56&gt;=10,"Tinggi",IF(P56&gt;=5,"Sedang","Rendah"))))</f>
        <v/>
      </c>
      <c r="R56" s="50">
        <f>IF(H56="","",IF(H56&gt;=10,"Ya","Tidak"))</f>
        <v/>
      </c>
    </row>
    <row r="57" ht="15" customHeight="1" s="33">
      <c r="A57" s="48" t="n"/>
      <c r="B57" s="49" t="n"/>
      <c r="C57" s="48" t="n"/>
      <c r="D57" s="48" t="n"/>
      <c r="E57" s="48" t="n"/>
      <c r="F57" s="48" t="n"/>
      <c r="G57" s="48" t="n"/>
      <c r="H57" s="50">
        <f>IF(OR(F57="",G57=""),"",F57*G57)</f>
        <v/>
      </c>
      <c r="I57" s="50">
        <f>IF(H57="","",IF(H57&gt;=20,"Kritis",IF(H57&gt;=10,"Tinggi",IF(H57&gt;=5,"Sedang","Rendah"))))</f>
        <v/>
      </c>
      <c r="J57" s="48" t="n"/>
      <c r="K57" s="48" t="n"/>
      <c r="L57" s="49" t="n"/>
      <c r="M57" s="48" t="n"/>
      <c r="N57" s="48" t="n"/>
      <c r="O57" s="48" t="n"/>
      <c r="P57" s="50">
        <f>IF(OR(N57="",O57=""),"",N57*O57)</f>
        <v/>
      </c>
      <c r="Q57" s="50">
        <f>IF(P57="","",IF(P57&gt;=20,"Kritis",IF(P57&gt;=10,"Tinggi",IF(P57&gt;=5,"Sedang","Rendah"))))</f>
        <v/>
      </c>
      <c r="R57" s="50">
        <f>IF(H57="","",IF(H57&gt;=10,"Ya","Tidak"))</f>
        <v/>
      </c>
    </row>
    <row r="58" ht="15" customHeight="1" s="33">
      <c r="A58" s="48" t="n"/>
      <c r="B58" s="49" t="n"/>
      <c r="C58" s="48" t="n"/>
      <c r="D58" s="48" t="n"/>
      <c r="E58" s="48" t="n"/>
      <c r="F58" s="48" t="n"/>
      <c r="G58" s="48" t="n"/>
      <c r="H58" s="50">
        <f>IF(OR(F58="",G58=""),"",F58*G58)</f>
        <v/>
      </c>
      <c r="I58" s="50">
        <f>IF(H58="","",IF(H58&gt;=20,"Kritis",IF(H58&gt;=10,"Tinggi",IF(H58&gt;=5,"Sedang","Rendah"))))</f>
        <v/>
      </c>
      <c r="J58" s="48" t="n"/>
      <c r="K58" s="48" t="n"/>
      <c r="L58" s="49" t="n"/>
      <c r="M58" s="48" t="n"/>
      <c r="N58" s="48" t="n"/>
      <c r="O58" s="48" t="n"/>
      <c r="P58" s="50">
        <f>IF(OR(N58="",O58=""),"",N58*O58)</f>
        <v/>
      </c>
      <c r="Q58" s="50">
        <f>IF(P58="","",IF(P58&gt;=20,"Kritis",IF(P58&gt;=10,"Tinggi",IF(P58&gt;=5,"Sedang","Rendah"))))</f>
        <v/>
      </c>
      <c r="R58" s="50">
        <f>IF(H58="","",IF(H58&gt;=10,"Ya","Tidak"))</f>
        <v/>
      </c>
    </row>
    <row r="59" ht="15" customHeight="1" s="33">
      <c r="A59" s="48" t="n"/>
      <c r="B59" s="49" t="n"/>
      <c r="C59" s="48" t="n"/>
      <c r="D59" s="48" t="n"/>
      <c r="E59" s="48" t="n"/>
      <c r="F59" s="48" t="n"/>
      <c r="G59" s="48" t="n"/>
      <c r="H59" s="50">
        <f>IF(OR(F59="",G59=""),"",F59*G59)</f>
        <v/>
      </c>
      <c r="I59" s="50">
        <f>IF(H59="","",IF(H59&gt;=20,"Kritis",IF(H59&gt;=10,"Tinggi",IF(H59&gt;=5,"Sedang","Rendah"))))</f>
        <v/>
      </c>
      <c r="J59" s="48" t="n"/>
      <c r="K59" s="48" t="n"/>
      <c r="L59" s="49" t="n"/>
      <c r="M59" s="48" t="n"/>
      <c r="N59" s="48" t="n"/>
      <c r="O59" s="48" t="n"/>
      <c r="P59" s="50">
        <f>IF(OR(N59="",O59=""),"",N59*O59)</f>
        <v/>
      </c>
      <c r="Q59" s="50">
        <f>IF(P59="","",IF(P59&gt;=20,"Kritis",IF(P59&gt;=10,"Tinggi",IF(P59&gt;=5,"Sedang","Rendah"))))</f>
        <v/>
      </c>
      <c r="R59" s="50">
        <f>IF(H59="","",IF(H59&gt;=10,"Ya","Tidak"))</f>
        <v/>
      </c>
    </row>
    <row r="60" ht="15" customHeight="1" s="33">
      <c r="A60" s="48" t="n"/>
      <c r="B60" s="49" t="n"/>
      <c r="C60" s="48" t="n"/>
      <c r="D60" s="48" t="n"/>
      <c r="E60" s="48" t="n"/>
      <c r="F60" s="48" t="n"/>
      <c r="G60" s="48" t="n"/>
      <c r="H60" s="50">
        <f>IF(OR(F60="",G60=""),"",F60*G60)</f>
        <v/>
      </c>
      <c r="I60" s="50">
        <f>IF(H60="","",IF(H60&gt;=20,"Kritis",IF(H60&gt;=10,"Tinggi",IF(H60&gt;=5,"Sedang","Rendah"))))</f>
        <v/>
      </c>
      <c r="J60" s="48" t="n"/>
      <c r="K60" s="48" t="n"/>
      <c r="L60" s="49" t="n"/>
      <c r="M60" s="48" t="n"/>
      <c r="N60" s="48" t="n"/>
      <c r="O60" s="48" t="n"/>
      <c r="P60" s="50">
        <f>IF(OR(N60="",O60=""),"",N60*O60)</f>
        <v/>
      </c>
      <c r="Q60" s="50">
        <f>IF(P60="","",IF(P60&gt;=20,"Kritis",IF(P60&gt;=10,"Tinggi",IF(P60&gt;=5,"Sedang","Rendah"))))</f>
        <v/>
      </c>
      <c r="R60" s="50">
        <f>IF(H60="","",IF(H60&gt;=10,"Ya","Tidak"))</f>
        <v/>
      </c>
    </row>
    <row r="61" ht="15" customHeight="1" s="33">
      <c r="A61" s="48" t="n"/>
      <c r="B61" s="49" t="n"/>
      <c r="C61" s="48" t="n"/>
      <c r="D61" s="48" t="n"/>
      <c r="E61" s="48" t="n"/>
      <c r="F61" s="48" t="n"/>
      <c r="G61" s="48" t="n"/>
      <c r="H61" s="50">
        <f>IF(OR(F61="",G61=""),"",F61*G61)</f>
        <v/>
      </c>
      <c r="I61" s="50">
        <f>IF(H61="","",IF(H61&gt;=20,"Kritis",IF(H61&gt;=10,"Tinggi",IF(H61&gt;=5,"Sedang","Rendah"))))</f>
        <v/>
      </c>
      <c r="J61" s="48" t="n"/>
      <c r="K61" s="48" t="n"/>
      <c r="L61" s="49" t="n"/>
      <c r="M61" s="48" t="n"/>
      <c r="N61" s="48" t="n"/>
      <c r="O61" s="48" t="n"/>
      <c r="P61" s="50">
        <f>IF(OR(N61="",O61=""),"",N61*O61)</f>
        <v/>
      </c>
      <c r="Q61" s="50">
        <f>IF(P61="","",IF(P61&gt;=20,"Kritis",IF(P61&gt;=10,"Tinggi",IF(P61&gt;=5,"Sedang","Rendah"))))</f>
        <v/>
      </c>
      <c r="R61" s="50">
        <f>IF(H61="","",IF(H61&gt;=10,"Ya","Tidak"))</f>
        <v/>
      </c>
    </row>
    <row r="62" ht="15" customHeight="1" s="33">
      <c r="A62" s="48" t="n"/>
      <c r="B62" s="49" t="n"/>
      <c r="C62" s="48" t="n"/>
      <c r="D62" s="48" t="n"/>
      <c r="E62" s="48" t="n"/>
      <c r="F62" s="48" t="n"/>
      <c r="G62" s="48" t="n"/>
      <c r="H62" s="50">
        <f>IF(OR(F62="",G62=""),"",F62*G62)</f>
        <v/>
      </c>
      <c r="I62" s="50">
        <f>IF(H62="","",IF(H62&gt;=20,"Kritis",IF(H62&gt;=10,"Tinggi",IF(H62&gt;=5,"Sedang","Rendah"))))</f>
        <v/>
      </c>
      <c r="J62" s="48" t="n"/>
      <c r="K62" s="48" t="n"/>
      <c r="L62" s="49" t="n"/>
      <c r="M62" s="48" t="n"/>
      <c r="N62" s="48" t="n"/>
      <c r="O62" s="48" t="n"/>
      <c r="P62" s="50">
        <f>IF(OR(N62="",O62=""),"",N62*O62)</f>
        <v/>
      </c>
      <c r="Q62" s="50">
        <f>IF(P62="","",IF(P62&gt;=20,"Kritis",IF(P62&gt;=10,"Tinggi",IF(P62&gt;=5,"Sedang","Rendah"))))</f>
        <v/>
      </c>
      <c r="R62" s="50">
        <f>IF(H62="","",IF(H62&gt;=10,"Ya","Tidak"))</f>
        <v/>
      </c>
    </row>
    <row r="63" ht="15" customHeight="1" s="33">
      <c r="A63" s="48" t="n"/>
      <c r="B63" s="49" t="n"/>
      <c r="C63" s="48" t="n"/>
      <c r="D63" s="48" t="n"/>
      <c r="E63" s="48" t="n"/>
      <c r="F63" s="48" t="n"/>
      <c r="G63" s="48" t="n"/>
      <c r="H63" s="50">
        <f>IF(OR(F63="",G63=""),"",F63*G63)</f>
        <v/>
      </c>
      <c r="I63" s="50">
        <f>IF(H63="","",IF(H63&gt;=20,"Kritis",IF(H63&gt;=10,"Tinggi",IF(H63&gt;=5,"Sedang","Rendah"))))</f>
        <v/>
      </c>
      <c r="J63" s="48" t="n"/>
      <c r="K63" s="48" t="n"/>
      <c r="L63" s="49" t="n"/>
      <c r="M63" s="48" t="n"/>
      <c r="N63" s="48" t="n"/>
      <c r="O63" s="48" t="n"/>
      <c r="P63" s="50">
        <f>IF(OR(N63="",O63=""),"",N63*O63)</f>
        <v/>
      </c>
      <c r="Q63" s="50">
        <f>IF(P63="","",IF(P63&gt;=20,"Kritis",IF(P63&gt;=10,"Tinggi",IF(P63&gt;=5,"Sedang","Rendah"))))</f>
        <v/>
      </c>
      <c r="R63" s="50">
        <f>IF(H63="","",IF(H63&gt;=10,"Ya","Tidak"))</f>
        <v/>
      </c>
    </row>
    <row r="64" ht="15" customHeight="1" s="33">
      <c r="A64" s="48" t="n"/>
      <c r="B64" s="49" t="n"/>
      <c r="C64" s="48" t="n"/>
      <c r="D64" s="48" t="n"/>
      <c r="E64" s="48" t="n"/>
      <c r="F64" s="48" t="n"/>
      <c r="G64" s="48" t="n"/>
      <c r="H64" s="50">
        <f>IF(OR(F64="",G64=""),"",F64*G64)</f>
        <v/>
      </c>
      <c r="I64" s="50">
        <f>IF(H64="","",IF(H64&gt;=20,"Kritis",IF(H64&gt;=10,"Tinggi",IF(H64&gt;=5,"Sedang","Rendah"))))</f>
        <v/>
      </c>
      <c r="J64" s="48" t="n"/>
      <c r="K64" s="48" t="n"/>
      <c r="L64" s="49" t="n"/>
      <c r="M64" s="48" t="n"/>
      <c r="N64" s="48" t="n"/>
      <c r="O64" s="48" t="n"/>
      <c r="P64" s="50">
        <f>IF(OR(N64="",O64=""),"",N64*O64)</f>
        <v/>
      </c>
      <c r="Q64" s="50">
        <f>IF(P64="","",IF(P64&gt;=20,"Kritis",IF(P64&gt;=10,"Tinggi",IF(P64&gt;=5,"Sedang","Rendah"))))</f>
        <v/>
      </c>
      <c r="R64" s="50">
        <f>IF(H64="","",IF(H64&gt;=10,"Ya","Tidak"))</f>
        <v/>
      </c>
    </row>
    <row r="65" ht="15" customHeight="1" s="33">
      <c r="A65" s="48" t="n"/>
      <c r="B65" s="49" t="n"/>
      <c r="C65" s="48" t="n"/>
      <c r="D65" s="48" t="n"/>
      <c r="E65" s="48" t="n"/>
      <c r="F65" s="48" t="n"/>
      <c r="G65" s="48" t="n"/>
      <c r="H65" s="50">
        <f>IF(OR(F65="",G65=""),"",F65*G65)</f>
        <v/>
      </c>
      <c r="I65" s="50">
        <f>IF(H65="","",IF(H65&gt;=20,"Kritis",IF(H65&gt;=10,"Tinggi",IF(H65&gt;=5,"Sedang","Rendah"))))</f>
        <v/>
      </c>
      <c r="J65" s="48" t="n"/>
      <c r="K65" s="48" t="n"/>
      <c r="L65" s="49" t="n"/>
      <c r="M65" s="48" t="n"/>
      <c r="N65" s="48" t="n"/>
      <c r="O65" s="48" t="n"/>
      <c r="P65" s="50">
        <f>IF(OR(N65="",O65=""),"",N65*O65)</f>
        <v/>
      </c>
      <c r="Q65" s="50">
        <f>IF(P65="","",IF(P65&gt;=20,"Kritis",IF(P65&gt;=10,"Tinggi",IF(P65&gt;=5,"Sedang","Rendah"))))</f>
        <v/>
      </c>
      <c r="R65" s="50">
        <f>IF(H65="","",IF(H65&gt;=10,"Ya","Tidak"))</f>
        <v/>
      </c>
    </row>
    <row r="66" ht="15" customHeight="1" s="33">
      <c r="A66" s="48" t="n"/>
      <c r="B66" s="49" t="n"/>
      <c r="C66" s="48" t="n"/>
      <c r="D66" s="48" t="n"/>
      <c r="E66" s="48" t="n"/>
      <c r="F66" s="48" t="n"/>
      <c r="G66" s="48" t="n"/>
      <c r="H66" s="50">
        <f>IF(OR(F66="",G66=""),"",F66*G66)</f>
        <v/>
      </c>
      <c r="I66" s="50">
        <f>IF(H66="","",IF(H66&gt;=20,"Kritis",IF(H66&gt;=10,"Tinggi",IF(H66&gt;=5,"Sedang","Rendah"))))</f>
        <v/>
      </c>
      <c r="J66" s="48" t="n"/>
      <c r="K66" s="48" t="n"/>
      <c r="L66" s="49" t="n"/>
      <c r="M66" s="48" t="n"/>
      <c r="N66" s="48" t="n"/>
      <c r="O66" s="48" t="n"/>
      <c r="P66" s="50">
        <f>IF(OR(N66="",O66=""),"",N66*O66)</f>
        <v/>
      </c>
      <c r="Q66" s="50">
        <f>IF(P66="","",IF(P66&gt;=20,"Kritis",IF(P66&gt;=10,"Tinggi",IF(P66&gt;=5,"Sedang","Rendah"))))</f>
        <v/>
      </c>
      <c r="R66" s="50">
        <f>IF(H66="","",IF(H66&gt;=10,"Ya","Tidak"))</f>
        <v/>
      </c>
    </row>
  </sheetData>
  <autoFilter ref="A4:R66"/>
  <conditionalFormatting sqref="I5:I66">
    <cfRule type="cellIs" rank="0" priority="2" equalAverage="0" operator="equal" aboveAverage="0" dxfId="10" text="" percent="0" bottom="0">
      <formula>"Rendah"</formula>
    </cfRule>
    <cfRule type="cellIs" rank="0" priority="3" equalAverage="0" operator="equal" aboveAverage="0" dxfId="11" text="" percent="0" bottom="0">
      <formula>"Sedang"</formula>
    </cfRule>
    <cfRule type="cellIs" rank="0" priority="4" equalAverage="0" operator="equal" aboveAverage="0" dxfId="12" text="" percent="0" bottom="0">
      <formula>"Tinggi"</formula>
    </cfRule>
    <cfRule type="cellIs" rank="0" priority="5" equalAverage="0" operator="equal" aboveAverage="0" dxfId="13" text="" percent="0" bottom="0">
      <formula>"Kritis"</formula>
    </cfRule>
  </conditionalFormatting>
  <conditionalFormatting sqref="Q5:Q66">
    <cfRule type="cellIs" rank="0" priority="6" equalAverage="0" operator="equal" aboveAverage="0" dxfId="10" text="" percent="0" bottom="0">
      <formula>"Rendah"</formula>
    </cfRule>
    <cfRule type="cellIs" rank="0" priority="7" equalAverage="0" operator="equal" aboveAverage="0" dxfId="11" text="" percent="0" bottom="0">
      <formula>"Sedang"</formula>
    </cfRule>
    <cfRule type="cellIs" rank="0" priority="8" equalAverage="0" operator="equal" aboveAverage="0" dxfId="12" text="" percent="0" bottom="0">
      <formula>"Tinggi"</formula>
    </cfRule>
    <cfRule type="cellIs" rank="0" priority="9" equalAverage="0" operator="equal" aboveAverage="0" dxfId="13" text="" percent="0" bottom="0">
      <formula>"Kritis"</formula>
    </cfRule>
  </conditionalFormatting>
  <conditionalFormatting sqref="R5:R66">
    <cfRule type="cellIs" rank="0" priority="10" equalAverage="0" operator="equal" aboveAverage="0" dxfId="14" text="" percent="0" bottom="0">
      <formula>"Ya"</formula>
    </cfRule>
  </conditionalFormatting>
  <dataValidations count="7">
    <dataValidation sqref="C5:C66" showDropDown="0" showInputMessage="0" showErrorMessage="0" allowBlank="1" type="list" errorStyle="stop" operator="between">
      <formula1>Daftar!$A$2:$A$9</formula1>
      <formula2>0</formula2>
    </dataValidation>
    <dataValidation sqref="F5:F66" showDropDown="0" showInputMessage="0" showErrorMessage="0" allowBlank="1" type="list" errorStyle="stop" operator="between">
      <formula1>Daftar!$D$2:$D$6</formula1>
      <formula2>0</formula2>
    </dataValidation>
    <dataValidation sqref="G5:G66" showDropDown="0" showInputMessage="0" showErrorMessage="0" allowBlank="1" type="list" errorStyle="stop" operator="between">
      <formula1>Daftar!$D$2:$D$6</formula1>
      <formula2>0</formula2>
    </dataValidation>
    <dataValidation sqref="J5:J66" showDropDown="0" showInputMessage="0" showErrorMessage="0" allowBlank="1" type="list" errorStyle="stop" operator="between">
      <formula1>Daftar!$B$2:$B$5</formula1>
      <formula2>0</formula2>
    </dataValidation>
    <dataValidation sqref="M5:M66" showDropDown="0" showInputMessage="0" showErrorMessage="0" allowBlank="1" type="list" errorStyle="stop" operator="between">
      <formula1>Daftar!$C$2:$C$4</formula1>
      <formula2>0</formula2>
    </dataValidation>
    <dataValidation sqref="N5:N66" showDropDown="0" showInputMessage="0" showErrorMessage="0" allowBlank="1" type="list" errorStyle="stop" operator="between">
      <formula1>Daftar!$D$2:$D$6</formula1>
      <formula2>0</formula2>
    </dataValidation>
    <dataValidation sqref="O5:O66" showDropDown="0" showInputMessage="0" showErrorMessage="0" allowBlank="1" type="list" errorStyle="stop" operator="between">
      <formula1>Daftar!$D$2:$D$6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45" customWidth="1" style="32" min="2" max="2"/>
    <col width="55" customWidth="1" style="32" min="3" max="3"/>
    <col width="12" customWidth="1" style="32" min="4" max="7"/>
  </cols>
  <sheetData>
    <row r="1" ht="16.15" customHeight="1" s="33">
      <c r="A1" s="45" t="inlineStr">
        <is>
          <t>Matriks risiko 5x5 dan skala penilaian</t>
        </is>
      </c>
    </row>
    <row r="3" ht="15" customHeight="1" s="33">
      <c r="A3" s="51" t="inlineStr">
        <is>
          <t>Skor = Likelihood x Impact. Rendah 1 sampai 4 · Sedang 5 sampai 9 · Tinggi 10 sampai 19 · Kritis 20 sampai 25</t>
        </is>
      </c>
    </row>
    <row r="5" ht="15" customHeight="1" s="33">
      <c r="B5" s="32" t="inlineStr">
        <is>
          <t>Impact →</t>
        </is>
      </c>
      <c r="C5" s="52" t="n">
        <v>1</v>
      </c>
      <c r="D5" s="52" t="n">
        <v>2</v>
      </c>
      <c r="E5" s="52" t="n">
        <v>3</v>
      </c>
      <c r="F5" s="52" t="n">
        <v>4</v>
      </c>
      <c r="G5" s="52" t="n">
        <v>5</v>
      </c>
    </row>
    <row r="6" ht="15" customHeight="1" s="33">
      <c r="A6" s="32" t="inlineStr">
        <is>
          <t>Likelihood ↓</t>
        </is>
      </c>
      <c r="B6" s="52" t="n">
        <v>5</v>
      </c>
      <c r="C6" s="53" t="inlineStr">
        <is>
          <t>5 Sedang</t>
        </is>
      </c>
      <c r="D6" s="54" t="inlineStr">
        <is>
          <t>10 Tinggi</t>
        </is>
      </c>
      <c r="E6" s="54" t="inlineStr">
        <is>
          <t>15 Tinggi</t>
        </is>
      </c>
      <c r="F6" s="55" t="inlineStr">
        <is>
          <t>20 Kritis</t>
        </is>
      </c>
      <c r="G6" s="55" t="inlineStr">
        <is>
          <t>25 Kritis</t>
        </is>
      </c>
    </row>
    <row r="7" ht="15" customHeight="1" s="33">
      <c r="B7" s="52" t="n">
        <v>4</v>
      </c>
      <c r="C7" s="56" t="inlineStr">
        <is>
          <t>4 Rendah</t>
        </is>
      </c>
      <c r="D7" s="53" t="inlineStr">
        <is>
          <t>8 Sedang</t>
        </is>
      </c>
      <c r="E7" s="54" t="inlineStr">
        <is>
          <t>12 Tinggi</t>
        </is>
      </c>
      <c r="F7" s="54" t="inlineStr">
        <is>
          <t>16 Tinggi</t>
        </is>
      </c>
      <c r="G7" s="55" t="inlineStr">
        <is>
          <t>20 Kritis</t>
        </is>
      </c>
    </row>
    <row r="8" ht="15" customHeight="1" s="33">
      <c r="B8" s="52" t="n">
        <v>3</v>
      </c>
      <c r="C8" s="56" t="inlineStr">
        <is>
          <t>3 Rendah</t>
        </is>
      </c>
      <c r="D8" s="53" t="inlineStr">
        <is>
          <t>6 Sedang</t>
        </is>
      </c>
      <c r="E8" s="53" t="inlineStr">
        <is>
          <t>9 Sedang</t>
        </is>
      </c>
      <c r="F8" s="54" t="inlineStr">
        <is>
          <t>12 Tinggi</t>
        </is>
      </c>
      <c r="G8" s="54" t="inlineStr">
        <is>
          <t>15 Tinggi</t>
        </is>
      </c>
    </row>
    <row r="9" ht="15" customHeight="1" s="33">
      <c r="B9" s="52" t="n">
        <v>2</v>
      </c>
      <c r="C9" s="56" t="inlineStr">
        <is>
          <t>2 Rendah</t>
        </is>
      </c>
      <c r="D9" s="56" t="inlineStr">
        <is>
          <t>4 Rendah</t>
        </is>
      </c>
      <c r="E9" s="53" t="inlineStr">
        <is>
          <t>6 Sedang</t>
        </is>
      </c>
      <c r="F9" s="53" t="inlineStr">
        <is>
          <t>8 Sedang</t>
        </is>
      </c>
      <c r="G9" s="54" t="inlineStr">
        <is>
          <t>10 Tinggi</t>
        </is>
      </c>
    </row>
    <row r="10" ht="15" customHeight="1" s="33">
      <c r="B10" s="52" t="n">
        <v>1</v>
      </c>
      <c r="C10" s="56" t="inlineStr">
        <is>
          <t>1 Rendah</t>
        </is>
      </c>
      <c r="D10" s="56" t="inlineStr">
        <is>
          <t>2 Rendah</t>
        </is>
      </c>
      <c r="E10" s="56" t="inlineStr">
        <is>
          <t>3 Rendah</t>
        </is>
      </c>
      <c r="F10" s="56" t="inlineStr">
        <is>
          <t>4 Rendah</t>
        </is>
      </c>
      <c r="G10" s="53" t="inlineStr">
        <is>
          <t>5 Sedang</t>
        </is>
      </c>
    </row>
    <row r="13" ht="15" customHeight="1" s="33">
      <c r="A13" s="47" t="inlineStr">
        <is>
          <t>Skala</t>
        </is>
      </c>
      <c r="B13" s="47" t="inlineStr">
        <is>
          <t>Likelihood (kemungkinan)</t>
        </is>
      </c>
      <c r="C13" s="47" t="inlineStr">
        <is>
          <t>Impact (dampak)</t>
        </is>
      </c>
    </row>
    <row r="14" ht="15" customHeight="1" s="33">
      <c r="A14" s="37" t="n">
        <v>1</v>
      </c>
      <c r="B14" s="37" t="inlineStr">
        <is>
          <t>Sangat jarang: kurang dari sekali dalam 3 tahun</t>
        </is>
      </c>
      <c r="C14" s="37" t="inlineStr">
        <is>
          <t>Tidak berarti: tanpa gangguan layanan, tanpa data terdampak</t>
        </is>
      </c>
    </row>
    <row r="15" ht="23.85" customHeight="1" s="33">
      <c r="A15" s="37" t="n">
        <v>2</v>
      </c>
      <c r="B15" s="37" t="inlineStr">
        <is>
          <t>Jarang: sekali dalam 1 sampai 3 tahun</t>
        </is>
      </c>
      <c r="C15" s="37" t="inlineStr">
        <is>
          <t>Kecil: gangguan kurang dari 1 jam, satu pelanggan, tanpa data sensitif</t>
        </is>
      </c>
    </row>
    <row r="16" ht="23.85" customHeight="1" s="33">
      <c r="A16" s="37" t="n">
        <v>3</v>
      </c>
      <c r="B16" s="37" t="inlineStr">
        <is>
          <t>Mungkin: sekali dalam setahun</t>
        </is>
      </c>
      <c r="C16" s="37" t="inlineStr">
        <is>
          <t>Sedang: gangguan 1 sampai 4 jam atau SLA satu pelanggan terancam</t>
        </is>
      </c>
    </row>
    <row r="17" ht="15" customHeight="1" s="33">
      <c r="A17" s="37" t="n">
        <v>4</v>
      </c>
      <c r="B17" s="37" t="inlineStr">
        <is>
          <t>Sering: beberapa kali dalam setahun</t>
        </is>
      </c>
      <c r="C17" s="37" t="inlineStr">
        <is>
          <t>Besar: breach SLA, beberapa pelanggan, atau data internal bocor</t>
        </is>
      </c>
    </row>
    <row r="18" ht="23.85" customHeight="1" s="33">
      <c r="A18" s="37" t="n">
        <v>5</v>
      </c>
      <c r="B18" s="37" t="inlineStr">
        <is>
          <t>Hampir pasti: bulanan atau lebih sering</t>
        </is>
      </c>
      <c r="C18" s="37" t="inlineStr">
        <is>
          <t>Kritis: layanan utama mati lebih dari 4 jam, data pelanggan bocor, sanksi hukum atau kontrak</t>
        </is>
      </c>
    </row>
    <row r="20" ht="15" customHeight="1" s="33">
      <c r="A20" s="47" t="inlineStr">
        <is>
          <t>Level</t>
        </is>
      </c>
      <c r="B20" s="47" t="inlineStr">
        <is>
          <t>Ketentuan penanganan</t>
        </is>
      </c>
    </row>
    <row r="21" ht="15" customHeight="1" s="33">
      <c r="A21" s="57" t="inlineStr">
        <is>
          <t>Rendah</t>
        </is>
      </c>
      <c r="B21" s="37" t="inlineStr">
        <is>
          <t>Diterima, dipantau saat review berkala</t>
        </is>
      </c>
    </row>
    <row r="22" ht="23.85" customHeight="1" s="33">
      <c r="A22" s="58" t="inlineStr">
        <is>
          <t>Sedang</t>
        </is>
      </c>
      <c r="B22" s="37" t="inlineStr">
        <is>
          <t>Mitigasi dalam rencana normal, pemilik risiko ditetapkan</t>
        </is>
      </c>
    </row>
    <row r="23" ht="35.05" customHeight="1" s="33">
      <c r="A23" s="59" t="inlineStr">
        <is>
          <t>Tinggi</t>
        </is>
      </c>
      <c r="B23" s="37" t="inlineStr">
        <is>
          <t>Rencana mitigasi wajib dengan tenggat; dilaporkan ke Head of Operation dan dinaikkan ke register risiko ISMS</t>
        </is>
      </c>
    </row>
    <row r="24" ht="23.85" customHeight="1" s="33">
      <c r="A24" s="60" t="inlineStr">
        <is>
          <t>Kritis</t>
        </is>
      </c>
      <c r="B24" s="37" t="inlineStr">
        <is>
          <t>Tindakan segera; dilaporkan ke Direktur (COO); penerimaan risiko hanya oleh COO secara tertulis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2026-10-13T06:09:05Z</dcterms:created>
  <dcterms:modified xmlns:dcterms="http://purl.org/dc/terms/" xmlns:xsi="http://www.w3.org/2001/XMLSchema-instance" xsi:type="dcterms:W3CDTF">2026-10-14T21:30:58Z</dcterms:modified>
  <cp:revision>0</cp:revision>
</cp:coreProperties>
</file>