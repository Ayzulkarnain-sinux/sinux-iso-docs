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Parameter SLA" sheetId="4" state="visible" r:id="rId4"/>
    <sheet xmlns:r="http://schemas.openxmlformats.org/officeDocument/2006/relationships" name="Downtime Log" sheetId="5" state="visible" r:id="rId5"/>
    <sheet xmlns:r="http://schemas.openxmlformats.org/officeDocument/2006/relationships" name="Laporan Bulanan" sheetId="6" state="visible" r:id="rId6"/>
  </sheets>
  <definedNames>
    <definedName name="_xlnm.Print_Titles" localSheetId="2">'Daftar'!$1:$1</definedName>
    <definedName name="_xlnm._FilterDatabase" localSheetId="3" hidden="1">'Parameter SLA'!$A$4:$I$46</definedName>
    <definedName name="_xlnm.Print_Titles" localSheetId="3">'Parameter SLA'!$4:$4</definedName>
    <definedName name="_xlnm._FilterDatabase" localSheetId="4" hidden="1">'Downtime Log'!$A$4:$K$206</definedName>
    <definedName name="_xlnm.Print_Titles" localSheetId="4">'Downtime Log'!$4:$4</definedName>
    <definedName name="_xlnm.Print_Titles" localSheetId="5">'Laporan Bulanan'!$7:$7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dd\-mmm\-yyyy\ hh:mm"/>
    <numFmt numFmtId="166" formatCode="0.000%"/>
    <numFmt numFmtId="167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0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0" fontId="7" fillId="2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top" wrapText="1"/>
    </xf>
    <xf numFmtId="10" fontId="11" fillId="4" borderId="1" applyAlignment="1" pivotButton="0" quotePrefix="0" xfId="0">
      <alignment horizontal="general" vertical="top" wrapText="1"/>
    </xf>
    <xf numFmtId="166" fontId="11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top" wrapText="1"/>
    </xf>
    <xf numFmtId="167" fontId="11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top" wrapText="1"/>
    </xf>
    <xf numFmtId="10" fontId="11" fillId="4" borderId="1" applyAlignment="1" pivotButton="0" quotePrefix="0" xfId="0">
      <alignment horizontal="general" vertical="top" wrapText="1"/>
    </xf>
    <xf numFmtId="166" fontId="11" fillId="4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top" wrapText="1"/>
    </xf>
    <xf numFmtId="167" fontId="11" fillId="4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6" min="1" max="1"/>
    <col width="70" customWidth="1" style="36" min="2" max="2"/>
    <col width="30" customWidth="1" style="36" min="3" max="3"/>
    <col width="22" customWidth="1" style="36" min="4" max="4"/>
    <col width="14" customWidth="1" style="36" min="5" max="5"/>
  </cols>
  <sheetData>
    <row r="1" ht="18.55" customHeight="1" s="37">
      <c r="A1" s="38" t="inlineStr">
        <is>
          <t>SLA Performance Monitoring Report</t>
        </is>
      </c>
    </row>
    <row r="2" ht="15" customHeight="1" s="37">
      <c r="A2" s="39" t="inlineStr">
        <is>
          <t>PT Strategi Integrasi Nusantara (SINUX) · Divisi Operation</t>
        </is>
      </c>
    </row>
    <row r="3" s="37">
      <c r="A3" s="68" t="n"/>
      <c r="B3" s="68" t="n"/>
      <c r="C3" s="68" t="n"/>
      <c r="D3" s="68" t="n"/>
      <c r="E3" s="68" t="n"/>
    </row>
    <row r="4" ht="16.5" customHeight="1" s="37">
      <c r="A4" s="69" t="inlineStr">
        <is>
          <t>Nomor dokumen</t>
        </is>
      </c>
      <c r="B4" s="41" t="inlineStr">
        <is>
          <t>SNX-OPS-FRM-09</t>
        </is>
      </c>
      <c r="C4" s="68" t="n"/>
      <c r="D4" s="68" t="n"/>
      <c r="E4" s="68" t="n"/>
    </row>
    <row r="5" ht="16.5" customHeight="1" s="37">
      <c r="A5" s="69" t="inlineStr">
        <is>
          <t>Judul</t>
        </is>
      </c>
      <c r="B5" s="41" t="inlineStr">
        <is>
          <t>SLA Performance Monitoring Report</t>
        </is>
      </c>
      <c r="C5" s="68" t="n"/>
      <c r="D5" s="68" t="n"/>
      <c r="E5" s="68" t="n"/>
    </row>
    <row r="6" ht="16.5" customHeight="1" s="37">
      <c r="A6" s="69" t="inlineStr">
        <is>
          <t>Revisi</t>
        </is>
      </c>
      <c r="B6" s="41" t="inlineStr">
        <is>
          <t>00 (Draft)</t>
        </is>
      </c>
      <c r="C6" s="68" t="n"/>
      <c r="D6" s="68" t="n"/>
      <c r="E6" s="68" t="n"/>
    </row>
    <row r="7" ht="16.5" customHeight="1" s="37">
      <c r="A7" s="69" t="inlineStr">
        <is>
          <t>Tanggal draft</t>
        </is>
      </c>
      <c r="B7" s="41" t="inlineStr">
        <is>
          <t>13 Oktober 2026</t>
        </is>
      </c>
      <c r="C7" s="68" t="n"/>
      <c r="D7" s="68" t="n"/>
      <c r="E7" s="68" t="n"/>
    </row>
    <row r="8" ht="16.5" customHeight="1" s="37">
      <c r="A8" s="69" t="inlineStr">
        <is>
          <t>Tanggal efektif</t>
        </is>
      </c>
      <c r="B8" s="41" t="inlineStr">
        <is>
          <t>Ditetapkan saat pengesahan</t>
        </is>
      </c>
      <c r="C8" s="68" t="n"/>
      <c r="D8" s="68" t="n"/>
      <c r="E8" s="68" t="n"/>
    </row>
    <row r="9" ht="16.5" customHeight="1" s="37">
      <c r="A9" s="69" t="inlineStr">
        <is>
          <t>Klasifikasi</t>
        </is>
      </c>
      <c r="B9" s="41" t="inlineStr">
        <is>
          <t>RESTRICTED (Internal)</t>
        </is>
      </c>
      <c r="C9" s="68" t="n"/>
      <c r="D9" s="68" t="n"/>
      <c r="E9" s="68" t="n"/>
    </row>
    <row r="10" ht="16.5" customHeight="1" s="37">
      <c r="A10" s="69" t="inlineStr">
        <is>
          <t>Pemilik dokumen</t>
        </is>
      </c>
      <c r="B10" s="41" t="inlineStr">
        <is>
          <t>Service Delivery Manager</t>
        </is>
      </c>
      <c r="C10" s="68" t="n"/>
      <c r="D10" s="68" t="n"/>
      <c r="E10" s="68" t="n"/>
    </row>
    <row r="11" ht="16.5" customHeight="1" s="37">
      <c r="A11" s="69" t="inlineStr">
        <is>
          <t>Disetujui oleh</t>
        </is>
      </c>
      <c r="B11" s="41" t="inlineStr">
        <is>
          <t>Samuel Kristanto Utomo / President Director</t>
        </is>
      </c>
      <c r="C11" s="68" t="n"/>
      <c r="D11" s="68" t="n"/>
      <c r="E11" s="68" t="n"/>
    </row>
    <row r="12" ht="30" customHeight="1" s="37">
      <c r="A12" s="69" t="inlineStr">
        <is>
          <t>Acuan ISO 9001:2015</t>
        </is>
      </c>
      <c r="B12" s="41" t="inlineStr">
        <is>
          <t>Klausul 9.1.1, 9.1.2, 9.1.3</t>
        </is>
      </c>
      <c r="C12" s="68" t="n"/>
      <c r="D12" s="68" t="n"/>
      <c r="E12" s="68" t="n"/>
    </row>
    <row r="13" ht="30" customHeight="1" s="37">
      <c r="A13" s="69" t="inlineStr">
        <is>
          <t>Acuan ISO/IEC 27001:2022</t>
        </is>
      </c>
      <c r="B13" s="41" t="inlineStr">
        <is>
          <t>Kontrol Annex A 8.16</t>
        </is>
      </c>
      <c r="C13" s="68" t="n"/>
      <c r="D13" s="68" t="n"/>
      <c r="E13" s="68" t="n"/>
    </row>
    <row r="14" ht="30" customHeight="1" s="37">
      <c r="A14" s="69" t="inlineStr">
        <is>
          <t>Masa simpan record</t>
        </is>
      </c>
      <c r="B14" s="41" t="inlineStr">
        <is>
          <t>3 tahun</t>
        </is>
      </c>
      <c r="C14" s="68" t="n"/>
      <c r="D14" s="68" t="n"/>
      <c r="E14" s="68" t="n"/>
    </row>
    <row r="15" ht="30" customHeight="1" s="37">
      <c r="A15" s="69" t="inlineStr">
        <is>
          <t>Tujuan</t>
        </is>
      </c>
      <c r="B15" s="41" t="inlineStr">
        <is>
          <t>Parameter SLA per pelanggan, log downtime, dan laporan availability bulanan sesuai SNX-OPS-SOP-05.</t>
        </is>
      </c>
      <c r="C15" s="68" t="n"/>
      <c r="D15" s="68" t="n"/>
      <c r="E15" s="68" t="n"/>
    </row>
    <row r="16" s="37">
      <c r="A16" s="68" t="n"/>
      <c r="B16" s="68" t="n"/>
      <c r="C16" s="68" t="n"/>
      <c r="D16" s="68" t="n"/>
      <c r="E16" s="68" t="n"/>
    </row>
    <row r="17" ht="16.5" customHeight="1" s="37">
      <c r="A17" s="70" t="inlineStr">
        <is>
          <t>Cara pakai</t>
        </is>
      </c>
      <c r="B17" s="68" t="n"/>
      <c r="C17" s="68" t="n"/>
      <c r="D17" s="68" t="n"/>
      <c r="E17" s="68" t="n"/>
    </row>
    <row r="18" ht="30" customHeight="1" s="37">
      <c r="A18" s="44" t="inlineStr">
        <is>
          <t>1.</t>
        </is>
      </c>
      <c r="B18" s="44" t="inlineStr">
        <is>
          <t>Daftarkan setiap layanan ber-SLA di sheet Parameter SLA saat onboarding.</t>
        </is>
      </c>
      <c r="C18" s="68" t="n"/>
      <c r="D18" s="68" t="n"/>
      <c r="E18" s="68" t="n"/>
    </row>
    <row r="19" ht="43.5" customHeight="1" s="37">
      <c r="A19" s="44" t="inlineStr">
        <is>
          <t>2.</t>
        </is>
      </c>
      <c r="B19" s="44" t="inlineStr">
        <is>
          <t>Catat setiap downtime di Downtime Log. Isi kolom Dihitung dengan "Tidak" hanya jika ada bukti notifikasi maintenance atau pengecualian kontrak.</t>
        </is>
      </c>
      <c r="C19" s="68" t="n"/>
      <c r="D19" s="68" t="n"/>
      <c r="E19" s="68" t="n"/>
    </row>
    <row r="20" ht="43.5" customHeight="1" s="37">
      <c r="A20" s="44" t="inlineStr">
        <is>
          <t>3.</t>
        </is>
      </c>
      <c r="B20" s="44" t="inlineStr">
        <is>
          <t>Pilih bulan laporan di sel B3 sheet Laporan Bulanan. Availability, status, dan sisa anggaran downtime terisi otomatis.</t>
        </is>
      </c>
      <c r="C20" s="68" t="n"/>
      <c r="D20" s="68" t="n"/>
      <c r="E20" s="68" t="n"/>
    </row>
    <row r="21" ht="16.5" customHeight="1" s="37">
      <c r="A21" s="44" t="inlineStr">
        <is>
          <t>4.</t>
        </is>
      </c>
      <c r="B21" s="44" t="inlineStr">
        <is>
          <t>Isi data respons ticket dari ringkasan SNX-OPS-FRM-08.</t>
        </is>
      </c>
      <c r="C21" s="68" t="n"/>
      <c r="D21" s="68" t="n"/>
      <c r="E21" s="68" t="n"/>
    </row>
    <row r="22" ht="16.5" customHeight="1" s="37">
      <c r="A22" s="44" t="inlineStr">
        <is>
          <t>5.</t>
        </is>
      </c>
      <c r="B22" s="44" t="inlineStr">
        <is>
          <t>Kirim laporan ke pelanggan paling lambat hari kerja ke-5.</t>
        </is>
      </c>
      <c r="C22" s="68" t="n"/>
      <c r="D22" s="68" t="n"/>
      <c r="E22" s="68" t="n"/>
    </row>
    <row r="23" s="37">
      <c r="A23" s="68" t="n"/>
      <c r="B23" s="68" t="n"/>
      <c r="C23" s="68" t="n"/>
      <c r="D23" s="68" t="n"/>
      <c r="E23" s="68" t="n"/>
    </row>
    <row r="24" ht="16.5" customHeight="1" s="37">
      <c r="A24" s="70" t="inlineStr">
        <is>
          <t>Legenda warna</t>
        </is>
      </c>
      <c r="B24" s="68" t="n"/>
      <c r="C24" s="68" t="n"/>
      <c r="D24" s="68" t="n"/>
      <c r="E24" s="68" t="n"/>
    </row>
    <row r="25" ht="16.5" customHeight="1" s="37">
      <c r="A25" s="71" t="n"/>
      <c r="B25" s="44" t="inlineStr">
        <is>
          <t>Sel input: diisi pengguna</t>
        </is>
      </c>
      <c r="C25" s="68" t="n"/>
      <c r="D25" s="68" t="n"/>
      <c r="E25" s="68" t="n"/>
    </row>
    <row r="26" ht="30" customHeight="1" s="37">
      <c r="A26" s="72" t="n"/>
      <c r="B26" s="44" t="inlineStr">
        <is>
          <t>Biru muda: warna baris contoh, sudah dikosongkan dan tidak dipakai</t>
        </is>
      </c>
      <c r="C26" s="68" t="n"/>
      <c r="D26" s="68" t="n"/>
      <c r="E26" s="68" t="n"/>
    </row>
    <row r="27" ht="16.5" customHeight="1" s="37">
      <c r="A27" s="73" t="n"/>
      <c r="B27" s="44" t="inlineStr">
        <is>
          <t>Sel rumus: jangan diubah</t>
        </is>
      </c>
      <c r="C27" s="68" t="n"/>
      <c r="D27" s="68" t="n"/>
      <c r="E27" s="68" t="n"/>
    </row>
    <row r="28" s="37">
      <c r="A28" s="68" t="n"/>
      <c r="B28" s="68" t="n"/>
      <c r="C28" s="68" t="n"/>
      <c r="D28" s="68" t="n"/>
      <c r="E28" s="68" t="n"/>
    </row>
    <row r="29" ht="16.5" customHeight="1" s="37">
      <c r="A29" s="70" t="inlineStr">
        <is>
          <t>Riwayat revisi</t>
        </is>
      </c>
      <c r="B29" s="68" t="n"/>
      <c r="C29" s="68" t="n"/>
      <c r="D29" s="68" t="n"/>
      <c r="E29" s="68" t="n"/>
    </row>
    <row r="30" ht="16.5" customHeight="1" s="37">
      <c r="A30" s="52" t="inlineStr">
        <is>
          <t>Revisi</t>
        </is>
      </c>
      <c r="B30" s="52" t="inlineStr">
        <is>
          <t>Tanggal</t>
        </is>
      </c>
      <c r="C30" s="52" t="inlineStr">
        <is>
          <t>Uraian perubahan</t>
        </is>
      </c>
      <c r="D30" s="52" t="inlineStr">
        <is>
          <t>Disusun</t>
        </is>
      </c>
      <c r="E30" s="52" t="inlineStr">
        <is>
          <t>Disetujui</t>
        </is>
      </c>
    </row>
    <row r="31" ht="30" customHeight="1" s="37">
      <c r="A31" s="41" t="inlineStr">
        <is>
          <t>00</t>
        </is>
      </c>
      <c r="B31" s="41" t="inlineStr">
        <is>
          <t>13 Oktober 2026</t>
        </is>
      </c>
      <c r="C31" s="41" t="inlineStr">
        <is>
          <t>Draft awal untuk review dan pengesahan</t>
        </is>
      </c>
      <c r="D31" s="41" t="inlineStr">
        <is>
          <t>Divisi Operation</t>
        </is>
      </c>
      <c r="E31" s="41" t="inlineStr">
        <is>
          <t>Menunggu</t>
        </is>
      </c>
    </row>
    <row r="32" ht="57.45" customHeight="1" s="37">
      <c r="A32" s="41" t="n"/>
      <c r="B32" s="41" t="n"/>
      <c r="C32" s="41" t="n"/>
      <c r="D32" s="41" t="n"/>
      <c r="E32" s="41" t="n"/>
    </row>
    <row r="33" s="37">
      <c r="A33" s="68" t="n"/>
      <c r="B33" s="68" t="n"/>
      <c r="C33" s="68" t="n"/>
      <c r="D33" s="68" t="n"/>
      <c r="E33" s="68" t="n"/>
    </row>
    <row r="34" ht="16.5" customHeight="1" s="37">
      <c r="A34" s="70" t="inlineStr">
        <is>
          <t>Pengesahan</t>
        </is>
      </c>
      <c r="B34" s="68" t="n"/>
      <c r="C34" s="68" t="n"/>
      <c r="D34" s="68" t="n"/>
      <c r="E34" s="68" t="n"/>
    </row>
    <row r="35" ht="16.5" customHeight="1" s="37">
      <c r="A35" s="52" t="inlineStr">
        <is>
          <t>Peran</t>
        </is>
      </c>
      <c r="B35" s="52" t="inlineStr">
        <is>
          <t>Nama dan jabatan</t>
        </is>
      </c>
      <c r="C35" s="52" t="inlineStr">
        <is>
          <t>Tanda tangan</t>
        </is>
      </c>
      <c r="D35" s="52" t="inlineStr">
        <is>
          <t>Tanggal</t>
        </is>
      </c>
      <c r="E35" s="68" t="n"/>
    </row>
    <row r="36" ht="27.75" customHeight="1" s="37">
      <c r="A36" s="41" t="inlineStr">
        <is>
          <t>Disusun oleh</t>
        </is>
      </c>
      <c r="B36" s="41" t="inlineStr">
        <is>
          <t>Erik Dwi Yanto / Technical/Operation Engineer L1</t>
        </is>
      </c>
      <c r="C36" s="41" t="n"/>
      <c r="D36" s="41" t="n"/>
      <c r="E36" s="68" t="n"/>
    </row>
    <row r="37" ht="27.75" customHeight="1" s="37">
      <c r="A37" s="41" t="inlineStr">
        <is>
          <t>Diperiksa oleh</t>
        </is>
      </c>
      <c r="B37" s="41" t="inlineStr">
        <is>
          <t>Fani Fatullah / VP Tech Operation and Services</t>
        </is>
      </c>
      <c r="C37" s="41" t="n"/>
      <c r="D37" s="41" t="n"/>
      <c r="E37" s="68" t="n"/>
    </row>
    <row r="38" ht="27.75" customHeight="1" s="37">
      <c r="A38" s="41" t="inlineStr">
        <is>
          <t>Disetujui oleh</t>
        </is>
      </c>
      <c r="B38" s="41" t="inlineStr">
        <is>
          <t>Samuel Kristanto Utomo / President Director</t>
        </is>
      </c>
      <c r="C38" s="41" t="n"/>
      <c r="D38" s="41" t="n"/>
      <c r="E38" s="6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37">
      <c r="A1" s="50" t="inlineStr">
        <is>
          <t>Diagram alur proses</t>
        </is>
      </c>
    </row>
    <row r="2" ht="15" customHeight="1" s="37">
      <c r="A2" s="39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6" min="1" max="1"/>
    <col width="26" customWidth="1" style="36" min="2" max="2"/>
  </cols>
  <sheetData>
    <row r="1" ht="16.5" customHeight="1" s="37">
      <c r="A1" s="74" t="inlineStr">
        <is>
          <t>Dihitung</t>
        </is>
      </c>
      <c r="B1" s="74" t="inlineStr">
        <is>
          <t>Penyebab</t>
        </is>
      </c>
    </row>
    <row r="2" ht="16.5" customHeight="1" s="37">
      <c r="A2" s="75" t="inlineStr">
        <is>
          <t>Ya</t>
        </is>
      </c>
      <c r="B2" s="75" t="inlineStr">
        <is>
          <t>Platform SINUX</t>
        </is>
      </c>
    </row>
    <row r="3" ht="16.5" customHeight="1" s="37">
      <c r="A3" s="75" t="inlineStr">
        <is>
          <t>Tidak</t>
        </is>
      </c>
      <c r="B3" s="75" t="inlineStr">
        <is>
          <t>Upstream atau supplier</t>
        </is>
      </c>
    </row>
    <row r="4" ht="16.5" customHeight="1" s="37">
      <c r="A4" s="76" t="n"/>
      <c r="B4" s="75" t="inlineStr">
        <is>
          <t>Network</t>
        </is>
      </c>
    </row>
    <row r="5" ht="16.5" customHeight="1" s="37">
      <c r="A5" s="76" t="n"/>
      <c r="B5" s="75" t="inlineStr">
        <is>
          <t>Maintenance terjadwal</t>
        </is>
      </c>
    </row>
    <row r="6" ht="30" customHeight="1" s="37">
      <c r="A6" s="76" t="n"/>
      <c r="B6" s="75" t="inlineStr">
        <is>
          <t>Pelanggan atau app-level</t>
        </is>
      </c>
    </row>
    <row r="7" ht="16.5" customHeight="1" s="37">
      <c r="A7" s="76" t="n"/>
      <c r="B7" s="75" t="inlineStr">
        <is>
          <t>Keamanan</t>
        </is>
      </c>
    </row>
    <row r="8" ht="16.5" customHeight="1" s="37">
      <c r="A8" s="76" t="n"/>
      <c r="B8" s="75" t="inlineStr">
        <is>
          <t>Lainnya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6" min="1" max="1"/>
    <col width="22" customWidth="1" style="36" min="2" max="2"/>
    <col width="20" customWidth="1" style="36" min="3" max="3"/>
    <col width="18" customWidth="1" style="36" min="4" max="4"/>
    <col width="11" customWidth="1" style="36" min="5" max="5"/>
    <col width="36" customWidth="1" style="36" min="6" max="6"/>
    <col width="12" customWidth="1" style="36" min="7" max="7"/>
    <col width="20" customWidth="1" style="36" min="8" max="8"/>
    <col width="18" customWidth="1" style="36" min="9" max="9"/>
  </cols>
  <sheetData>
    <row r="1" ht="16.15" customHeight="1" s="37">
      <c r="A1" s="50" t="inlineStr">
        <is>
          <t>Parameter SLA per layanan</t>
        </is>
      </c>
    </row>
    <row r="2" ht="15" customHeight="1" s="37">
      <c r="A2" s="39" t="inlineStr">
        <is>
          <t>Target availability ditulis dalam persen (0.999 = 99.9%). Kombinasi Pelanggan dan Layanan harus unik. Availability dihitung dari menit kalender penuh; kolom Jam layanan dan Pengecualian kontrak tidak masuk rumus.</t>
        </is>
      </c>
    </row>
    <row r="4" ht="31.5" customHeight="1" s="37">
      <c r="A4" s="52" t="inlineStr">
        <is>
          <t>ID</t>
        </is>
      </c>
      <c r="B4" s="52" t="inlineStr">
        <is>
          <t>Pelanggan</t>
        </is>
      </c>
      <c r="C4" s="52" t="inlineStr">
        <is>
          <t>Layanan</t>
        </is>
      </c>
      <c r="D4" s="52" t="inlineStr">
        <is>
          <t>Target availability</t>
        </is>
      </c>
      <c r="E4" s="52" t="inlineStr">
        <is>
          <t>Jam layanan</t>
        </is>
      </c>
      <c r="F4" s="52" t="inlineStr">
        <is>
          <t>Pengecualian kontrak</t>
        </is>
      </c>
      <c r="G4" s="52" t="inlineStr">
        <is>
          <t>Periode laporan</t>
        </is>
      </c>
      <c r="H4" s="52" t="inlineStr">
        <is>
          <t>PIC penerima laporan</t>
        </is>
      </c>
      <c r="I4" s="52" t="inlineStr">
        <is>
          <t>Catatan</t>
        </is>
      </c>
    </row>
    <row r="5" ht="15" customHeight="1" s="37">
      <c r="A5" s="53" t="n"/>
      <c r="B5" s="53" t="n"/>
      <c r="C5" s="53" t="n"/>
      <c r="D5" s="54" t="n"/>
      <c r="E5" s="53" t="n"/>
      <c r="F5" s="53" t="n"/>
      <c r="G5" s="53" t="n"/>
      <c r="H5" s="53" t="n"/>
      <c r="I5" s="53" t="n"/>
    </row>
    <row r="6" ht="23.85" customHeight="1" s="37">
      <c r="A6" s="53" t="n"/>
      <c r="B6" s="53" t="n"/>
      <c r="C6" s="53" t="n"/>
      <c r="D6" s="54" t="n"/>
      <c r="E6" s="53" t="n"/>
      <c r="F6" s="53" t="n"/>
      <c r="G6" s="53" t="n"/>
      <c r="H6" s="53" t="n"/>
      <c r="I6" s="53" t="n"/>
    </row>
    <row r="7" ht="15" customHeight="1" s="37">
      <c r="A7" s="53" t="n"/>
      <c r="B7" s="53" t="n"/>
      <c r="C7" s="53" t="n"/>
      <c r="D7" s="54" t="n"/>
      <c r="E7" s="53" t="n"/>
      <c r="F7" s="53" t="n"/>
      <c r="G7" s="53" t="n"/>
      <c r="H7" s="53" t="n"/>
      <c r="I7" s="53" t="n"/>
    </row>
    <row r="8" ht="15" customHeight="1" s="37">
      <c r="A8" s="53" t="n"/>
      <c r="B8" s="53" t="n"/>
      <c r="C8" s="53" t="n"/>
      <c r="D8" s="54" t="n"/>
      <c r="E8" s="53" t="n"/>
      <c r="F8" s="53" t="n"/>
      <c r="G8" s="53" t="n"/>
      <c r="H8" s="53" t="n"/>
      <c r="I8" s="53" t="n"/>
    </row>
    <row r="9" ht="15" customHeight="1" s="37">
      <c r="A9" s="53" t="n"/>
      <c r="B9" s="53" t="n"/>
      <c r="C9" s="53" t="n"/>
      <c r="D9" s="54" t="n"/>
      <c r="E9" s="53" t="n"/>
      <c r="F9" s="53" t="n"/>
      <c r="G9" s="53" t="n"/>
      <c r="H9" s="53" t="n"/>
      <c r="I9" s="53" t="n"/>
    </row>
    <row r="10" ht="15" customHeight="1" s="37">
      <c r="A10" s="53" t="n"/>
      <c r="B10" s="53" t="n"/>
      <c r="C10" s="53" t="n"/>
      <c r="D10" s="54" t="n"/>
      <c r="E10" s="53" t="n"/>
      <c r="F10" s="53" t="n"/>
      <c r="G10" s="53" t="n"/>
      <c r="H10" s="53" t="n"/>
      <c r="I10" s="53" t="n"/>
    </row>
    <row r="11" ht="15" customHeight="1" s="37">
      <c r="A11" s="53" t="n"/>
      <c r="B11" s="53" t="n"/>
      <c r="C11" s="53" t="n"/>
      <c r="D11" s="54" t="n"/>
      <c r="E11" s="53" t="n"/>
      <c r="F11" s="53" t="n"/>
      <c r="G11" s="53" t="n"/>
      <c r="H11" s="53" t="n"/>
      <c r="I11" s="53" t="n"/>
    </row>
    <row r="12" ht="15" customHeight="1" s="37">
      <c r="A12" s="53" t="n"/>
      <c r="B12" s="53" t="n"/>
      <c r="C12" s="53" t="n"/>
      <c r="D12" s="54" t="n"/>
      <c r="E12" s="53" t="n"/>
      <c r="F12" s="53" t="n"/>
      <c r="G12" s="53" t="n"/>
      <c r="H12" s="53" t="n"/>
      <c r="I12" s="53" t="n"/>
    </row>
    <row r="13" ht="15" customHeight="1" s="37">
      <c r="A13" s="53" t="n"/>
      <c r="B13" s="53" t="n"/>
      <c r="C13" s="53" t="n"/>
      <c r="D13" s="54" t="n"/>
      <c r="E13" s="53" t="n"/>
      <c r="F13" s="53" t="n"/>
      <c r="G13" s="53" t="n"/>
      <c r="H13" s="53" t="n"/>
      <c r="I13" s="53" t="n"/>
    </row>
    <row r="14" ht="15" customHeight="1" s="37">
      <c r="A14" s="53" t="n"/>
      <c r="B14" s="53" t="n"/>
      <c r="C14" s="53" t="n"/>
      <c r="D14" s="54" t="n"/>
      <c r="E14" s="53" t="n"/>
      <c r="F14" s="53" t="n"/>
      <c r="G14" s="53" t="n"/>
      <c r="H14" s="53" t="n"/>
      <c r="I14" s="53" t="n"/>
    </row>
    <row r="15" ht="15" customHeight="1" s="37">
      <c r="A15" s="53" t="n"/>
      <c r="B15" s="53" t="n"/>
      <c r="C15" s="53" t="n"/>
      <c r="D15" s="54" t="n"/>
      <c r="E15" s="53" t="n"/>
      <c r="F15" s="53" t="n"/>
      <c r="G15" s="53" t="n"/>
      <c r="H15" s="53" t="n"/>
      <c r="I15" s="53" t="n"/>
    </row>
    <row r="16" ht="15" customHeight="1" s="37">
      <c r="A16" s="53" t="n"/>
      <c r="B16" s="53" t="n"/>
      <c r="C16" s="53" t="n"/>
      <c r="D16" s="54" t="n"/>
      <c r="E16" s="53" t="n"/>
      <c r="F16" s="53" t="n"/>
      <c r="G16" s="53" t="n"/>
      <c r="H16" s="53" t="n"/>
      <c r="I16" s="53" t="n"/>
    </row>
    <row r="17" ht="15" customHeight="1" s="37">
      <c r="A17" s="53" t="n"/>
      <c r="B17" s="53" t="n"/>
      <c r="C17" s="53" t="n"/>
      <c r="D17" s="54" t="n"/>
      <c r="E17" s="53" t="n"/>
      <c r="F17" s="53" t="n"/>
      <c r="G17" s="53" t="n"/>
      <c r="H17" s="53" t="n"/>
      <c r="I17" s="53" t="n"/>
    </row>
    <row r="18" ht="15" customHeight="1" s="37">
      <c r="A18" s="53" t="n"/>
      <c r="B18" s="53" t="n"/>
      <c r="C18" s="53" t="n"/>
      <c r="D18" s="54" t="n"/>
      <c r="E18" s="53" t="n"/>
      <c r="F18" s="53" t="n"/>
      <c r="G18" s="53" t="n"/>
      <c r="H18" s="53" t="n"/>
      <c r="I18" s="53" t="n"/>
    </row>
    <row r="19" ht="15" customHeight="1" s="37">
      <c r="A19" s="53" t="n"/>
      <c r="B19" s="53" t="n"/>
      <c r="C19" s="53" t="n"/>
      <c r="D19" s="54" t="n"/>
      <c r="E19" s="53" t="n"/>
      <c r="F19" s="53" t="n"/>
      <c r="G19" s="53" t="n"/>
      <c r="H19" s="53" t="n"/>
      <c r="I19" s="53" t="n"/>
    </row>
    <row r="20" ht="15" customHeight="1" s="37">
      <c r="A20" s="53" t="n"/>
      <c r="B20" s="53" t="n"/>
      <c r="C20" s="53" t="n"/>
      <c r="D20" s="54" t="n"/>
      <c r="E20" s="53" t="n"/>
      <c r="F20" s="53" t="n"/>
      <c r="G20" s="53" t="n"/>
      <c r="H20" s="53" t="n"/>
      <c r="I20" s="53" t="n"/>
    </row>
    <row r="21" ht="15" customHeight="1" s="37">
      <c r="A21" s="53" t="n"/>
      <c r="B21" s="53" t="n"/>
      <c r="C21" s="53" t="n"/>
      <c r="D21" s="54" t="n"/>
      <c r="E21" s="53" t="n"/>
      <c r="F21" s="53" t="n"/>
      <c r="G21" s="53" t="n"/>
      <c r="H21" s="53" t="n"/>
      <c r="I21" s="53" t="n"/>
    </row>
    <row r="22" ht="15" customHeight="1" s="37">
      <c r="A22" s="53" t="n"/>
      <c r="B22" s="53" t="n"/>
      <c r="C22" s="53" t="n"/>
      <c r="D22" s="54" t="n"/>
      <c r="E22" s="53" t="n"/>
      <c r="F22" s="53" t="n"/>
      <c r="G22" s="53" t="n"/>
      <c r="H22" s="53" t="n"/>
      <c r="I22" s="53" t="n"/>
    </row>
    <row r="23" ht="15" customHeight="1" s="37">
      <c r="A23" s="53" t="n"/>
      <c r="B23" s="53" t="n"/>
      <c r="C23" s="53" t="n"/>
      <c r="D23" s="54" t="n"/>
      <c r="E23" s="53" t="n"/>
      <c r="F23" s="53" t="n"/>
      <c r="G23" s="53" t="n"/>
      <c r="H23" s="53" t="n"/>
      <c r="I23" s="53" t="n"/>
    </row>
    <row r="24" ht="15" customHeight="1" s="37">
      <c r="A24" s="53" t="n"/>
      <c r="B24" s="53" t="n"/>
      <c r="C24" s="53" t="n"/>
      <c r="D24" s="54" t="n"/>
      <c r="E24" s="53" t="n"/>
      <c r="F24" s="53" t="n"/>
      <c r="G24" s="53" t="n"/>
      <c r="H24" s="53" t="n"/>
      <c r="I24" s="53" t="n"/>
    </row>
    <row r="25" ht="15" customHeight="1" s="37">
      <c r="A25" s="53" t="n"/>
      <c r="B25" s="53" t="n"/>
      <c r="C25" s="53" t="n"/>
      <c r="D25" s="54" t="n"/>
      <c r="E25" s="53" t="n"/>
      <c r="F25" s="53" t="n"/>
      <c r="G25" s="53" t="n"/>
      <c r="H25" s="53" t="n"/>
      <c r="I25" s="53" t="n"/>
    </row>
    <row r="26" ht="15" customHeight="1" s="37">
      <c r="A26" s="53" t="n"/>
      <c r="B26" s="53" t="n"/>
      <c r="C26" s="53" t="n"/>
      <c r="D26" s="54" t="n"/>
      <c r="E26" s="53" t="n"/>
      <c r="F26" s="53" t="n"/>
      <c r="G26" s="53" t="n"/>
      <c r="H26" s="53" t="n"/>
      <c r="I26" s="53" t="n"/>
    </row>
    <row r="27" ht="15" customHeight="1" s="37">
      <c r="A27" s="53" t="n"/>
      <c r="B27" s="53" t="n"/>
      <c r="C27" s="53" t="n"/>
      <c r="D27" s="54" t="n"/>
      <c r="E27" s="53" t="n"/>
      <c r="F27" s="53" t="n"/>
      <c r="G27" s="53" t="n"/>
      <c r="H27" s="53" t="n"/>
      <c r="I27" s="53" t="n"/>
    </row>
    <row r="28" ht="15" customHeight="1" s="37">
      <c r="A28" s="53" t="n"/>
      <c r="B28" s="53" t="n"/>
      <c r="C28" s="53" t="n"/>
      <c r="D28" s="54" t="n"/>
      <c r="E28" s="53" t="n"/>
      <c r="F28" s="53" t="n"/>
      <c r="G28" s="53" t="n"/>
      <c r="H28" s="53" t="n"/>
      <c r="I28" s="53" t="n"/>
    </row>
    <row r="29" ht="15" customHeight="1" s="37">
      <c r="A29" s="53" t="n"/>
      <c r="B29" s="53" t="n"/>
      <c r="C29" s="53" t="n"/>
      <c r="D29" s="54" t="n"/>
      <c r="E29" s="53" t="n"/>
      <c r="F29" s="53" t="n"/>
      <c r="G29" s="53" t="n"/>
      <c r="H29" s="53" t="n"/>
      <c r="I29" s="53" t="n"/>
    </row>
    <row r="30" ht="15" customHeight="1" s="37">
      <c r="A30" s="53" t="n"/>
      <c r="B30" s="53" t="n"/>
      <c r="C30" s="53" t="n"/>
      <c r="D30" s="54" t="n"/>
      <c r="E30" s="53" t="n"/>
      <c r="F30" s="53" t="n"/>
      <c r="G30" s="53" t="n"/>
      <c r="H30" s="53" t="n"/>
      <c r="I30" s="53" t="n"/>
    </row>
    <row r="31" ht="15" customHeight="1" s="37">
      <c r="A31" s="53" t="n"/>
      <c r="B31" s="53" t="n"/>
      <c r="C31" s="53" t="n"/>
      <c r="D31" s="54" t="n"/>
      <c r="E31" s="53" t="n"/>
      <c r="F31" s="53" t="n"/>
      <c r="G31" s="53" t="n"/>
      <c r="H31" s="53" t="n"/>
      <c r="I31" s="53" t="n"/>
    </row>
    <row r="32" ht="15" customHeight="1" s="37">
      <c r="A32" s="53" t="n"/>
      <c r="B32" s="53" t="n"/>
      <c r="C32" s="53" t="n"/>
      <c r="D32" s="54" t="n"/>
      <c r="E32" s="53" t="n"/>
      <c r="F32" s="53" t="n"/>
      <c r="G32" s="53" t="n"/>
      <c r="H32" s="53" t="n"/>
      <c r="I32" s="53" t="n"/>
    </row>
    <row r="33" ht="15" customHeight="1" s="37">
      <c r="A33" s="53" t="n"/>
      <c r="B33" s="53" t="n"/>
      <c r="C33" s="53" t="n"/>
      <c r="D33" s="54" t="n"/>
      <c r="E33" s="53" t="n"/>
      <c r="F33" s="53" t="n"/>
      <c r="G33" s="53" t="n"/>
      <c r="H33" s="53" t="n"/>
      <c r="I33" s="53" t="n"/>
    </row>
    <row r="34" ht="15" customHeight="1" s="37">
      <c r="A34" s="53" t="n"/>
      <c r="B34" s="53" t="n"/>
      <c r="C34" s="53" t="n"/>
      <c r="D34" s="54" t="n"/>
      <c r="E34" s="53" t="n"/>
      <c r="F34" s="53" t="n"/>
      <c r="G34" s="53" t="n"/>
      <c r="H34" s="53" t="n"/>
      <c r="I34" s="53" t="n"/>
    </row>
    <row r="35" ht="15" customHeight="1" s="37">
      <c r="A35" s="53" t="n"/>
      <c r="B35" s="53" t="n"/>
      <c r="C35" s="53" t="n"/>
      <c r="D35" s="54" t="n"/>
      <c r="E35" s="53" t="n"/>
      <c r="F35" s="53" t="n"/>
      <c r="G35" s="53" t="n"/>
      <c r="H35" s="53" t="n"/>
      <c r="I35" s="53" t="n"/>
    </row>
    <row r="36" ht="15" customHeight="1" s="37">
      <c r="A36" s="53" t="n"/>
      <c r="B36" s="53" t="n"/>
      <c r="C36" s="53" t="n"/>
      <c r="D36" s="54" t="n"/>
      <c r="E36" s="53" t="n"/>
      <c r="F36" s="53" t="n"/>
      <c r="G36" s="53" t="n"/>
      <c r="H36" s="53" t="n"/>
      <c r="I36" s="53" t="n"/>
    </row>
    <row r="37" ht="15" customHeight="1" s="37">
      <c r="A37" s="53" t="n"/>
      <c r="B37" s="53" t="n"/>
      <c r="C37" s="53" t="n"/>
      <c r="D37" s="54" t="n"/>
      <c r="E37" s="53" t="n"/>
      <c r="F37" s="53" t="n"/>
      <c r="G37" s="53" t="n"/>
      <c r="H37" s="53" t="n"/>
      <c r="I37" s="53" t="n"/>
    </row>
    <row r="38" ht="15" customHeight="1" s="37">
      <c r="A38" s="53" t="n"/>
      <c r="B38" s="53" t="n"/>
      <c r="C38" s="53" t="n"/>
      <c r="D38" s="54" t="n"/>
      <c r="E38" s="53" t="n"/>
      <c r="F38" s="53" t="n"/>
      <c r="G38" s="53" t="n"/>
      <c r="H38" s="53" t="n"/>
      <c r="I38" s="53" t="n"/>
    </row>
    <row r="39" ht="15" customHeight="1" s="37">
      <c r="A39" s="53" t="n"/>
      <c r="B39" s="53" t="n"/>
      <c r="C39" s="53" t="n"/>
      <c r="D39" s="54" t="n"/>
      <c r="E39" s="53" t="n"/>
      <c r="F39" s="53" t="n"/>
      <c r="G39" s="53" t="n"/>
      <c r="H39" s="53" t="n"/>
      <c r="I39" s="53" t="n"/>
    </row>
    <row r="40" ht="15" customHeight="1" s="37">
      <c r="A40" s="53" t="n"/>
      <c r="B40" s="53" t="n"/>
      <c r="C40" s="53" t="n"/>
      <c r="D40" s="54" t="n"/>
      <c r="E40" s="53" t="n"/>
      <c r="F40" s="53" t="n"/>
      <c r="G40" s="53" t="n"/>
      <c r="H40" s="53" t="n"/>
      <c r="I40" s="53" t="n"/>
    </row>
    <row r="41" ht="15" customHeight="1" s="37">
      <c r="A41" s="53" t="n"/>
      <c r="B41" s="53" t="n"/>
      <c r="C41" s="53" t="n"/>
      <c r="D41" s="54" t="n"/>
      <c r="E41" s="53" t="n"/>
      <c r="F41" s="53" t="n"/>
      <c r="G41" s="53" t="n"/>
      <c r="H41" s="53" t="n"/>
      <c r="I41" s="53" t="n"/>
    </row>
    <row r="42" ht="15" customHeight="1" s="37">
      <c r="A42" s="53" t="n"/>
      <c r="B42" s="53" t="n"/>
      <c r="C42" s="53" t="n"/>
      <c r="D42" s="54" t="n"/>
      <c r="E42" s="53" t="n"/>
      <c r="F42" s="53" t="n"/>
      <c r="G42" s="53" t="n"/>
      <c r="H42" s="53" t="n"/>
      <c r="I42" s="53" t="n"/>
    </row>
    <row r="43" ht="15" customHeight="1" s="37">
      <c r="A43" s="53" t="n"/>
      <c r="B43" s="53" t="n"/>
      <c r="C43" s="53" t="n"/>
      <c r="D43" s="54" t="n"/>
      <c r="E43" s="53" t="n"/>
      <c r="F43" s="53" t="n"/>
      <c r="G43" s="53" t="n"/>
      <c r="H43" s="53" t="n"/>
      <c r="I43" s="53" t="n"/>
    </row>
    <row r="44" ht="15" customHeight="1" s="37">
      <c r="A44" s="53" t="n"/>
      <c r="B44" s="53" t="n"/>
      <c r="C44" s="53" t="n"/>
      <c r="D44" s="54" t="n"/>
      <c r="E44" s="53" t="n"/>
      <c r="F44" s="53" t="n"/>
      <c r="G44" s="53" t="n"/>
      <c r="H44" s="53" t="n"/>
      <c r="I44" s="53" t="n"/>
    </row>
    <row r="45" ht="15" customHeight="1" s="37">
      <c r="A45" s="53" t="n"/>
      <c r="B45" s="53" t="n"/>
      <c r="C45" s="53" t="n"/>
      <c r="D45" s="54" t="n"/>
      <c r="E45" s="53" t="n"/>
      <c r="F45" s="53" t="n"/>
      <c r="G45" s="53" t="n"/>
      <c r="H45" s="53" t="n"/>
      <c r="I45" s="53" t="n"/>
    </row>
    <row r="46" ht="15" customHeight="1" s="37">
      <c r="A46" s="53" t="n"/>
      <c r="B46" s="53" t="n"/>
      <c r="C46" s="53" t="n"/>
      <c r="D46" s="54" t="n"/>
      <c r="E46" s="53" t="n"/>
      <c r="F46" s="53" t="n"/>
      <c r="G46" s="53" t="n"/>
      <c r="H46" s="53" t="n"/>
      <c r="I46" s="53" t="n"/>
    </row>
  </sheetData>
  <autoFilter ref="A4:I4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K2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36" min="1" max="1"/>
    <col width="22" customWidth="1" style="36" min="2" max="2"/>
    <col width="20" customWidth="1" style="36" min="3" max="3"/>
    <col width="15" customWidth="1" style="36" min="4" max="5"/>
    <col width="13" customWidth="1" style="37" min="5" max="5"/>
    <col width="11" customWidth="1" style="36" min="6" max="7"/>
    <col width="13" customWidth="1" style="37" min="7" max="7"/>
    <col width="20" customWidth="1" style="36" min="8" max="8"/>
    <col width="28" customWidth="1" style="36" min="9" max="9"/>
    <col width="14" customWidth="1" style="36" min="10" max="10"/>
    <col width="18" customWidth="1" style="36" min="11" max="11"/>
  </cols>
  <sheetData>
    <row r="1" ht="16.15" customHeight="1" s="37">
      <c r="A1" s="50" t="inlineStr">
        <is>
          <t>Log downtime</t>
        </is>
      </c>
    </row>
    <row r="2" ht="15" customHeight="1" s="37">
      <c r="A2" s="39" t="inlineStr">
        <is>
          <t>Durasi dihitung otomatis dalam menit. Tulis Pelanggan dan Layanan persis seperti di Parameter SLA; jika berbeda, downtime tidak terhitung di Laporan Bulanan. Downtime lintas bulan masuk seluruhnya ke bulan Mulai.</t>
        </is>
      </c>
    </row>
    <row r="4" ht="31.5" customHeight="1" s="37">
      <c r="A4" s="52" t="inlineStr">
        <is>
          <t>Tanggal</t>
        </is>
      </c>
      <c r="B4" s="52" t="inlineStr">
        <is>
          <t>Pelanggan</t>
        </is>
      </c>
      <c r="C4" s="52" t="inlineStr">
        <is>
          <t>Layanan</t>
        </is>
      </c>
      <c r="D4" s="52" t="inlineStr">
        <is>
          <t>Mulai</t>
        </is>
      </c>
      <c r="E4" s="52" t="inlineStr">
        <is>
          <t>Pulih</t>
        </is>
      </c>
      <c r="F4" s="52" t="inlineStr">
        <is>
          <t>Durasi (menit)</t>
        </is>
      </c>
      <c r="G4" s="52" t="inlineStr">
        <is>
          <t>Dihitung</t>
        </is>
      </c>
      <c r="H4" s="52" t="inlineStr">
        <is>
          <t>Penyebab</t>
        </is>
      </c>
      <c r="I4" s="52" t="inlineStr">
        <is>
          <t>Alasan pengecualian</t>
        </is>
      </c>
      <c r="J4" s="52" t="inlineStr">
        <is>
          <t>Ref tiket atau CR</t>
        </is>
      </c>
      <c r="K4" s="52" t="inlineStr">
        <is>
          <t>Catatan</t>
        </is>
      </c>
    </row>
    <row r="5" ht="23.85" customHeight="1" s="37">
      <c r="A5" s="55" t="n"/>
      <c r="B5" s="53" t="n"/>
      <c r="C5" s="53" t="n"/>
      <c r="D5" s="56" t="n"/>
      <c r="E5" s="56" t="n"/>
      <c r="F5" s="57">
        <f>IF(OR(D5="",E5=""),"",ROUND((E5-D5)*1440,0))</f>
        <v/>
      </c>
      <c r="G5" s="53" t="n"/>
      <c r="H5" s="53" t="n"/>
      <c r="I5" s="53" t="n"/>
      <c r="J5" s="53" t="n"/>
      <c r="K5" s="53" t="n"/>
    </row>
    <row r="6" ht="23.85" customHeight="1" s="37">
      <c r="A6" s="55" t="n"/>
      <c r="B6" s="53" t="n"/>
      <c r="C6" s="53" t="n"/>
      <c r="D6" s="56" t="n"/>
      <c r="E6" s="56" t="n"/>
      <c r="F6" s="57">
        <f>IF(OR(D6="",E6=""),"",ROUND((E6-D6)*1440,0))</f>
        <v/>
      </c>
      <c r="G6" s="53" t="n"/>
      <c r="H6" s="53" t="n"/>
      <c r="I6" s="53" t="n"/>
      <c r="J6" s="53" t="n"/>
      <c r="K6" s="53" t="n"/>
    </row>
    <row r="7" ht="15" customHeight="1" s="37">
      <c r="A7" s="55" t="n"/>
      <c r="B7" s="53" t="n"/>
      <c r="C7" s="53" t="n"/>
      <c r="D7" s="56" t="n"/>
      <c r="E7" s="56" t="n"/>
      <c r="F7" s="57">
        <f>IF(OR(D7="",E7=""),"",ROUND((E7-D7)*1440,0))</f>
        <v/>
      </c>
      <c r="G7" s="53" t="n"/>
      <c r="H7" s="53" t="n"/>
      <c r="I7" s="53" t="n"/>
      <c r="J7" s="53" t="n"/>
      <c r="K7" s="53" t="n"/>
    </row>
    <row r="8" ht="15" customHeight="1" s="37">
      <c r="A8" s="55" t="n"/>
      <c r="B8" s="53" t="n"/>
      <c r="C8" s="53" t="n"/>
      <c r="D8" s="56" t="n"/>
      <c r="E8" s="56" t="n"/>
      <c r="F8" s="57">
        <f>IF(OR(D8="",E8=""),"",ROUND((E8-D8)*1440,0))</f>
        <v/>
      </c>
      <c r="G8" s="53" t="n"/>
      <c r="H8" s="53" t="n"/>
      <c r="I8" s="53" t="n"/>
      <c r="J8" s="53" t="n"/>
      <c r="K8" s="53" t="n"/>
    </row>
    <row r="9" ht="15" customHeight="1" s="37">
      <c r="A9" s="55" t="n"/>
      <c r="B9" s="53" t="n"/>
      <c r="C9" s="53" t="n"/>
      <c r="D9" s="56" t="n"/>
      <c r="E9" s="56" t="n"/>
      <c r="F9" s="57">
        <f>IF(OR(D9="",E9=""),"",ROUND((E9-D9)*1440,0))</f>
        <v/>
      </c>
      <c r="G9" s="53" t="n"/>
      <c r="H9" s="53" t="n"/>
      <c r="I9" s="53" t="n"/>
      <c r="J9" s="53" t="n"/>
      <c r="K9" s="53" t="n"/>
    </row>
    <row r="10" ht="15" customHeight="1" s="37">
      <c r="A10" s="55" t="n"/>
      <c r="B10" s="53" t="n"/>
      <c r="C10" s="53" t="n"/>
      <c r="D10" s="56" t="n"/>
      <c r="E10" s="56" t="n"/>
      <c r="F10" s="57">
        <f>IF(OR(D10="",E10=""),"",ROUND((E10-D10)*1440,0))</f>
        <v/>
      </c>
      <c r="G10" s="53" t="n"/>
      <c r="H10" s="53" t="n"/>
      <c r="I10" s="53" t="n"/>
      <c r="J10" s="53" t="n"/>
      <c r="K10" s="53" t="n"/>
    </row>
    <row r="11" ht="15" customHeight="1" s="37">
      <c r="A11" s="55" t="n"/>
      <c r="B11" s="53" t="n"/>
      <c r="C11" s="53" t="n"/>
      <c r="D11" s="56" t="n"/>
      <c r="E11" s="56" t="n"/>
      <c r="F11" s="57">
        <f>IF(OR(D11="",E11=""),"",ROUND((E11-D11)*1440,0))</f>
        <v/>
      </c>
      <c r="G11" s="53" t="n"/>
      <c r="H11" s="53" t="n"/>
      <c r="I11" s="53" t="n"/>
      <c r="J11" s="53" t="n"/>
      <c r="K11" s="53" t="n"/>
    </row>
    <row r="12" ht="15" customHeight="1" s="37">
      <c r="A12" s="55" t="n"/>
      <c r="B12" s="53" t="n"/>
      <c r="C12" s="53" t="n"/>
      <c r="D12" s="56" t="n"/>
      <c r="E12" s="56" t="n"/>
      <c r="F12" s="57">
        <f>IF(OR(D12="",E12=""),"",ROUND((E12-D12)*1440,0))</f>
        <v/>
      </c>
      <c r="G12" s="53" t="n"/>
      <c r="H12" s="53" t="n"/>
      <c r="I12" s="53" t="n"/>
      <c r="J12" s="53" t="n"/>
      <c r="K12" s="53" t="n"/>
    </row>
    <row r="13" ht="15" customHeight="1" s="37">
      <c r="A13" s="55" t="n"/>
      <c r="B13" s="53" t="n"/>
      <c r="C13" s="53" t="n"/>
      <c r="D13" s="56" t="n"/>
      <c r="E13" s="56" t="n"/>
      <c r="F13" s="57">
        <f>IF(OR(D13="",E13=""),"",ROUND((E13-D13)*1440,0))</f>
        <v/>
      </c>
      <c r="G13" s="53" t="n"/>
      <c r="H13" s="53" t="n"/>
      <c r="I13" s="53" t="n"/>
      <c r="J13" s="53" t="n"/>
      <c r="K13" s="53" t="n"/>
    </row>
    <row r="14" ht="15" customHeight="1" s="37">
      <c r="A14" s="55" t="n"/>
      <c r="B14" s="53" t="n"/>
      <c r="C14" s="53" t="n"/>
      <c r="D14" s="56" t="n"/>
      <c r="E14" s="56" t="n"/>
      <c r="F14" s="57">
        <f>IF(OR(D14="",E14=""),"",ROUND((E14-D14)*1440,0))</f>
        <v/>
      </c>
      <c r="G14" s="53" t="n"/>
      <c r="H14" s="53" t="n"/>
      <c r="I14" s="53" t="n"/>
      <c r="J14" s="53" t="n"/>
      <c r="K14" s="53" t="n"/>
    </row>
    <row r="15" ht="15" customHeight="1" s="37">
      <c r="A15" s="55" t="n"/>
      <c r="B15" s="53" t="n"/>
      <c r="C15" s="53" t="n"/>
      <c r="D15" s="56" t="n"/>
      <c r="E15" s="56" t="n"/>
      <c r="F15" s="57">
        <f>IF(OR(D15="",E15=""),"",ROUND((E15-D15)*1440,0))</f>
        <v/>
      </c>
      <c r="G15" s="53" t="n"/>
      <c r="H15" s="53" t="n"/>
      <c r="I15" s="53" t="n"/>
      <c r="J15" s="53" t="n"/>
      <c r="K15" s="53" t="n"/>
    </row>
    <row r="16" ht="15" customHeight="1" s="37">
      <c r="A16" s="55" t="n"/>
      <c r="B16" s="53" t="n"/>
      <c r="C16" s="53" t="n"/>
      <c r="D16" s="56" t="n"/>
      <c r="E16" s="56" t="n"/>
      <c r="F16" s="57">
        <f>IF(OR(D16="",E16=""),"",ROUND((E16-D16)*1440,0))</f>
        <v/>
      </c>
      <c r="G16" s="53" t="n"/>
      <c r="H16" s="53" t="n"/>
      <c r="I16" s="53" t="n"/>
      <c r="J16" s="53" t="n"/>
      <c r="K16" s="53" t="n"/>
    </row>
    <row r="17" ht="15" customHeight="1" s="37">
      <c r="A17" s="55" t="n"/>
      <c r="B17" s="53" t="n"/>
      <c r="C17" s="53" t="n"/>
      <c r="D17" s="56" t="n"/>
      <c r="E17" s="56" t="n"/>
      <c r="F17" s="57">
        <f>IF(OR(D17="",E17=""),"",ROUND((E17-D17)*1440,0))</f>
        <v/>
      </c>
      <c r="G17" s="53" t="n"/>
      <c r="H17" s="53" t="n"/>
      <c r="I17" s="53" t="n"/>
      <c r="J17" s="53" t="n"/>
      <c r="K17" s="53" t="n"/>
    </row>
    <row r="18" ht="15" customHeight="1" s="37">
      <c r="A18" s="55" t="n"/>
      <c r="B18" s="53" t="n"/>
      <c r="C18" s="53" t="n"/>
      <c r="D18" s="56" t="n"/>
      <c r="E18" s="56" t="n"/>
      <c r="F18" s="57">
        <f>IF(OR(D18="",E18=""),"",ROUND((E18-D18)*1440,0))</f>
        <v/>
      </c>
      <c r="G18" s="53" t="n"/>
      <c r="H18" s="53" t="n"/>
      <c r="I18" s="53" t="n"/>
      <c r="J18" s="53" t="n"/>
      <c r="K18" s="53" t="n"/>
    </row>
    <row r="19" ht="15" customHeight="1" s="37">
      <c r="A19" s="55" t="n"/>
      <c r="B19" s="53" t="n"/>
      <c r="C19" s="53" t="n"/>
      <c r="D19" s="56" t="n"/>
      <c r="E19" s="56" t="n"/>
      <c r="F19" s="57">
        <f>IF(OR(D19="",E19=""),"",ROUND((E19-D19)*1440,0))</f>
        <v/>
      </c>
      <c r="G19" s="53" t="n"/>
      <c r="H19" s="53" t="n"/>
      <c r="I19" s="53" t="n"/>
      <c r="J19" s="53" t="n"/>
      <c r="K19" s="53" t="n"/>
    </row>
    <row r="20" ht="15" customHeight="1" s="37">
      <c r="A20" s="55" t="n"/>
      <c r="B20" s="53" t="n"/>
      <c r="C20" s="53" t="n"/>
      <c r="D20" s="56" t="n"/>
      <c r="E20" s="56" t="n"/>
      <c r="F20" s="57">
        <f>IF(OR(D20="",E20=""),"",ROUND((E20-D20)*1440,0))</f>
        <v/>
      </c>
      <c r="G20" s="53" t="n"/>
      <c r="H20" s="53" t="n"/>
      <c r="I20" s="53" t="n"/>
      <c r="J20" s="53" t="n"/>
      <c r="K20" s="53" t="n"/>
    </row>
    <row r="21" ht="15" customHeight="1" s="37">
      <c r="A21" s="55" t="n"/>
      <c r="B21" s="53" t="n"/>
      <c r="C21" s="53" t="n"/>
      <c r="D21" s="56" t="n"/>
      <c r="E21" s="56" t="n"/>
      <c r="F21" s="57">
        <f>IF(OR(D21="",E21=""),"",ROUND((E21-D21)*1440,0))</f>
        <v/>
      </c>
      <c r="G21" s="53" t="n"/>
      <c r="H21" s="53" t="n"/>
      <c r="I21" s="53" t="n"/>
      <c r="J21" s="53" t="n"/>
      <c r="K21" s="53" t="n"/>
    </row>
    <row r="22" ht="15" customHeight="1" s="37">
      <c r="A22" s="55" t="n"/>
      <c r="B22" s="53" t="n"/>
      <c r="C22" s="53" t="n"/>
      <c r="D22" s="56" t="n"/>
      <c r="E22" s="56" t="n"/>
      <c r="F22" s="57">
        <f>IF(OR(D22="",E22=""),"",ROUND((E22-D22)*1440,0))</f>
        <v/>
      </c>
      <c r="G22" s="53" t="n"/>
      <c r="H22" s="53" t="n"/>
      <c r="I22" s="53" t="n"/>
      <c r="J22" s="53" t="n"/>
      <c r="K22" s="53" t="n"/>
    </row>
    <row r="23" ht="15" customHeight="1" s="37">
      <c r="A23" s="55" t="n"/>
      <c r="B23" s="53" t="n"/>
      <c r="C23" s="53" t="n"/>
      <c r="D23" s="56" t="n"/>
      <c r="E23" s="56" t="n"/>
      <c r="F23" s="57">
        <f>IF(OR(D23="",E23=""),"",ROUND((E23-D23)*1440,0))</f>
        <v/>
      </c>
      <c r="G23" s="53" t="n"/>
      <c r="H23" s="53" t="n"/>
      <c r="I23" s="53" t="n"/>
      <c r="J23" s="53" t="n"/>
      <c r="K23" s="53" t="n"/>
    </row>
    <row r="24" ht="15" customHeight="1" s="37">
      <c r="A24" s="55" t="n"/>
      <c r="B24" s="53" t="n"/>
      <c r="C24" s="53" t="n"/>
      <c r="D24" s="56" t="n"/>
      <c r="E24" s="56" t="n"/>
      <c r="F24" s="57">
        <f>IF(OR(D24="",E24=""),"",ROUND((E24-D24)*1440,0))</f>
        <v/>
      </c>
      <c r="G24" s="53" t="n"/>
      <c r="H24" s="53" t="n"/>
      <c r="I24" s="53" t="n"/>
      <c r="J24" s="53" t="n"/>
      <c r="K24" s="53" t="n"/>
    </row>
    <row r="25" ht="15" customHeight="1" s="37">
      <c r="A25" s="55" t="n"/>
      <c r="B25" s="53" t="n"/>
      <c r="C25" s="53" t="n"/>
      <c r="D25" s="56" t="n"/>
      <c r="E25" s="56" t="n"/>
      <c r="F25" s="57">
        <f>IF(OR(D25="",E25=""),"",ROUND((E25-D25)*1440,0))</f>
        <v/>
      </c>
      <c r="G25" s="53" t="n"/>
      <c r="H25" s="53" t="n"/>
      <c r="I25" s="53" t="n"/>
      <c r="J25" s="53" t="n"/>
      <c r="K25" s="53" t="n"/>
    </row>
    <row r="26" ht="15" customHeight="1" s="37">
      <c r="A26" s="55" t="n"/>
      <c r="B26" s="53" t="n"/>
      <c r="C26" s="53" t="n"/>
      <c r="D26" s="56" t="n"/>
      <c r="E26" s="56" t="n"/>
      <c r="F26" s="57">
        <f>IF(OR(D26="",E26=""),"",ROUND((E26-D26)*1440,0))</f>
        <v/>
      </c>
      <c r="G26" s="53" t="n"/>
      <c r="H26" s="53" t="n"/>
      <c r="I26" s="53" t="n"/>
      <c r="J26" s="53" t="n"/>
      <c r="K26" s="53" t="n"/>
    </row>
    <row r="27" ht="15" customHeight="1" s="37">
      <c r="A27" s="55" t="n"/>
      <c r="B27" s="53" t="n"/>
      <c r="C27" s="53" t="n"/>
      <c r="D27" s="56" t="n"/>
      <c r="E27" s="56" t="n"/>
      <c r="F27" s="57">
        <f>IF(OR(D27="",E27=""),"",ROUND((E27-D27)*1440,0))</f>
        <v/>
      </c>
      <c r="G27" s="53" t="n"/>
      <c r="H27" s="53" t="n"/>
      <c r="I27" s="53" t="n"/>
      <c r="J27" s="53" t="n"/>
      <c r="K27" s="53" t="n"/>
    </row>
    <row r="28" ht="15" customHeight="1" s="37">
      <c r="A28" s="55" t="n"/>
      <c r="B28" s="53" t="n"/>
      <c r="C28" s="53" t="n"/>
      <c r="D28" s="56" t="n"/>
      <c r="E28" s="56" t="n"/>
      <c r="F28" s="57">
        <f>IF(OR(D28="",E28=""),"",ROUND((E28-D28)*1440,0))</f>
        <v/>
      </c>
      <c r="G28" s="53" t="n"/>
      <c r="H28" s="53" t="n"/>
      <c r="I28" s="53" t="n"/>
      <c r="J28" s="53" t="n"/>
      <c r="K28" s="53" t="n"/>
    </row>
    <row r="29" ht="15" customHeight="1" s="37">
      <c r="A29" s="55" t="n"/>
      <c r="B29" s="53" t="n"/>
      <c r="C29" s="53" t="n"/>
      <c r="D29" s="56" t="n"/>
      <c r="E29" s="56" t="n"/>
      <c r="F29" s="57">
        <f>IF(OR(D29="",E29=""),"",ROUND((E29-D29)*1440,0))</f>
        <v/>
      </c>
      <c r="G29" s="53" t="n"/>
      <c r="H29" s="53" t="n"/>
      <c r="I29" s="53" t="n"/>
      <c r="J29" s="53" t="n"/>
      <c r="K29" s="53" t="n"/>
    </row>
    <row r="30" ht="15" customHeight="1" s="37">
      <c r="A30" s="55" t="n"/>
      <c r="B30" s="53" t="n"/>
      <c r="C30" s="53" t="n"/>
      <c r="D30" s="56" t="n"/>
      <c r="E30" s="56" t="n"/>
      <c r="F30" s="57">
        <f>IF(OR(D30="",E30=""),"",ROUND((E30-D30)*1440,0))</f>
        <v/>
      </c>
      <c r="G30" s="53" t="n"/>
      <c r="H30" s="53" t="n"/>
      <c r="I30" s="53" t="n"/>
      <c r="J30" s="53" t="n"/>
      <c r="K30" s="53" t="n"/>
    </row>
    <row r="31" ht="15" customHeight="1" s="37">
      <c r="A31" s="55" t="n"/>
      <c r="B31" s="53" t="n"/>
      <c r="C31" s="53" t="n"/>
      <c r="D31" s="56" t="n"/>
      <c r="E31" s="56" t="n"/>
      <c r="F31" s="57">
        <f>IF(OR(D31="",E31=""),"",ROUND((E31-D31)*1440,0))</f>
        <v/>
      </c>
      <c r="G31" s="53" t="n"/>
      <c r="H31" s="53" t="n"/>
      <c r="I31" s="53" t="n"/>
      <c r="J31" s="53" t="n"/>
      <c r="K31" s="53" t="n"/>
    </row>
    <row r="32" ht="15" customHeight="1" s="37">
      <c r="A32" s="55" t="n"/>
      <c r="B32" s="53" t="n"/>
      <c r="C32" s="53" t="n"/>
      <c r="D32" s="56" t="n"/>
      <c r="E32" s="56" t="n"/>
      <c r="F32" s="57">
        <f>IF(OR(D32="",E32=""),"",ROUND((E32-D32)*1440,0))</f>
        <v/>
      </c>
      <c r="G32" s="53" t="n"/>
      <c r="H32" s="53" t="n"/>
      <c r="I32" s="53" t="n"/>
      <c r="J32" s="53" t="n"/>
      <c r="K32" s="53" t="n"/>
    </row>
    <row r="33" ht="15" customHeight="1" s="37">
      <c r="A33" s="55" t="n"/>
      <c r="B33" s="53" t="n"/>
      <c r="C33" s="53" t="n"/>
      <c r="D33" s="56" t="n"/>
      <c r="E33" s="56" t="n"/>
      <c r="F33" s="57">
        <f>IF(OR(D33="",E33=""),"",ROUND((E33-D33)*1440,0))</f>
        <v/>
      </c>
      <c r="G33" s="53" t="n"/>
      <c r="H33" s="53" t="n"/>
      <c r="I33" s="53" t="n"/>
      <c r="J33" s="53" t="n"/>
      <c r="K33" s="53" t="n"/>
    </row>
    <row r="34" ht="15" customHeight="1" s="37">
      <c r="A34" s="55" t="n"/>
      <c r="B34" s="53" t="n"/>
      <c r="C34" s="53" t="n"/>
      <c r="D34" s="56" t="n"/>
      <c r="E34" s="56" t="n"/>
      <c r="F34" s="57">
        <f>IF(OR(D34="",E34=""),"",ROUND((E34-D34)*1440,0))</f>
        <v/>
      </c>
      <c r="G34" s="53" t="n"/>
      <c r="H34" s="53" t="n"/>
      <c r="I34" s="53" t="n"/>
      <c r="J34" s="53" t="n"/>
      <c r="K34" s="53" t="n"/>
    </row>
    <row r="35" ht="15" customHeight="1" s="37">
      <c r="A35" s="55" t="n"/>
      <c r="B35" s="53" t="n"/>
      <c r="C35" s="53" t="n"/>
      <c r="D35" s="56" t="n"/>
      <c r="E35" s="56" t="n"/>
      <c r="F35" s="57">
        <f>IF(OR(D35="",E35=""),"",ROUND((E35-D35)*1440,0))</f>
        <v/>
      </c>
      <c r="G35" s="53" t="n"/>
      <c r="H35" s="53" t="n"/>
      <c r="I35" s="53" t="n"/>
      <c r="J35" s="53" t="n"/>
      <c r="K35" s="53" t="n"/>
    </row>
    <row r="36" ht="15" customHeight="1" s="37">
      <c r="A36" s="55" t="n"/>
      <c r="B36" s="53" t="n"/>
      <c r="C36" s="53" t="n"/>
      <c r="D36" s="56" t="n"/>
      <c r="E36" s="56" t="n"/>
      <c r="F36" s="57">
        <f>IF(OR(D36="",E36=""),"",ROUND((E36-D36)*1440,0))</f>
        <v/>
      </c>
      <c r="G36" s="53" t="n"/>
      <c r="H36" s="53" t="n"/>
      <c r="I36" s="53" t="n"/>
      <c r="J36" s="53" t="n"/>
      <c r="K36" s="53" t="n"/>
    </row>
    <row r="37" ht="15" customHeight="1" s="37">
      <c r="A37" s="55" t="n"/>
      <c r="B37" s="53" t="n"/>
      <c r="C37" s="53" t="n"/>
      <c r="D37" s="56" t="n"/>
      <c r="E37" s="56" t="n"/>
      <c r="F37" s="57">
        <f>IF(OR(D37="",E37=""),"",ROUND((E37-D37)*1440,0))</f>
        <v/>
      </c>
      <c r="G37" s="53" t="n"/>
      <c r="H37" s="53" t="n"/>
      <c r="I37" s="53" t="n"/>
      <c r="J37" s="53" t="n"/>
      <c r="K37" s="53" t="n"/>
    </row>
    <row r="38" ht="15" customHeight="1" s="37">
      <c r="A38" s="55" t="n"/>
      <c r="B38" s="53" t="n"/>
      <c r="C38" s="53" t="n"/>
      <c r="D38" s="56" t="n"/>
      <c r="E38" s="56" t="n"/>
      <c r="F38" s="57">
        <f>IF(OR(D38="",E38=""),"",ROUND((E38-D38)*1440,0))</f>
        <v/>
      </c>
      <c r="G38" s="53" t="n"/>
      <c r="H38" s="53" t="n"/>
      <c r="I38" s="53" t="n"/>
      <c r="J38" s="53" t="n"/>
      <c r="K38" s="53" t="n"/>
    </row>
    <row r="39" ht="15" customHeight="1" s="37">
      <c r="A39" s="55" t="n"/>
      <c r="B39" s="53" t="n"/>
      <c r="C39" s="53" t="n"/>
      <c r="D39" s="56" t="n"/>
      <c r="E39" s="56" t="n"/>
      <c r="F39" s="57">
        <f>IF(OR(D39="",E39=""),"",ROUND((E39-D39)*1440,0))</f>
        <v/>
      </c>
      <c r="G39" s="53" t="n"/>
      <c r="H39" s="53" t="n"/>
      <c r="I39" s="53" t="n"/>
      <c r="J39" s="53" t="n"/>
      <c r="K39" s="53" t="n"/>
    </row>
    <row r="40" ht="15" customHeight="1" s="37">
      <c r="A40" s="55" t="n"/>
      <c r="B40" s="53" t="n"/>
      <c r="C40" s="53" t="n"/>
      <c r="D40" s="56" t="n"/>
      <c r="E40" s="56" t="n"/>
      <c r="F40" s="57">
        <f>IF(OR(D40="",E40=""),"",ROUND((E40-D40)*1440,0))</f>
        <v/>
      </c>
      <c r="G40" s="53" t="n"/>
      <c r="H40" s="53" t="n"/>
      <c r="I40" s="53" t="n"/>
      <c r="J40" s="53" t="n"/>
      <c r="K40" s="53" t="n"/>
    </row>
    <row r="41" ht="15" customHeight="1" s="37">
      <c r="A41" s="55" t="n"/>
      <c r="B41" s="53" t="n"/>
      <c r="C41" s="53" t="n"/>
      <c r="D41" s="56" t="n"/>
      <c r="E41" s="56" t="n"/>
      <c r="F41" s="57">
        <f>IF(OR(D41="",E41=""),"",ROUND((E41-D41)*1440,0))</f>
        <v/>
      </c>
      <c r="G41" s="53" t="n"/>
      <c r="H41" s="53" t="n"/>
      <c r="I41" s="53" t="n"/>
      <c r="J41" s="53" t="n"/>
      <c r="K41" s="53" t="n"/>
    </row>
    <row r="42" ht="15" customHeight="1" s="37">
      <c r="A42" s="55" t="n"/>
      <c r="B42" s="53" t="n"/>
      <c r="C42" s="53" t="n"/>
      <c r="D42" s="56" t="n"/>
      <c r="E42" s="56" t="n"/>
      <c r="F42" s="57">
        <f>IF(OR(D42="",E42=""),"",ROUND((E42-D42)*1440,0))</f>
        <v/>
      </c>
      <c r="G42" s="53" t="n"/>
      <c r="H42" s="53" t="n"/>
      <c r="I42" s="53" t="n"/>
      <c r="J42" s="53" t="n"/>
      <c r="K42" s="53" t="n"/>
    </row>
    <row r="43" ht="15" customHeight="1" s="37">
      <c r="A43" s="55" t="n"/>
      <c r="B43" s="53" t="n"/>
      <c r="C43" s="53" t="n"/>
      <c r="D43" s="56" t="n"/>
      <c r="E43" s="56" t="n"/>
      <c r="F43" s="57">
        <f>IF(OR(D43="",E43=""),"",ROUND((E43-D43)*1440,0))</f>
        <v/>
      </c>
      <c r="G43" s="53" t="n"/>
      <c r="H43" s="53" t="n"/>
      <c r="I43" s="53" t="n"/>
      <c r="J43" s="53" t="n"/>
      <c r="K43" s="53" t="n"/>
    </row>
    <row r="44" ht="15" customHeight="1" s="37">
      <c r="A44" s="55" t="n"/>
      <c r="B44" s="53" t="n"/>
      <c r="C44" s="53" t="n"/>
      <c r="D44" s="56" t="n"/>
      <c r="E44" s="56" t="n"/>
      <c r="F44" s="57">
        <f>IF(OR(D44="",E44=""),"",ROUND((E44-D44)*1440,0))</f>
        <v/>
      </c>
      <c r="G44" s="53" t="n"/>
      <c r="H44" s="53" t="n"/>
      <c r="I44" s="53" t="n"/>
      <c r="J44" s="53" t="n"/>
      <c r="K44" s="53" t="n"/>
    </row>
    <row r="45" ht="15" customHeight="1" s="37">
      <c r="A45" s="55" t="n"/>
      <c r="B45" s="53" t="n"/>
      <c r="C45" s="53" t="n"/>
      <c r="D45" s="56" t="n"/>
      <c r="E45" s="56" t="n"/>
      <c r="F45" s="57">
        <f>IF(OR(D45="",E45=""),"",ROUND((E45-D45)*1440,0))</f>
        <v/>
      </c>
      <c r="G45" s="53" t="n"/>
      <c r="H45" s="53" t="n"/>
      <c r="I45" s="53" t="n"/>
      <c r="J45" s="53" t="n"/>
      <c r="K45" s="53" t="n"/>
    </row>
    <row r="46" ht="15" customHeight="1" s="37">
      <c r="A46" s="55" t="n"/>
      <c r="B46" s="53" t="n"/>
      <c r="C46" s="53" t="n"/>
      <c r="D46" s="56" t="n"/>
      <c r="E46" s="56" t="n"/>
      <c r="F46" s="57">
        <f>IF(OR(D46="",E46=""),"",ROUND((E46-D46)*1440,0))</f>
        <v/>
      </c>
      <c r="G46" s="53" t="n"/>
      <c r="H46" s="53" t="n"/>
      <c r="I46" s="53" t="n"/>
      <c r="J46" s="53" t="n"/>
      <c r="K46" s="53" t="n"/>
    </row>
    <row r="47" ht="15" customHeight="1" s="37">
      <c r="A47" s="55" t="n"/>
      <c r="B47" s="53" t="n"/>
      <c r="C47" s="53" t="n"/>
      <c r="D47" s="56" t="n"/>
      <c r="E47" s="56" t="n"/>
      <c r="F47" s="57">
        <f>IF(OR(D47="",E47=""),"",ROUND((E47-D47)*1440,0))</f>
        <v/>
      </c>
      <c r="G47" s="53" t="n"/>
      <c r="H47" s="53" t="n"/>
      <c r="I47" s="53" t="n"/>
      <c r="J47" s="53" t="n"/>
      <c r="K47" s="53" t="n"/>
    </row>
    <row r="48" ht="15" customHeight="1" s="37">
      <c r="A48" s="55" t="n"/>
      <c r="B48" s="53" t="n"/>
      <c r="C48" s="53" t="n"/>
      <c r="D48" s="56" t="n"/>
      <c r="E48" s="56" t="n"/>
      <c r="F48" s="57">
        <f>IF(OR(D48="",E48=""),"",ROUND((E48-D48)*1440,0))</f>
        <v/>
      </c>
      <c r="G48" s="53" t="n"/>
      <c r="H48" s="53" t="n"/>
      <c r="I48" s="53" t="n"/>
      <c r="J48" s="53" t="n"/>
      <c r="K48" s="53" t="n"/>
    </row>
    <row r="49" ht="15" customHeight="1" s="37">
      <c r="A49" s="55" t="n"/>
      <c r="B49" s="53" t="n"/>
      <c r="C49" s="53" t="n"/>
      <c r="D49" s="56" t="n"/>
      <c r="E49" s="56" t="n"/>
      <c r="F49" s="57">
        <f>IF(OR(D49="",E49=""),"",ROUND((E49-D49)*1440,0))</f>
        <v/>
      </c>
      <c r="G49" s="53" t="n"/>
      <c r="H49" s="53" t="n"/>
      <c r="I49" s="53" t="n"/>
      <c r="J49" s="53" t="n"/>
      <c r="K49" s="53" t="n"/>
    </row>
    <row r="50" ht="15" customHeight="1" s="37">
      <c r="A50" s="55" t="n"/>
      <c r="B50" s="53" t="n"/>
      <c r="C50" s="53" t="n"/>
      <c r="D50" s="56" t="n"/>
      <c r="E50" s="56" t="n"/>
      <c r="F50" s="57">
        <f>IF(OR(D50="",E50=""),"",ROUND((E50-D50)*1440,0))</f>
        <v/>
      </c>
      <c r="G50" s="53" t="n"/>
      <c r="H50" s="53" t="n"/>
      <c r="I50" s="53" t="n"/>
      <c r="J50" s="53" t="n"/>
      <c r="K50" s="53" t="n"/>
    </row>
    <row r="51" ht="15" customHeight="1" s="37">
      <c r="A51" s="55" t="n"/>
      <c r="B51" s="53" t="n"/>
      <c r="C51" s="53" t="n"/>
      <c r="D51" s="56" t="n"/>
      <c r="E51" s="56" t="n"/>
      <c r="F51" s="57">
        <f>IF(OR(D51="",E51=""),"",ROUND((E51-D51)*1440,0))</f>
        <v/>
      </c>
      <c r="G51" s="53" t="n"/>
      <c r="H51" s="53" t="n"/>
      <c r="I51" s="53" t="n"/>
      <c r="J51" s="53" t="n"/>
      <c r="K51" s="53" t="n"/>
    </row>
    <row r="52" ht="15" customHeight="1" s="37">
      <c r="A52" s="55" t="n"/>
      <c r="B52" s="53" t="n"/>
      <c r="C52" s="53" t="n"/>
      <c r="D52" s="56" t="n"/>
      <c r="E52" s="56" t="n"/>
      <c r="F52" s="57">
        <f>IF(OR(D52="",E52=""),"",ROUND((E52-D52)*1440,0))</f>
        <v/>
      </c>
      <c r="G52" s="53" t="n"/>
      <c r="H52" s="53" t="n"/>
      <c r="I52" s="53" t="n"/>
      <c r="J52" s="53" t="n"/>
      <c r="K52" s="53" t="n"/>
    </row>
    <row r="53" ht="15" customHeight="1" s="37">
      <c r="A53" s="55" t="n"/>
      <c r="B53" s="53" t="n"/>
      <c r="C53" s="53" t="n"/>
      <c r="D53" s="56" t="n"/>
      <c r="E53" s="56" t="n"/>
      <c r="F53" s="57">
        <f>IF(OR(D53="",E53=""),"",ROUND((E53-D53)*1440,0))</f>
        <v/>
      </c>
      <c r="G53" s="53" t="n"/>
      <c r="H53" s="53" t="n"/>
      <c r="I53" s="53" t="n"/>
      <c r="J53" s="53" t="n"/>
      <c r="K53" s="53" t="n"/>
    </row>
    <row r="54" ht="15" customHeight="1" s="37">
      <c r="A54" s="55" t="n"/>
      <c r="B54" s="53" t="n"/>
      <c r="C54" s="53" t="n"/>
      <c r="D54" s="56" t="n"/>
      <c r="E54" s="56" t="n"/>
      <c r="F54" s="57">
        <f>IF(OR(D54="",E54=""),"",ROUND((E54-D54)*1440,0))</f>
        <v/>
      </c>
      <c r="G54" s="53" t="n"/>
      <c r="H54" s="53" t="n"/>
      <c r="I54" s="53" t="n"/>
      <c r="J54" s="53" t="n"/>
      <c r="K54" s="53" t="n"/>
    </row>
    <row r="55" ht="15" customHeight="1" s="37">
      <c r="A55" s="55" t="n"/>
      <c r="B55" s="53" t="n"/>
      <c r="C55" s="53" t="n"/>
      <c r="D55" s="56" t="n"/>
      <c r="E55" s="56" t="n"/>
      <c r="F55" s="57">
        <f>IF(OR(D55="",E55=""),"",ROUND((E55-D55)*1440,0))</f>
        <v/>
      </c>
      <c r="G55" s="53" t="n"/>
      <c r="H55" s="53" t="n"/>
      <c r="I55" s="53" t="n"/>
      <c r="J55" s="53" t="n"/>
      <c r="K55" s="53" t="n"/>
    </row>
    <row r="56" ht="15" customHeight="1" s="37">
      <c r="A56" s="55" t="n"/>
      <c r="B56" s="53" t="n"/>
      <c r="C56" s="53" t="n"/>
      <c r="D56" s="56" t="n"/>
      <c r="E56" s="56" t="n"/>
      <c r="F56" s="57">
        <f>IF(OR(D56="",E56=""),"",ROUND((E56-D56)*1440,0))</f>
        <v/>
      </c>
      <c r="G56" s="53" t="n"/>
      <c r="H56" s="53" t="n"/>
      <c r="I56" s="53" t="n"/>
      <c r="J56" s="53" t="n"/>
      <c r="K56" s="53" t="n"/>
    </row>
    <row r="57" ht="15" customHeight="1" s="37">
      <c r="A57" s="55" t="n"/>
      <c r="B57" s="53" t="n"/>
      <c r="C57" s="53" t="n"/>
      <c r="D57" s="56" t="n"/>
      <c r="E57" s="56" t="n"/>
      <c r="F57" s="57">
        <f>IF(OR(D57="",E57=""),"",ROUND((E57-D57)*1440,0))</f>
        <v/>
      </c>
      <c r="G57" s="53" t="n"/>
      <c r="H57" s="53" t="n"/>
      <c r="I57" s="53" t="n"/>
      <c r="J57" s="53" t="n"/>
      <c r="K57" s="53" t="n"/>
    </row>
    <row r="58" ht="15" customHeight="1" s="37">
      <c r="A58" s="55" t="n"/>
      <c r="B58" s="53" t="n"/>
      <c r="C58" s="53" t="n"/>
      <c r="D58" s="56" t="n"/>
      <c r="E58" s="56" t="n"/>
      <c r="F58" s="57">
        <f>IF(OR(D58="",E58=""),"",ROUND((E58-D58)*1440,0))</f>
        <v/>
      </c>
      <c r="G58" s="53" t="n"/>
      <c r="H58" s="53" t="n"/>
      <c r="I58" s="53" t="n"/>
      <c r="J58" s="53" t="n"/>
      <c r="K58" s="53" t="n"/>
    </row>
    <row r="59" ht="15" customHeight="1" s="37">
      <c r="A59" s="55" t="n"/>
      <c r="B59" s="53" t="n"/>
      <c r="C59" s="53" t="n"/>
      <c r="D59" s="56" t="n"/>
      <c r="E59" s="56" t="n"/>
      <c r="F59" s="57">
        <f>IF(OR(D59="",E59=""),"",ROUND((E59-D59)*1440,0))</f>
        <v/>
      </c>
      <c r="G59" s="53" t="n"/>
      <c r="H59" s="53" t="n"/>
      <c r="I59" s="53" t="n"/>
      <c r="J59" s="53" t="n"/>
      <c r="K59" s="53" t="n"/>
    </row>
    <row r="60" ht="15" customHeight="1" s="37">
      <c r="A60" s="55" t="n"/>
      <c r="B60" s="53" t="n"/>
      <c r="C60" s="53" t="n"/>
      <c r="D60" s="56" t="n"/>
      <c r="E60" s="56" t="n"/>
      <c r="F60" s="57">
        <f>IF(OR(D60="",E60=""),"",ROUND((E60-D60)*1440,0))</f>
        <v/>
      </c>
      <c r="G60" s="53" t="n"/>
      <c r="H60" s="53" t="n"/>
      <c r="I60" s="53" t="n"/>
      <c r="J60" s="53" t="n"/>
      <c r="K60" s="53" t="n"/>
    </row>
    <row r="61" ht="15" customHeight="1" s="37">
      <c r="A61" s="55" t="n"/>
      <c r="B61" s="53" t="n"/>
      <c r="C61" s="53" t="n"/>
      <c r="D61" s="56" t="n"/>
      <c r="E61" s="56" t="n"/>
      <c r="F61" s="57">
        <f>IF(OR(D61="",E61=""),"",ROUND((E61-D61)*1440,0))</f>
        <v/>
      </c>
      <c r="G61" s="53" t="n"/>
      <c r="H61" s="53" t="n"/>
      <c r="I61" s="53" t="n"/>
      <c r="J61" s="53" t="n"/>
      <c r="K61" s="53" t="n"/>
    </row>
    <row r="62" ht="15" customHeight="1" s="37">
      <c r="A62" s="55" t="n"/>
      <c r="B62" s="53" t="n"/>
      <c r="C62" s="53" t="n"/>
      <c r="D62" s="56" t="n"/>
      <c r="E62" s="56" t="n"/>
      <c r="F62" s="57">
        <f>IF(OR(D62="",E62=""),"",ROUND((E62-D62)*1440,0))</f>
        <v/>
      </c>
      <c r="G62" s="53" t="n"/>
      <c r="H62" s="53" t="n"/>
      <c r="I62" s="53" t="n"/>
      <c r="J62" s="53" t="n"/>
      <c r="K62" s="53" t="n"/>
    </row>
    <row r="63" ht="15" customHeight="1" s="37">
      <c r="A63" s="55" t="n"/>
      <c r="B63" s="53" t="n"/>
      <c r="C63" s="53" t="n"/>
      <c r="D63" s="56" t="n"/>
      <c r="E63" s="56" t="n"/>
      <c r="F63" s="57">
        <f>IF(OR(D63="",E63=""),"",ROUND((E63-D63)*1440,0))</f>
        <v/>
      </c>
      <c r="G63" s="53" t="n"/>
      <c r="H63" s="53" t="n"/>
      <c r="I63" s="53" t="n"/>
      <c r="J63" s="53" t="n"/>
      <c r="K63" s="53" t="n"/>
    </row>
    <row r="64" ht="15" customHeight="1" s="37">
      <c r="A64" s="55" t="n"/>
      <c r="B64" s="53" t="n"/>
      <c r="C64" s="53" t="n"/>
      <c r="D64" s="56" t="n"/>
      <c r="E64" s="56" t="n"/>
      <c r="F64" s="57">
        <f>IF(OR(D64="",E64=""),"",ROUND((E64-D64)*1440,0))</f>
        <v/>
      </c>
      <c r="G64" s="53" t="n"/>
      <c r="H64" s="53" t="n"/>
      <c r="I64" s="53" t="n"/>
      <c r="J64" s="53" t="n"/>
      <c r="K64" s="53" t="n"/>
    </row>
    <row r="65" ht="15" customHeight="1" s="37">
      <c r="A65" s="55" t="n"/>
      <c r="B65" s="53" t="n"/>
      <c r="C65" s="53" t="n"/>
      <c r="D65" s="56" t="n"/>
      <c r="E65" s="56" t="n"/>
      <c r="F65" s="57">
        <f>IF(OR(D65="",E65=""),"",ROUND((E65-D65)*1440,0))</f>
        <v/>
      </c>
      <c r="G65" s="53" t="n"/>
      <c r="H65" s="53" t="n"/>
      <c r="I65" s="53" t="n"/>
      <c r="J65" s="53" t="n"/>
      <c r="K65" s="53" t="n"/>
    </row>
    <row r="66" ht="15" customHeight="1" s="37">
      <c r="A66" s="55" t="n"/>
      <c r="B66" s="53" t="n"/>
      <c r="C66" s="53" t="n"/>
      <c r="D66" s="56" t="n"/>
      <c r="E66" s="56" t="n"/>
      <c r="F66" s="57">
        <f>IF(OR(D66="",E66=""),"",ROUND((E66-D66)*1440,0))</f>
        <v/>
      </c>
      <c r="G66" s="53" t="n"/>
      <c r="H66" s="53" t="n"/>
      <c r="I66" s="53" t="n"/>
      <c r="J66" s="53" t="n"/>
      <c r="K66" s="53" t="n"/>
    </row>
    <row r="67" ht="15" customHeight="1" s="37">
      <c r="A67" s="55" t="n"/>
      <c r="B67" s="53" t="n"/>
      <c r="C67" s="53" t="n"/>
      <c r="D67" s="56" t="n"/>
      <c r="E67" s="56" t="n"/>
      <c r="F67" s="57">
        <f>IF(OR(D67="",E67=""),"",ROUND((E67-D67)*1440,0))</f>
        <v/>
      </c>
      <c r="G67" s="53" t="n"/>
      <c r="H67" s="53" t="n"/>
      <c r="I67" s="53" t="n"/>
      <c r="J67" s="53" t="n"/>
      <c r="K67" s="53" t="n"/>
    </row>
    <row r="68" ht="15" customHeight="1" s="37">
      <c r="A68" s="55" t="n"/>
      <c r="B68" s="53" t="n"/>
      <c r="C68" s="53" t="n"/>
      <c r="D68" s="56" t="n"/>
      <c r="E68" s="56" t="n"/>
      <c r="F68" s="57">
        <f>IF(OR(D68="",E68=""),"",ROUND((E68-D68)*1440,0))</f>
        <v/>
      </c>
      <c r="G68" s="53" t="n"/>
      <c r="H68" s="53" t="n"/>
      <c r="I68" s="53" t="n"/>
      <c r="J68" s="53" t="n"/>
      <c r="K68" s="53" t="n"/>
    </row>
    <row r="69" ht="15" customHeight="1" s="37">
      <c r="A69" s="55" t="n"/>
      <c r="B69" s="53" t="n"/>
      <c r="C69" s="53" t="n"/>
      <c r="D69" s="56" t="n"/>
      <c r="E69" s="56" t="n"/>
      <c r="F69" s="57">
        <f>IF(OR(D69="",E69=""),"",ROUND((E69-D69)*1440,0))</f>
        <v/>
      </c>
      <c r="G69" s="53" t="n"/>
      <c r="H69" s="53" t="n"/>
      <c r="I69" s="53" t="n"/>
      <c r="J69" s="53" t="n"/>
      <c r="K69" s="53" t="n"/>
    </row>
    <row r="70" ht="15" customHeight="1" s="37">
      <c r="A70" s="55" t="n"/>
      <c r="B70" s="53" t="n"/>
      <c r="C70" s="53" t="n"/>
      <c r="D70" s="56" t="n"/>
      <c r="E70" s="56" t="n"/>
      <c r="F70" s="57">
        <f>IF(OR(D70="",E70=""),"",ROUND((E70-D70)*1440,0))</f>
        <v/>
      </c>
      <c r="G70" s="53" t="n"/>
      <c r="H70" s="53" t="n"/>
      <c r="I70" s="53" t="n"/>
      <c r="J70" s="53" t="n"/>
      <c r="K70" s="53" t="n"/>
    </row>
    <row r="71" ht="15" customHeight="1" s="37">
      <c r="A71" s="55" t="n"/>
      <c r="B71" s="53" t="n"/>
      <c r="C71" s="53" t="n"/>
      <c r="D71" s="56" t="n"/>
      <c r="E71" s="56" t="n"/>
      <c r="F71" s="57">
        <f>IF(OR(D71="",E71=""),"",ROUND((E71-D71)*1440,0))</f>
        <v/>
      </c>
      <c r="G71" s="53" t="n"/>
      <c r="H71" s="53" t="n"/>
      <c r="I71" s="53" t="n"/>
      <c r="J71" s="53" t="n"/>
      <c r="K71" s="53" t="n"/>
    </row>
    <row r="72" ht="15" customHeight="1" s="37">
      <c r="A72" s="55" t="n"/>
      <c r="B72" s="53" t="n"/>
      <c r="C72" s="53" t="n"/>
      <c r="D72" s="56" t="n"/>
      <c r="E72" s="56" t="n"/>
      <c r="F72" s="57">
        <f>IF(OR(D72="",E72=""),"",ROUND((E72-D72)*1440,0))</f>
        <v/>
      </c>
      <c r="G72" s="53" t="n"/>
      <c r="H72" s="53" t="n"/>
      <c r="I72" s="53" t="n"/>
      <c r="J72" s="53" t="n"/>
      <c r="K72" s="53" t="n"/>
    </row>
    <row r="73" ht="15" customHeight="1" s="37">
      <c r="A73" s="55" t="n"/>
      <c r="B73" s="53" t="n"/>
      <c r="C73" s="53" t="n"/>
      <c r="D73" s="56" t="n"/>
      <c r="E73" s="56" t="n"/>
      <c r="F73" s="57">
        <f>IF(OR(D73="",E73=""),"",ROUND((E73-D73)*1440,0))</f>
        <v/>
      </c>
      <c r="G73" s="53" t="n"/>
      <c r="H73" s="53" t="n"/>
      <c r="I73" s="53" t="n"/>
      <c r="J73" s="53" t="n"/>
      <c r="K73" s="53" t="n"/>
    </row>
    <row r="74" ht="15" customHeight="1" s="37">
      <c r="A74" s="55" t="n"/>
      <c r="B74" s="53" t="n"/>
      <c r="C74" s="53" t="n"/>
      <c r="D74" s="56" t="n"/>
      <c r="E74" s="56" t="n"/>
      <c r="F74" s="57">
        <f>IF(OR(D74="",E74=""),"",ROUND((E74-D74)*1440,0))</f>
        <v/>
      </c>
      <c r="G74" s="53" t="n"/>
      <c r="H74" s="53" t="n"/>
      <c r="I74" s="53" t="n"/>
      <c r="J74" s="53" t="n"/>
      <c r="K74" s="53" t="n"/>
    </row>
    <row r="75" ht="15" customHeight="1" s="37">
      <c r="A75" s="55" t="n"/>
      <c r="B75" s="53" t="n"/>
      <c r="C75" s="53" t="n"/>
      <c r="D75" s="56" t="n"/>
      <c r="E75" s="56" t="n"/>
      <c r="F75" s="57">
        <f>IF(OR(D75="",E75=""),"",ROUND((E75-D75)*1440,0))</f>
        <v/>
      </c>
      <c r="G75" s="53" t="n"/>
      <c r="H75" s="53" t="n"/>
      <c r="I75" s="53" t="n"/>
      <c r="J75" s="53" t="n"/>
      <c r="K75" s="53" t="n"/>
    </row>
    <row r="76" ht="15" customHeight="1" s="37">
      <c r="A76" s="55" t="n"/>
      <c r="B76" s="53" t="n"/>
      <c r="C76" s="53" t="n"/>
      <c r="D76" s="56" t="n"/>
      <c r="E76" s="56" t="n"/>
      <c r="F76" s="57">
        <f>IF(OR(D76="",E76=""),"",ROUND((E76-D76)*1440,0))</f>
        <v/>
      </c>
      <c r="G76" s="53" t="n"/>
      <c r="H76" s="53" t="n"/>
      <c r="I76" s="53" t="n"/>
      <c r="J76" s="53" t="n"/>
      <c r="K76" s="53" t="n"/>
    </row>
    <row r="77" ht="15" customHeight="1" s="37">
      <c r="A77" s="55" t="n"/>
      <c r="B77" s="53" t="n"/>
      <c r="C77" s="53" t="n"/>
      <c r="D77" s="56" t="n"/>
      <c r="E77" s="56" t="n"/>
      <c r="F77" s="57">
        <f>IF(OR(D77="",E77=""),"",ROUND((E77-D77)*1440,0))</f>
        <v/>
      </c>
      <c r="G77" s="53" t="n"/>
      <c r="H77" s="53" t="n"/>
      <c r="I77" s="53" t="n"/>
      <c r="J77" s="53" t="n"/>
      <c r="K77" s="53" t="n"/>
    </row>
    <row r="78" ht="15" customHeight="1" s="37">
      <c r="A78" s="55" t="n"/>
      <c r="B78" s="53" t="n"/>
      <c r="C78" s="53" t="n"/>
      <c r="D78" s="56" t="n"/>
      <c r="E78" s="56" t="n"/>
      <c r="F78" s="57">
        <f>IF(OR(D78="",E78=""),"",ROUND((E78-D78)*1440,0))</f>
        <v/>
      </c>
      <c r="G78" s="53" t="n"/>
      <c r="H78" s="53" t="n"/>
      <c r="I78" s="53" t="n"/>
      <c r="J78" s="53" t="n"/>
      <c r="K78" s="53" t="n"/>
    </row>
    <row r="79" ht="15" customHeight="1" s="37">
      <c r="A79" s="55" t="n"/>
      <c r="B79" s="53" t="n"/>
      <c r="C79" s="53" t="n"/>
      <c r="D79" s="56" t="n"/>
      <c r="E79" s="56" t="n"/>
      <c r="F79" s="57">
        <f>IF(OR(D79="",E79=""),"",ROUND((E79-D79)*1440,0))</f>
        <v/>
      </c>
      <c r="G79" s="53" t="n"/>
      <c r="H79" s="53" t="n"/>
      <c r="I79" s="53" t="n"/>
      <c r="J79" s="53" t="n"/>
      <c r="K79" s="53" t="n"/>
    </row>
    <row r="80" ht="15" customHeight="1" s="37">
      <c r="A80" s="55" t="n"/>
      <c r="B80" s="53" t="n"/>
      <c r="C80" s="53" t="n"/>
      <c r="D80" s="56" t="n"/>
      <c r="E80" s="56" t="n"/>
      <c r="F80" s="57">
        <f>IF(OR(D80="",E80=""),"",ROUND((E80-D80)*1440,0))</f>
        <v/>
      </c>
      <c r="G80" s="53" t="n"/>
      <c r="H80" s="53" t="n"/>
      <c r="I80" s="53" t="n"/>
      <c r="J80" s="53" t="n"/>
      <c r="K80" s="53" t="n"/>
    </row>
    <row r="81" ht="15" customHeight="1" s="37">
      <c r="A81" s="55" t="n"/>
      <c r="B81" s="53" t="n"/>
      <c r="C81" s="53" t="n"/>
      <c r="D81" s="56" t="n"/>
      <c r="E81" s="56" t="n"/>
      <c r="F81" s="57">
        <f>IF(OR(D81="",E81=""),"",ROUND((E81-D81)*1440,0))</f>
        <v/>
      </c>
      <c r="G81" s="53" t="n"/>
      <c r="H81" s="53" t="n"/>
      <c r="I81" s="53" t="n"/>
      <c r="J81" s="53" t="n"/>
      <c r="K81" s="53" t="n"/>
    </row>
    <row r="82" ht="15" customHeight="1" s="37">
      <c r="A82" s="55" t="n"/>
      <c r="B82" s="53" t="n"/>
      <c r="C82" s="53" t="n"/>
      <c r="D82" s="56" t="n"/>
      <c r="E82" s="56" t="n"/>
      <c r="F82" s="57">
        <f>IF(OR(D82="",E82=""),"",ROUND((E82-D82)*1440,0))</f>
        <v/>
      </c>
      <c r="G82" s="53" t="n"/>
      <c r="H82" s="53" t="n"/>
      <c r="I82" s="53" t="n"/>
      <c r="J82" s="53" t="n"/>
      <c r="K82" s="53" t="n"/>
    </row>
    <row r="83" ht="15" customHeight="1" s="37">
      <c r="A83" s="55" t="n"/>
      <c r="B83" s="53" t="n"/>
      <c r="C83" s="53" t="n"/>
      <c r="D83" s="56" t="n"/>
      <c r="E83" s="56" t="n"/>
      <c r="F83" s="57">
        <f>IF(OR(D83="",E83=""),"",ROUND((E83-D83)*1440,0))</f>
        <v/>
      </c>
      <c r="G83" s="53" t="n"/>
      <c r="H83" s="53" t="n"/>
      <c r="I83" s="53" t="n"/>
      <c r="J83" s="53" t="n"/>
      <c r="K83" s="53" t="n"/>
    </row>
    <row r="84" ht="15" customHeight="1" s="37">
      <c r="A84" s="55" t="n"/>
      <c r="B84" s="53" t="n"/>
      <c r="C84" s="53" t="n"/>
      <c r="D84" s="56" t="n"/>
      <c r="E84" s="56" t="n"/>
      <c r="F84" s="57">
        <f>IF(OR(D84="",E84=""),"",ROUND((E84-D84)*1440,0))</f>
        <v/>
      </c>
      <c r="G84" s="53" t="n"/>
      <c r="H84" s="53" t="n"/>
      <c r="I84" s="53" t="n"/>
      <c r="J84" s="53" t="n"/>
      <c r="K84" s="53" t="n"/>
    </row>
    <row r="85" ht="15" customHeight="1" s="37">
      <c r="A85" s="55" t="n"/>
      <c r="B85" s="53" t="n"/>
      <c r="C85" s="53" t="n"/>
      <c r="D85" s="56" t="n"/>
      <c r="E85" s="56" t="n"/>
      <c r="F85" s="57">
        <f>IF(OR(D85="",E85=""),"",ROUND((E85-D85)*1440,0))</f>
        <v/>
      </c>
      <c r="G85" s="53" t="n"/>
      <c r="H85" s="53" t="n"/>
      <c r="I85" s="53" t="n"/>
      <c r="J85" s="53" t="n"/>
      <c r="K85" s="53" t="n"/>
    </row>
    <row r="86" ht="15" customHeight="1" s="37">
      <c r="A86" s="55" t="n"/>
      <c r="B86" s="53" t="n"/>
      <c r="C86" s="53" t="n"/>
      <c r="D86" s="56" t="n"/>
      <c r="E86" s="56" t="n"/>
      <c r="F86" s="57">
        <f>IF(OR(D86="",E86=""),"",ROUND((E86-D86)*1440,0))</f>
        <v/>
      </c>
      <c r="G86" s="53" t="n"/>
      <c r="H86" s="53" t="n"/>
      <c r="I86" s="53" t="n"/>
      <c r="J86" s="53" t="n"/>
      <c r="K86" s="53" t="n"/>
    </row>
    <row r="87" ht="15" customHeight="1" s="37">
      <c r="A87" s="55" t="n"/>
      <c r="B87" s="53" t="n"/>
      <c r="C87" s="53" t="n"/>
      <c r="D87" s="56" t="n"/>
      <c r="E87" s="56" t="n"/>
      <c r="F87" s="57">
        <f>IF(OR(D87="",E87=""),"",ROUND((E87-D87)*1440,0))</f>
        <v/>
      </c>
      <c r="G87" s="53" t="n"/>
      <c r="H87" s="53" t="n"/>
      <c r="I87" s="53" t="n"/>
      <c r="J87" s="53" t="n"/>
      <c r="K87" s="53" t="n"/>
    </row>
    <row r="88" ht="15" customHeight="1" s="37">
      <c r="A88" s="55" t="n"/>
      <c r="B88" s="53" t="n"/>
      <c r="C88" s="53" t="n"/>
      <c r="D88" s="56" t="n"/>
      <c r="E88" s="56" t="n"/>
      <c r="F88" s="57">
        <f>IF(OR(D88="",E88=""),"",ROUND((E88-D88)*1440,0))</f>
        <v/>
      </c>
      <c r="G88" s="53" t="n"/>
      <c r="H88" s="53" t="n"/>
      <c r="I88" s="53" t="n"/>
      <c r="J88" s="53" t="n"/>
      <c r="K88" s="53" t="n"/>
    </row>
    <row r="89" ht="15" customHeight="1" s="37">
      <c r="A89" s="55" t="n"/>
      <c r="B89" s="53" t="n"/>
      <c r="C89" s="53" t="n"/>
      <c r="D89" s="56" t="n"/>
      <c r="E89" s="56" t="n"/>
      <c r="F89" s="57">
        <f>IF(OR(D89="",E89=""),"",ROUND((E89-D89)*1440,0))</f>
        <v/>
      </c>
      <c r="G89" s="53" t="n"/>
      <c r="H89" s="53" t="n"/>
      <c r="I89" s="53" t="n"/>
      <c r="J89" s="53" t="n"/>
      <c r="K89" s="53" t="n"/>
    </row>
    <row r="90" ht="15" customHeight="1" s="37">
      <c r="A90" s="55" t="n"/>
      <c r="B90" s="53" t="n"/>
      <c r="C90" s="53" t="n"/>
      <c r="D90" s="56" t="n"/>
      <c r="E90" s="56" t="n"/>
      <c r="F90" s="57">
        <f>IF(OR(D90="",E90=""),"",ROUND((E90-D90)*1440,0))</f>
        <v/>
      </c>
      <c r="G90" s="53" t="n"/>
      <c r="H90" s="53" t="n"/>
      <c r="I90" s="53" t="n"/>
      <c r="J90" s="53" t="n"/>
      <c r="K90" s="53" t="n"/>
    </row>
    <row r="91" ht="15" customHeight="1" s="37">
      <c r="A91" s="55" t="n"/>
      <c r="B91" s="53" t="n"/>
      <c r="C91" s="53" t="n"/>
      <c r="D91" s="56" t="n"/>
      <c r="E91" s="56" t="n"/>
      <c r="F91" s="57">
        <f>IF(OR(D91="",E91=""),"",ROUND((E91-D91)*1440,0))</f>
        <v/>
      </c>
      <c r="G91" s="53" t="n"/>
      <c r="H91" s="53" t="n"/>
      <c r="I91" s="53" t="n"/>
      <c r="J91" s="53" t="n"/>
      <c r="K91" s="53" t="n"/>
    </row>
    <row r="92" ht="15" customHeight="1" s="37">
      <c r="A92" s="55" t="n"/>
      <c r="B92" s="53" t="n"/>
      <c r="C92" s="53" t="n"/>
      <c r="D92" s="56" t="n"/>
      <c r="E92" s="56" t="n"/>
      <c r="F92" s="57">
        <f>IF(OR(D92="",E92=""),"",ROUND((E92-D92)*1440,0))</f>
        <v/>
      </c>
      <c r="G92" s="53" t="n"/>
      <c r="H92" s="53" t="n"/>
      <c r="I92" s="53" t="n"/>
      <c r="J92" s="53" t="n"/>
      <c r="K92" s="53" t="n"/>
    </row>
    <row r="93" ht="15" customHeight="1" s="37">
      <c r="A93" s="55" t="n"/>
      <c r="B93" s="53" t="n"/>
      <c r="C93" s="53" t="n"/>
      <c r="D93" s="56" t="n"/>
      <c r="E93" s="56" t="n"/>
      <c r="F93" s="57">
        <f>IF(OR(D93="",E93=""),"",ROUND((E93-D93)*1440,0))</f>
        <v/>
      </c>
      <c r="G93" s="53" t="n"/>
      <c r="H93" s="53" t="n"/>
      <c r="I93" s="53" t="n"/>
      <c r="J93" s="53" t="n"/>
      <c r="K93" s="53" t="n"/>
    </row>
    <row r="94" ht="15" customHeight="1" s="37">
      <c r="A94" s="55" t="n"/>
      <c r="B94" s="53" t="n"/>
      <c r="C94" s="53" t="n"/>
      <c r="D94" s="56" t="n"/>
      <c r="E94" s="56" t="n"/>
      <c r="F94" s="57">
        <f>IF(OR(D94="",E94=""),"",ROUND((E94-D94)*1440,0))</f>
        <v/>
      </c>
      <c r="G94" s="53" t="n"/>
      <c r="H94" s="53" t="n"/>
      <c r="I94" s="53" t="n"/>
      <c r="J94" s="53" t="n"/>
      <c r="K94" s="53" t="n"/>
    </row>
    <row r="95" ht="15" customHeight="1" s="37">
      <c r="A95" s="55" t="n"/>
      <c r="B95" s="53" t="n"/>
      <c r="C95" s="53" t="n"/>
      <c r="D95" s="56" t="n"/>
      <c r="E95" s="56" t="n"/>
      <c r="F95" s="57">
        <f>IF(OR(D95="",E95=""),"",ROUND((E95-D95)*1440,0))</f>
        <v/>
      </c>
      <c r="G95" s="53" t="n"/>
      <c r="H95" s="53" t="n"/>
      <c r="I95" s="53" t="n"/>
      <c r="J95" s="53" t="n"/>
      <c r="K95" s="53" t="n"/>
    </row>
    <row r="96" ht="15" customHeight="1" s="37">
      <c r="A96" s="55" t="n"/>
      <c r="B96" s="53" t="n"/>
      <c r="C96" s="53" t="n"/>
      <c r="D96" s="56" t="n"/>
      <c r="E96" s="56" t="n"/>
      <c r="F96" s="57">
        <f>IF(OR(D96="",E96=""),"",ROUND((E96-D96)*1440,0))</f>
        <v/>
      </c>
      <c r="G96" s="53" t="n"/>
      <c r="H96" s="53" t="n"/>
      <c r="I96" s="53" t="n"/>
      <c r="J96" s="53" t="n"/>
      <c r="K96" s="53" t="n"/>
    </row>
    <row r="97" ht="15" customHeight="1" s="37">
      <c r="A97" s="55" t="n"/>
      <c r="B97" s="53" t="n"/>
      <c r="C97" s="53" t="n"/>
      <c r="D97" s="56" t="n"/>
      <c r="E97" s="56" t="n"/>
      <c r="F97" s="57">
        <f>IF(OR(D97="",E97=""),"",ROUND((E97-D97)*1440,0))</f>
        <v/>
      </c>
      <c r="G97" s="53" t="n"/>
      <c r="H97" s="53" t="n"/>
      <c r="I97" s="53" t="n"/>
      <c r="J97" s="53" t="n"/>
      <c r="K97" s="53" t="n"/>
    </row>
    <row r="98" ht="15" customHeight="1" s="37">
      <c r="A98" s="55" t="n"/>
      <c r="B98" s="53" t="n"/>
      <c r="C98" s="53" t="n"/>
      <c r="D98" s="56" t="n"/>
      <c r="E98" s="56" t="n"/>
      <c r="F98" s="57">
        <f>IF(OR(D98="",E98=""),"",ROUND((E98-D98)*1440,0))</f>
        <v/>
      </c>
      <c r="G98" s="53" t="n"/>
      <c r="H98" s="53" t="n"/>
      <c r="I98" s="53" t="n"/>
      <c r="J98" s="53" t="n"/>
      <c r="K98" s="53" t="n"/>
    </row>
    <row r="99" ht="15" customHeight="1" s="37">
      <c r="A99" s="55" t="n"/>
      <c r="B99" s="53" t="n"/>
      <c r="C99" s="53" t="n"/>
      <c r="D99" s="56" t="n"/>
      <c r="E99" s="56" t="n"/>
      <c r="F99" s="57">
        <f>IF(OR(D99="",E99=""),"",ROUND((E99-D99)*1440,0))</f>
        <v/>
      </c>
      <c r="G99" s="53" t="n"/>
      <c r="H99" s="53" t="n"/>
      <c r="I99" s="53" t="n"/>
      <c r="J99" s="53" t="n"/>
      <c r="K99" s="53" t="n"/>
    </row>
    <row r="100" ht="15" customHeight="1" s="37">
      <c r="A100" s="55" t="n"/>
      <c r="B100" s="53" t="n"/>
      <c r="C100" s="53" t="n"/>
      <c r="D100" s="56" t="n"/>
      <c r="E100" s="56" t="n"/>
      <c r="F100" s="57">
        <f>IF(OR(D100="",E100=""),"",ROUND((E100-D100)*1440,0))</f>
        <v/>
      </c>
      <c r="G100" s="53" t="n"/>
      <c r="H100" s="53" t="n"/>
      <c r="I100" s="53" t="n"/>
      <c r="J100" s="53" t="n"/>
      <c r="K100" s="53" t="n"/>
    </row>
    <row r="101" ht="15" customHeight="1" s="37">
      <c r="A101" s="55" t="n"/>
      <c r="B101" s="53" t="n"/>
      <c r="C101" s="53" t="n"/>
      <c r="D101" s="56" t="n"/>
      <c r="E101" s="56" t="n"/>
      <c r="F101" s="57">
        <f>IF(OR(D101="",E101=""),"",ROUND((E101-D101)*1440,0))</f>
        <v/>
      </c>
      <c r="G101" s="53" t="n"/>
      <c r="H101" s="53" t="n"/>
      <c r="I101" s="53" t="n"/>
      <c r="J101" s="53" t="n"/>
      <c r="K101" s="53" t="n"/>
    </row>
    <row r="102" ht="15" customHeight="1" s="37">
      <c r="A102" s="55" t="n"/>
      <c r="B102" s="53" t="n"/>
      <c r="C102" s="53" t="n"/>
      <c r="D102" s="56" t="n"/>
      <c r="E102" s="56" t="n"/>
      <c r="F102" s="57">
        <f>IF(OR(D102="",E102=""),"",ROUND((E102-D102)*1440,0))</f>
        <v/>
      </c>
      <c r="G102" s="53" t="n"/>
      <c r="H102" s="53" t="n"/>
      <c r="I102" s="53" t="n"/>
      <c r="J102" s="53" t="n"/>
      <c r="K102" s="53" t="n"/>
    </row>
    <row r="103" ht="15" customHeight="1" s="37">
      <c r="A103" s="55" t="n"/>
      <c r="B103" s="53" t="n"/>
      <c r="C103" s="53" t="n"/>
      <c r="D103" s="56" t="n"/>
      <c r="E103" s="56" t="n"/>
      <c r="F103" s="57">
        <f>IF(OR(D103="",E103=""),"",ROUND((E103-D103)*1440,0))</f>
        <v/>
      </c>
      <c r="G103" s="53" t="n"/>
      <c r="H103" s="53" t="n"/>
      <c r="I103" s="53" t="n"/>
      <c r="J103" s="53" t="n"/>
      <c r="K103" s="53" t="n"/>
    </row>
    <row r="104" ht="15" customHeight="1" s="37">
      <c r="A104" s="55" t="n"/>
      <c r="B104" s="53" t="n"/>
      <c r="C104" s="53" t="n"/>
      <c r="D104" s="56" t="n"/>
      <c r="E104" s="56" t="n"/>
      <c r="F104" s="57">
        <f>IF(OR(D104="",E104=""),"",ROUND((E104-D104)*1440,0))</f>
        <v/>
      </c>
      <c r="G104" s="53" t="n"/>
      <c r="H104" s="53" t="n"/>
      <c r="I104" s="53" t="n"/>
      <c r="J104" s="53" t="n"/>
      <c r="K104" s="53" t="n"/>
    </row>
    <row r="105" ht="15" customHeight="1" s="37">
      <c r="A105" s="55" t="n"/>
      <c r="B105" s="53" t="n"/>
      <c r="C105" s="53" t="n"/>
      <c r="D105" s="56" t="n"/>
      <c r="E105" s="56" t="n"/>
      <c r="F105" s="57">
        <f>IF(OR(D105="",E105=""),"",ROUND((E105-D105)*1440,0))</f>
        <v/>
      </c>
      <c r="G105" s="53" t="n"/>
      <c r="H105" s="53" t="n"/>
      <c r="I105" s="53" t="n"/>
      <c r="J105" s="53" t="n"/>
      <c r="K105" s="53" t="n"/>
    </row>
    <row r="106" ht="15" customHeight="1" s="37">
      <c r="A106" s="55" t="n"/>
      <c r="B106" s="53" t="n"/>
      <c r="C106" s="53" t="n"/>
      <c r="D106" s="56" t="n"/>
      <c r="E106" s="56" t="n"/>
      <c r="F106" s="57">
        <f>IF(OR(D106="",E106=""),"",ROUND((E106-D106)*1440,0))</f>
        <v/>
      </c>
      <c r="G106" s="53" t="n"/>
      <c r="H106" s="53" t="n"/>
      <c r="I106" s="53" t="n"/>
      <c r="J106" s="53" t="n"/>
      <c r="K106" s="53" t="n"/>
    </row>
    <row r="107" ht="15" customHeight="1" s="37">
      <c r="A107" s="55" t="n"/>
      <c r="B107" s="53" t="n"/>
      <c r="C107" s="53" t="n"/>
      <c r="D107" s="56" t="n"/>
      <c r="E107" s="56" t="n"/>
      <c r="F107" s="57">
        <f>IF(OR(D107="",E107=""),"",ROUND((E107-D107)*1440,0))</f>
        <v/>
      </c>
      <c r="G107" s="53" t="n"/>
      <c r="H107" s="53" t="n"/>
      <c r="I107" s="53" t="n"/>
      <c r="J107" s="53" t="n"/>
      <c r="K107" s="53" t="n"/>
    </row>
    <row r="108" ht="15" customHeight="1" s="37">
      <c r="A108" s="55" t="n"/>
      <c r="B108" s="53" t="n"/>
      <c r="C108" s="53" t="n"/>
      <c r="D108" s="56" t="n"/>
      <c r="E108" s="56" t="n"/>
      <c r="F108" s="57">
        <f>IF(OR(D108="",E108=""),"",ROUND((E108-D108)*1440,0))</f>
        <v/>
      </c>
      <c r="G108" s="53" t="n"/>
      <c r="H108" s="53" t="n"/>
      <c r="I108" s="53" t="n"/>
      <c r="J108" s="53" t="n"/>
      <c r="K108" s="53" t="n"/>
    </row>
    <row r="109" ht="15" customHeight="1" s="37">
      <c r="A109" s="55" t="n"/>
      <c r="B109" s="53" t="n"/>
      <c r="C109" s="53" t="n"/>
      <c r="D109" s="56" t="n"/>
      <c r="E109" s="56" t="n"/>
      <c r="F109" s="57">
        <f>IF(OR(D109="",E109=""),"",ROUND((E109-D109)*1440,0))</f>
        <v/>
      </c>
      <c r="G109" s="53" t="n"/>
      <c r="H109" s="53" t="n"/>
      <c r="I109" s="53" t="n"/>
      <c r="J109" s="53" t="n"/>
      <c r="K109" s="53" t="n"/>
    </row>
    <row r="110" ht="15" customHeight="1" s="37">
      <c r="A110" s="55" t="n"/>
      <c r="B110" s="53" t="n"/>
      <c r="C110" s="53" t="n"/>
      <c r="D110" s="56" t="n"/>
      <c r="E110" s="56" t="n"/>
      <c r="F110" s="57">
        <f>IF(OR(D110="",E110=""),"",ROUND((E110-D110)*1440,0))</f>
        <v/>
      </c>
      <c r="G110" s="53" t="n"/>
      <c r="H110" s="53" t="n"/>
      <c r="I110" s="53" t="n"/>
      <c r="J110" s="53" t="n"/>
      <c r="K110" s="53" t="n"/>
    </row>
    <row r="111" ht="15" customHeight="1" s="37">
      <c r="A111" s="55" t="n"/>
      <c r="B111" s="53" t="n"/>
      <c r="C111" s="53" t="n"/>
      <c r="D111" s="56" t="n"/>
      <c r="E111" s="56" t="n"/>
      <c r="F111" s="57">
        <f>IF(OR(D111="",E111=""),"",ROUND((E111-D111)*1440,0))</f>
        <v/>
      </c>
      <c r="G111" s="53" t="n"/>
      <c r="H111" s="53" t="n"/>
      <c r="I111" s="53" t="n"/>
      <c r="J111" s="53" t="n"/>
      <c r="K111" s="53" t="n"/>
    </row>
    <row r="112" ht="15" customHeight="1" s="37">
      <c r="A112" s="55" t="n"/>
      <c r="B112" s="53" t="n"/>
      <c r="C112" s="53" t="n"/>
      <c r="D112" s="56" t="n"/>
      <c r="E112" s="56" t="n"/>
      <c r="F112" s="57">
        <f>IF(OR(D112="",E112=""),"",ROUND((E112-D112)*1440,0))</f>
        <v/>
      </c>
      <c r="G112" s="53" t="n"/>
      <c r="H112" s="53" t="n"/>
      <c r="I112" s="53" t="n"/>
      <c r="J112" s="53" t="n"/>
      <c r="K112" s="53" t="n"/>
    </row>
    <row r="113" ht="15" customHeight="1" s="37">
      <c r="A113" s="55" t="n"/>
      <c r="B113" s="53" t="n"/>
      <c r="C113" s="53" t="n"/>
      <c r="D113" s="56" t="n"/>
      <c r="E113" s="56" t="n"/>
      <c r="F113" s="57">
        <f>IF(OR(D113="",E113=""),"",ROUND((E113-D113)*1440,0))</f>
        <v/>
      </c>
      <c r="G113" s="53" t="n"/>
      <c r="H113" s="53" t="n"/>
      <c r="I113" s="53" t="n"/>
      <c r="J113" s="53" t="n"/>
      <c r="K113" s="53" t="n"/>
    </row>
    <row r="114" ht="15" customHeight="1" s="37">
      <c r="A114" s="55" t="n"/>
      <c r="B114" s="53" t="n"/>
      <c r="C114" s="53" t="n"/>
      <c r="D114" s="56" t="n"/>
      <c r="E114" s="56" t="n"/>
      <c r="F114" s="57">
        <f>IF(OR(D114="",E114=""),"",ROUND((E114-D114)*1440,0))</f>
        <v/>
      </c>
      <c r="G114" s="53" t="n"/>
      <c r="H114" s="53" t="n"/>
      <c r="I114" s="53" t="n"/>
      <c r="J114" s="53" t="n"/>
      <c r="K114" s="53" t="n"/>
    </row>
    <row r="115" ht="15" customHeight="1" s="37">
      <c r="A115" s="55" t="n"/>
      <c r="B115" s="53" t="n"/>
      <c r="C115" s="53" t="n"/>
      <c r="D115" s="56" t="n"/>
      <c r="E115" s="56" t="n"/>
      <c r="F115" s="57">
        <f>IF(OR(D115="",E115=""),"",ROUND((E115-D115)*1440,0))</f>
        <v/>
      </c>
      <c r="G115" s="53" t="n"/>
      <c r="H115" s="53" t="n"/>
      <c r="I115" s="53" t="n"/>
      <c r="J115" s="53" t="n"/>
      <c r="K115" s="53" t="n"/>
    </row>
    <row r="116" ht="15" customHeight="1" s="37">
      <c r="A116" s="55" t="n"/>
      <c r="B116" s="53" t="n"/>
      <c r="C116" s="53" t="n"/>
      <c r="D116" s="56" t="n"/>
      <c r="E116" s="56" t="n"/>
      <c r="F116" s="57">
        <f>IF(OR(D116="",E116=""),"",ROUND((E116-D116)*1440,0))</f>
        <v/>
      </c>
      <c r="G116" s="53" t="n"/>
      <c r="H116" s="53" t="n"/>
      <c r="I116" s="53" t="n"/>
      <c r="J116" s="53" t="n"/>
      <c r="K116" s="53" t="n"/>
    </row>
    <row r="117" ht="15" customHeight="1" s="37">
      <c r="A117" s="55" t="n"/>
      <c r="B117" s="53" t="n"/>
      <c r="C117" s="53" t="n"/>
      <c r="D117" s="56" t="n"/>
      <c r="E117" s="56" t="n"/>
      <c r="F117" s="57">
        <f>IF(OR(D117="",E117=""),"",ROUND((E117-D117)*1440,0))</f>
        <v/>
      </c>
      <c r="G117" s="53" t="n"/>
      <c r="H117" s="53" t="n"/>
      <c r="I117" s="53" t="n"/>
      <c r="J117" s="53" t="n"/>
      <c r="K117" s="53" t="n"/>
    </row>
    <row r="118" ht="15" customHeight="1" s="37">
      <c r="A118" s="55" t="n"/>
      <c r="B118" s="53" t="n"/>
      <c r="C118" s="53" t="n"/>
      <c r="D118" s="56" t="n"/>
      <c r="E118" s="56" t="n"/>
      <c r="F118" s="57">
        <f>IF(OR(D118="",E118=""),"",ROUND((E118-D118)*1440,0))</f>
        <v/>
      </c>
      <c r="G118" s="53" t="n"/>
      <c r="H118" s="53" t="n"/>
      <c r="I118" s="53" t="n"/>
      <c r="J118" s="53" t="n"/>
      <c r="K118" s="53" t="n"/>
    </row>
    <row r="119" ht="15" customHeight="1" s="37">
      <c r="A119" s="55" t="n"/>
      <c r="B119" s="53" t="n"/>
      <c r="C119" s="53" t="n"/>
      <c r="D119" s="56" t="n"/>
      <c r="E119" s="56" t="n"/>
      <c r="F119" s="57">
        <f>IF(OR(D119="",E119=""),"",ROUND((E119-D119)*1440,0))</f>
        <v/>
      </c>
      <c r="G119" s="53" t="n"/>
      <c r="H119" s="53" t="n"/>
      <c r="I119" s="53" t="n"/>
      <c r="J119" s="53" t="n"/>
      <c r="K119" s="53" t="n"/>
    </row>
    <row r="120" ht="15" customHeight="1" s="37">
      <c r="A120" s="55" t="n"/>
      <c r="B120" s="53" t="n"/>
      <c r="C120" s="53" t="n"/>
      <c r="D120" s="56" t="n"/>
      <c r="E120" s="56" t="n"/>
      <c r="F120" s="57">
        <f>IF(OR(D120="",E120=""),"",ROUND((E120-D120)*1440,0))</f>
        <v/>
      </c>
      <c r="G120" s="53" t="n"/>
      <c r="H120" s="53" t="n"/>
      <c r="I120" s="53" t="n"/>
      <c r="J120" s="53" t="n"/>
      <c r="K120" s="53" t="n"/>
    </row>
    <row r="121" ht="15" customHeight="1" s="37">
      <c r="A121" s="55" t="n"/>
      <c r="B121" s="53" t="n"/>
      <c r="C121" s="53" t="n"/>
      <c r="D121" s="56" t="n"/>
      <c r="E121" s="56" t="n"/>
      <c r="F121" s="57">
        <f>IF(OR(D121="",E121=""),"",ROUND((E121-D121)*1440,0))</f>
        <v/>
      </c>
      <c r="G121" s="53" t="n"/>
      <c r="H121" s="53" t="n"/>
      <c r="I121" s="53" t="n"/>
      <c r="J121" s="53" t="n"/>
      <c r="K121" s="53" t="n"/>
    </row>
    <row r="122" ht="15" customHeight="1" s="37">
      <c r="A122" s="55" t="n"/>
      <c r="B122" s="53" t="n"/>
      <c r="C122" s="53" t="n"/>
      <c r="D122" s="56" t="n"/>
      <c r="E122" s="56" t="n"/>
      <c r="F122" s="57">
        <f>IF(OR(D122="",E122=""),"",ROUND((E122-D122)*1440,0))</f>
        <v/>
      </c>
      <c r="G122" s="53" t="n"/>
      <c r="H122" s="53" t="n"/>
      <c r="I122" s="53" t="n"/>
      <c r="J122" s="53" t="n"/>
      <c r="K122" s="53" t="n"/>
    </row>
    <row r="123" ht="15" customHeight="1" s="37">
      <c r="A123" s="55" t="n"/>
      <c r="B123" s="53" t="n"/>
      <c r="C123" s="53" t="n"/>
      <c r="D123" s="56" t="n"/>
      <c r="E123" s="56" t="n"/>
      <c r="F123" s="57">
        <f>IF(OR(D123="",E123=""),"",ROUND((E123-D123)*1440,0))</f>
        <v/>
      </c>
      <c r="G123" s="53" t="n"/>
      <c r="H123" s="53" t="n"/>
      <c r="I123" s="53" t="n"/>
      <c r="J123" s="53" t="n"/>
      <c r="K123" s="53" t="n"/>
    </row>
    <row r="124" ht="15" customHeight="1" s="37">
      <c r="A124" s="55" t="n"/>
      <c r="B124" s="53" t="n"/>
      <c r="C124" s="53" t="n"/>
      <c r="D124" s="56" t="n"/>
      <c r="E124" s="56" t="n"/>
      <c r="F124" s="57">
        <f>IF(OR(D124="",E124=""),"",ROUND((E124-D124)*1440,0))</f>
        <v/>
      </c>
      <c r="G124" s="53" t="n"/>
      <c r="H124" s="53" t="n"/>
      <c r="I124" s="53" t="n"/>
      <c r="J124" s="53" t="n"/>
      <c r="K124" s="53" t="n"/>
    </row>
    <row r="125" ht="15" customHeight="1" s="37">
      <c r="A125" s="55" t="n"/>
      <c r="B125" s="53" t="n"/>
      <c r="C125" s="53" t="n"/>
      <c r="D125" s="56" t="n"/>
      <c r="E125" s="56" t="n"/>
      <c r="F125" s="57">
        <f>IF(OR(D125="",E125=""),"",ROUND((E125-D125)*1440,0))</f>
        <v/>
      </c>
      <c r="G125" s="53" t="n"/>
      <c r="H125" s="53" t="n"/>
      <c r="I125" s="53" t="n"/>
      <c r="J125" s="53" t="n"/>
      <c r="K125" s="53" t="n"/>
    </row>
    <row r="126" ht="15" customHeight="1" s="37">
      <c r="A126" s="55" t="n"/>
      <c r="B126" s="53" t="n"/>
      <c r="C126" s="53" t="n"/>
      <c r="D126" s="56" t="n"/>
      <c r="E126" s="56" t="n"/>
      <c r="F126" s="57">
        <f>IF(OR(D126="",E126=""),"",ROUND((E126-D126)*1440,0))</f>
        <v/>
      </c>
      <c r="G126" s="53" t="n"/>
      <c r="H126" s="53" t="n"/>
      <c r="I126" s="53" t="n"/>
      <c r="J126" s="53" t="n"/>
      <c r="K126" s="53" t="n"/>
    </row>
    <row r="127" ht="15" customHeight="1" s="37">
      <c r="A127" s="55" t="n"/>
      <c r="B127" s="53" t="n"/>
      <c r="C127" s="53" t="n"/>
      <c r="D127" s="56" t="n"/>
      <c r="E127" s="56" t="n"/>
      <c r="F127" s="57">
        <f>IF(OR(D127="",E127=""),"",ROUND((E127-D127)*1440,0))</f>
        <v/>
      </c>
      <c r="G127" s="53" t="n"/>
      <c r="H127" s="53" t="n"/>
      <c r="I127" s="53" t="n"/>
      <c r="J127" s="53" t="n"/>
      <c r="K127" s="53" t="n"/>
    </row>
    <row r="128" ht="15" customHeight="1" s="37">
      <c r="A128" s="55" t="n"/>
      <c r="B128" s="53" t="n"/>
      <c r="C128" s="53" t="n"/>
      <c r="D128" s="56" t="n"/>
      <c r="E128" s="56" t="n"/>
      <c r="F128" s="57">
        <f>IF(OR(D128="",E128=""),"",ROUND((E128-D128)*1440,0))</f>
        <v/>
      </c>
      <c r="G128" s="53" t="n"/>
      <c r="H128" s="53" t="n"/>
      <c r="I128" s="53" t="n"/>
      <c r="J128" s="53" t="n"/>
      <c r="K128" s="53" t="n"/>
    </row>
    <row r="129" ht="15" customHeight="1" s="37">
      <c r="A129" s="55" t="n"/>
      <c r="B129" s="53" t="n"/>
      <c r="C129" s="53" t="n"/>
      <c r="D129" s="56" t="n"/>
      <c r="E129" s="56" t="n"/>
      <c r="F129" s="57">
        <f>IF(OR(D129="",E129=""),"",ROUND((E129-D129)*1440,0))</f>
        <v/>
      </c>
      <c r="G129" s="53" t="n"/>
      <c r="H129" s="53" t="n"/>
      <c r="I129" s="53" t="n"/>
      <c r="J129" s="53" t="n"/>
      <c r="K129" s="53" t="n"/>
    </row>
    <row r="130" ht="15" customHeight="1" s="37">
      <c r="A130" s="55" t="n"/>
      <c r="B130" s="53" t="n"/>
      <c r="C130" s="53" t="n"/>
      <c r="D130" s="56" t="n"/>
      <c r="E130" s="56" t="n"/>
      <c r="F130" s="57">
        <f>IF(OR(D130="",E130=""),"",ROUND((E130-D130)*1440,0))</f>
        <v/>
      </c>
      <c r="G130" s="53" t="n"/>
      <c r="H130" s="53" t="n"/>
      <c r="I130" s="53" t="n"/>
      <c r="J130" s="53" t="n"/>
      <c r="K130" s="53" t="n"/>
    </row>
    <row r="131" ht="15" customHeight="1" s="37">
      <c r="A131" s="55" t="n"/>
      <c r="B131" s="53" t="n"/>
      <c r="C131" s="53" t="n"/>
      <c r="D131" s="56" t="n"/>
      <c r="E131" s="56" t="n"/>
      <c r="F131" s="57">
        <f>IF(OR(D131="",E131=""),"",ROUND((E131-D131)*1440,0))</f>
        <v/>
      </c>
      <c r="G131" s="53" t="n"/>
      <c r="H131" s="53" t="n"/>
      <c r="I131" s="53" t="n"/>
      <c r="J131" s="53" t="n"/>
      <c r="K131" s="53" t="n"/>
    </row>
    <row r="132" ht="15" customHeight="1" s="37">
      <c r="A132" s="55" t="n"/>
      <c r="B132" s="53" t="n"/>
      <c r="C132" s="53" t="n"/>
      <c r="D132" s="56" t="n"/>
      <c r="E132" s="56" t="n"/>
      <c r="F132" s="57">
        <f>IF(OR(D132="",E132=""),"",ROUND((E132-D132)*1440,0))</f>
        <v/>
      </c>
      <c r="G132" s="53" t="n"/>
      <c r="H132" s="53" t="n"/>
      <c r="I132" s="53" t="n"/>
      <c r="J132" s="53" t="n"/>
      <c r="K132" s="53" t="n"/>
    </row>
    <row r="133" ht="15" customHeight="1" s="37">
      <c r="A133" s="55" t="n"/>
      <c r="B133" s="53" t="n"/>
      <c r="C133" s="53" t="n"/>
      <c r="D133" s="56" t="n"/>
      <c r="E133" s="56" t="n"/>
      <c r="F133" s="57">
        <f>IF(OR(D133="",E133=""),"",ROUND((E133-D133)*1440,0))</f>
        <v/>
      </c>
      <c r="G133" s="53" t="n"/>
      <c r="H133" s="53" t="n"/>
      <c r="I133" s="53" t="n"/>
      <c r="J133" s="53" t="n"/>
      <c r="K133" s="53" t="n"/>
    </row>
    <row r="134" ht="15" customHeight="1" s="37">
      <c r="A134" s="55" t="n"/>
      <c r="B134" s="53" t="n"/>
      <c r="C134" s="53" t="n"/>
      <c r="D134" s="56" t="n"/>
      <c r="E134" s="56" t="n"/>
      <c r="F134" s="57">
        <f>IF(OR(D134="",E134=""),"",ROUND((E134-D134)*1440,0))</f>
        <v/>
      </c>
      <c r="G134" s="53" t="n"/>
      <c r="H134" s="53" t="n"/>
      <c r="I134" s="53" t="n"/>
      <c r="J134" s="53" t="n"/>
      <c r="K134" s="53" t="n"/>
    </row>
    <row r="135" ht="15" customHeight="1" s="37">
      <c r="A135" s="55" t="n"/>
      <c r="B135" s="53" t="n"/>
      <c r="C135" s="53" t="n"/>
      <c r="D135" s="56" t="n"/>
      <c r="E135" s="56" t="n"/>
      <c r="F135" s="57">
        <f>IF(OR(D135="",E135=""),"",ROUND((E135-D135)*1440,0))</f>
        <v/>
      </c>
      <c r="G135" s="53" t="n"/>
      <c r="H135" s="53" t="n"/>
      <c r="I135" s="53" t="n"/>
      <c r="J135" s="53" t="n"/>
      <c r="K135" s="53" t="n"/>
    </row>
    <row r="136" ht="15" customHeight="1" s="37">
      <c r="A136" s="55" t="n"/>
      <c r="B136" s="53" t="n"/>
      <c r="C136" s="53" t="n"/>
      <c r="D136" s="56" t="n"/>
      <c r="E136" s="56" t="n"/>
      <c r="F136" s="57">
        <f>IF(OR(D136="",E136=""),"",ROUND((E136-D136)*1440,0))</f>
        <v/>
      </c>
      <c r="G136" s="53" t="n"/>
      <c r="H136" s="53" t="n"/>
      <c r="I136" s="53" t="n"/>
      <c r="J136" s="53" t="n"/>
      <c r="K136" s="53" t="n"/>
    </row>
    <row r="137" ht="15" customHeight="1" s="37">
      <c r="A137" s="55" t="n"/>
      <c r="B137" s="53" t="n"/>
      <c r="C137" s="53" t="n"/>
      <c r="D137" s="56" t="n"/>
      <c r="E137" s="56" t="n"/>
      <c r="F137" s="57">
        <f>IF(OR(D137="",E137=""),"",ROUND((E137-D137)*1440,0))</f>
        <v/>
      </c>
      <c r="G137" s="53" t="n"/>
      <c r="H137" s="53" t="n"/>
      <c r="I137" s="53" t="n"/>
      <c r="J137" s="53" t="n"/>
      <c r="K137" s="53" t="n"/>
    </row>
    <row r="138" ht="15" customHeight="1" s="37">
      <c r="A138" s="55" t="n"/>
      <c r="B138" s="53" t="n"/>
      <c r="C138" s="53" t="n"/>
      <c r="D138" s="56" t="n"/>
      <c r="E138" s="56" t="n"/>
      <c r="F138" s="57">
        <f>IF(OR(D138="",E138=""),"",ROUND((E138-D138)*1440,0))</f>
        <v/>
      </c>
      <c r="G138" s="53" t="n"/>
      <c r="H138" s="53" t="n"/>
      <c r="I138" s="53" t="n"/>
      <c r="J138" s="53" t="n"/>
      <c r="K138" s="53" t="n"/>
    </row>
    <row r="139" ht="15" customHeight="1" s="37">
      <c r="A139" s="55" t="n"/>
      <c r="B139" s="53" t="n"/>
      <c r="C139" s="53" t="n"/>
      <c r="D139" s="56" t="n"/>
      <c r="E139" s="56" t="n"/>
      <c r="F139" s="57">
        <f>IF(OR(D139="",E139=""),"",ROUND((E139-D139)*1440,0))</f>
        <v/>
      </c>
      <c r="G139" s="53" t="n"/>
      <c r="H139" s="53" t="n"/>
      <c r="I139" s="53" t="n"/>
      <c r="J139" s="53" t="n"/>
      <c r="K139" s="53" t="n"/>
    </row>
    <row r="140" ht="15" customHeight="1" s="37">
      <c r="A140" s="55" t="n"/>
      <c r="B140" s="53" t="n"/>
      <c r="C140" s="53" t="n"/>
      <c r="D140" s="56" t="n"/>
      <c r="E140" s="56" t="n"/>
      <c r="F140" s="57">
        <f>IF(OR(D140="",E140=""),"",ROUND((E140-D140)*1440,0))</f>
        <v/>
      </c>
      <c r="G140" s="53" t="n"/>
      <c r="H140" s="53" t="n"/>
      <c r="I140" s="53" t="n"/>
      <c r="J140" s="53" t="n"/>
      <c r="K140" s="53" t="n"/>
    </row>
    <row r="141" ht="15" customHeight="1" s="37">
      <c r="A141" s="55" t="n"/>
      <c r="B141" s="53" t="n"/>
      <c r="C141" s="53" t="n"/>
      <c r="D141" s="56" t="n"/>
      <c r="E141" s="56" t="n"/>
      <c r="F141" s="57">
        <f>IF(OR(D141="",E141=""),"",ROUND((E141-D141)*1440,0))</f>
        <v/>
      </c>
      <c r="G141" s="53" t="n"/>
      <c r="H141" s="53" t="n"/>
      <c r="I141" s="53" t="n"/>
      <c r="J141" s="53" t="n"/>
      <c r="K141" s="53" t="n"/>
    </row>
    <row r="142" ht="15" customHeight="1" s="37">
      <c r="A142" s="55" t="n"/>
      <c r="B142" s="53" t="n"/>
      <c r="C142" s="53" t="n"/>
      <c r="D142" s="56" t="n"/>
      <c r="E142" s="56" t="n"/>
      <c r="F142" s="57">
        <f>IF(OR(D142="",E142=""),"",ROUND((E142-D142)*1440,0))</f>
        <v/>
      </c>
      <c r="G142" s="53" t="n"/>
      <c r="H142" s="53" t="n"/>
      <c r="I142" s="53" t="n"/>
      <c r="J142" s="53" t="n"/>
      <c r="K142" s="53" t="n"/>
    </row>
    <row r="143" ht="15" customHeight="1" s="37">
      <c r="A143" s="55" t="n"/>
      <c r="B143" s="53" t="n"/>
      <c r="C143" s="53" t="n"/>
      <c r="D143" s="56" t="n"/>
      <c r="E143" s="56" t="n"/>
      <c r="F143" s="57">
        <f>IF(OR(D143="",E143=""),"",ROUND((E143-D143)*1440,0))</f>
        <v/>
      </c>
      <c r="G143" s="53" t="n"/>
      <c r="H143" s="53" t="n"/>
      <c r="I143" s="53" t="n"/>
      <c r="J143" s="53" t="n"/>
      <c r="K143" s="53" t="n"/>
    </row>
    <row r="144" ht="15" customHeight="1" s="37">
      <c r="A144" s="55" t="n"/>
      <c r="B144" s="53" t="n"/>
      <c r="C144" s="53" t="n"/>
      <c r="D144" s="56" t="n"/>
      <c r="E144" s="56" t="n"/>
      <c r="F144" s="57">
        <f>IF(OR(D144="",E144=""),"",ROUND((E144-D144)*1440,0))</f>
        <v/>
      </c>
      <c r="G144" s="53" t="n"/>
      <c r="H144" s="53" t="n"/>
      <c r="I144" s="53" t="n"/>
      <c r="J144" s="53" t="n"/>
      <c r="K144" s="53" t="n"/>
    </row>
    <row r="145" ht="15" customHeight="1" s="37">
      <c r="A145" s="55" t="n"/>
      <c r="B145" s="53" t="n"/>
      <c r="C145" s="53" t="n"/>
      <c r="D145" s="56" t="n"/>
      <c r="E145" s="56" t="n"/>
      <c r="F145" s="57">
        <f>IF(OR(D145="",E145=""),"",ROUND((E145-D145)*1440,0))</f>
        <v/>
      </c>
      <c r="G145" s="53" t="n"/>
      <c r="H145" s="53" t="n"/>
      <c r="I145" s="53" t="n"/>
      <c r="J145" s="53" t="n"/>
      <c r="K145" s="53" t="n"/>
    </row>
    <row r="146" ht="15" customHeight="1" s="37">
      <c r="A146" s="55" t="n"/>
      <c r="B146" s="53" t="n"/>
      <c r="C146" s="53" t="n"/>
      <c r="D146" s="56" t="n"/>
      <c r="E146" s="56" t="n"/>
      <c r="F146" s="57">
        <f>IF(OR(D146="",E146=""),"",ROUND((E146-D146)*1440,0))</f>
        <v/>
      </c>
      <c r="G146" s="53" t="n"/>
      <c r="H146" s="53" t="n"/>
      <c r="I146" s="53" t="n"/>
      <c r="J146" s="53" t="n"/>
      <c r="K146" s="53" t="n"/>
    </row>
    <row r="147" ht="15" customHeight="1" s="37">
      <c r="A147" s="55" t="n"/>
      <c r="B147" s="53" t="n"/>
      <c r="C147" s="53" t="n"/>
      <c r="D147" s="56" t="n"/>
      <c r="E147" s="56" t="n"/>
      <c r="F147" s="57">
        <f>IF(OR(D147="",E147=""),"",ROUND((E147-D147)*1440,0))</f>
        <v/>
      </c>
      <c r="G147" s="53" t="n"/>
      <c r="H147" s="53" t="n"/>
      <c r="I147" s="53" t="n"/>
      <c r="J147" s="53" t="n"/>
      <c r="K147" s="53" t="n"/>
    </row>
    <row r="148" ht="15" customHeight="1" s="37">
      <c r="A148" s="55" t="n"/>
      <c r="B148" s="53" t="n"/>
      <c r="C148" s="53" t="n"/>
      <c r="D148" s="56" t="n"/>
      <c r="E148" s="56" t="n"/>
      <c r="F148" s="57">
        <f>IF(OR(D148="",E148=""),"",ROUND((E148-D148)*1440,0))</f>
        <v/>
      </c>
      <c r="G148" s="53" t="n"/>
      <c r="H148" s="53" t="n"/>
      <c r="I148" s="53" t="n"/>
      <c r="J148" s="53" t="n"/>
      <c r="K148" s="53" t="n"/>
    </row>
    <row r="149" ht="15" customHeight="1" s="37">
      <c r="A149" s="55" t="n"/>
      <c r="B149" s="53" t="n"/>
      <c r="C149" s="53" t="n"/>
      <c r="D149" s="56" t="n"/>
      <c r="E149" s="56" t="n"/>
      <c r="F149" s="57">
        <f>IF(OR(D149="",E149=""),"",ROUND((E149-D149)*1440,0))</f>
        <v/>
      </c>
      <c r="G149" s="53" t="n"/>
      <c r="H149" s="53" t="n"/>
      <c r="I149" s="53" t="n"/>
      <c r="J149" s="53" t="n"/>
      <c r="K149" s="53" t="n"/>
    </row>
    <row r="150" ht="15" customHeight="1" s="37">
      <c r="A150" s="55" t="n"/>
      <c r="B150" s="53" t="n"/>
      <c r="C150" s="53" t="n"/>
      <c r="D150" s="56" t="n"/>
      <c r="E150" s="56" t="n"/>
      <c r="F150" s="57">
        <f>IF(OR(D150="",E150=""),"",ROUND((E150-D150)*1440,0))</f>
        <v/>
      </c>
      <c r="G150" s="53" t="n"/>
      <c r="H150" s="53" t="n"/>
      <c r="I150" s="53" t="n"/>
      <c r="J150" s="53" t="n"/>
      <c r="K150" s="53" t="n"/>
    </row>
    <row r="151" ht="15" customHeight="1" s="37">
      <c r="A151" s="55" t="n"/>
      <c r="B151" s="53" t="n"/>
      <c r="C151" s="53" t="n"/>
      <c r="D151" s="56" t="n"/>
      <c r="E151" s="56" t="n"/>
      <c r="F151" s="57">
        <f>IF(OR(D151="",E151=""),"",ROUND((E151-D151)*1440,0))</f>
        <v/>
      </c>
      <c r="G151" s="53" t="n"/>
      <c r="H151" s="53" t="n"/>
      <c r="I151" s="53" t="n"/>
      <c r="J151" s="53" t="n"/>
      <c r="K151" s="53" t="n"/>
    </row>
    <row r="152" ht="15" customHeight="1" s="37">
      <c r="A152" s="55" t="n"/>
      <c r="B152" s="53" t="n"/>
      <c r="C152" s="53" t="n"/>
      <c r="D152" s="56" t="n"/>
      <c r="E152" s="56" t="n"/>
      <c r="F152" s="57">
        <f>IF(OR(D152="",E152=""),"",ROUND((E152-D152)*1440,0))</f>
        <v/>
      </c>
      <c r="G152" s="53" t="n"/>
      <c r="H152" s="53" t="n"/>
      <c r="I152" s="53" t="n"/>
      <c r="J152" s="53" t="n"/>
      <c r="K152" s="53" t="n"/>
    </row>
    <row r="153" ht="15" customHeight="1" s="37">
      <c r="A153" s="55" t="n"/>
      <c r="B153" s="53" t="n"/>
      <c r="C153" s="53" t="n"/>
      <c r="D153" s="56" t="n"/>
      <c r="E153" s="56" t="n"/>
      <c r="F153" s="57">
        <f>IF(OR(D153="",E153=""),"",ROUND((E153-D153)*1440,0))</f>
        <v/>
      </c>
      <c r="G153" s="53" t="n"/>
      <c r="H153" s="53" t="n"/>
      <c r="I153" s="53" t="n"/>
      <c r="J153" s="53" t="n"/>
      <c r="K153" s="53" t="n"/>
    </row>
    <row r="154" ht="15" customHeight="1" s="37">
      <c r="A154" s="55" t="n"/>
      <c r="B154" s="53" t="n"/>
      <c r="C154" s="53" t="n"/>
      <c r="D154" s="56" t="n"/>
      <c r="E154" s="56" t="n"/>
      <c r="F154" s="57">
        <f>IF(OR(D154="",E154=""),"",ROUND((E154-D154)*1440,0))</f>
        <v/>
      </c>
      <c r="G154" s="53" t="n"/>
      <c r="H154" s="53" t="n"/>
      <c r="I154" s="53" t="n"/>
      <c r="J154" s="53" t="n"/>
      <c r="K154" s="53" t="n"/>
    </row>
    <row r="155" ht="15" customHeight="1" s="37">
      <c r="A155" s="55" t="n"/>
      <c r="B155" s="53" t="n"/>
      <c r="C155" s="53" t="n"/>
      <c r="D155" s="56" t="n"/>
      <c r="E155" s="56" t="n"/>
      <c r="F155" s="57">
        <f>IF(OR(D155="",E155=""),"",ROUND((E155-D155)*1440,0))</f>
        <v/>
      </c>
      <c r="G155" s="53" t="n"/>
      <c r="H155" s="53" t="n"/>
      <c r="I155" s="53" t="n"/>
      <c r="J155" s="53" t="n"/>
      <c r="K155" s="53" t="n"/>
    </row>
    <row r="156" ht="15" customHeight="1" s="37">
      <c r="A156" s="55" t="n"/>
      <c r="B156" s="53" t="n"/>
      <c r="C156" s="53" t="n"/>
      <c r="D156" s="56" t="n"/>
      <c r="E156" s="56" t="n"/>
      <c r="F156" s="57">
        <f>IF(OR(D156="",E156=""),"",ROUND((E156-D156)*1440,0))</f>
        <v/>
      </c>
      <c r="G156" s="53" t="n"/>
      <c r="H156" s="53" t="n"/>
      <c r="I156" s="53" t="n"/>
      <c r="J156" s="53" t="n"/>
      <c r="K156" s="53" t="n"/>
    </row>
    <row r="157" ht="15" customHeight="1" s="37">
      <c r="A157" s="55" t="n"/>
      <c r="B157" s="53" t="n"/>
      <c r="C157" s="53" t="n"/>
      <c r="D157" s="56" t="n"/>
      <c r="E157" s="56" t="n"/>
      <c r="F157" s="57">
        <f>IF(OR(D157="",E157=""),"",ROUND((E157-D157)*1440,0))</f>
        <v/>
      </c>
      <c r="G157" s="53" t="n"/>
      <c r="H157" s="53" t="n"/>
      <c r="I157" s="53" t="n"/>
      <c r="J157" s="53" t="n"/>
      <c r="K157" s="53" t="n"/>
    </row>
    <row r="158" ht="15" customHeight="1" s="37">
      <c r="A158" s="55" t="n"/>
      <c r="B158" s="53" t="n"/>
      <c r="C158" s="53" t="n"/>
      <c r="D158" s="56" t="n"/>
      <c r="E158" s="56" t="n"/>
      <c r="F158" s="57">
        <f>IF(OR(D158="",E158=""),"",ROUND((E158-D158)*1440,0))</f>
        <v/>
      </c>
      <c r="G158" s="53" t="n"/>
      <c r="H158" s="53" t="n"/>
      <c r="I158" s="53" t="n"/>
      <c r="J158" s="53" t="n"/>
      <c r="K158" s="53" t="n"/>
    </row>
    <row r="159" ht="15" customHeight="1" s="37">
      <c r="A159" s="55" t="n"/>
      <c r="B159" s="53" t="n"/>
      <c r="C159" s="53" t="n"/>
      <c r="D159" s="56" t="n"/>
      <c r="E159" s="56" t="n"/>
      <c r="F159" s="57">
        <f>IF(OR(D159="",E159=""),"",ROUND((E159-D159)*1440,0))</f>
        <v/>
      </c>
      <c r="G159" s="53" t="n"/>
      <c r="H159" s="53" t="n"/>
      <c r="I159" s="53" t="n"/>
      <c r="J159" s="53" t="n"/>
      <c r="K159" s="53" t="n"/>
    </row>
    <row r="160" ht="15" customHeight="1" s="37">
      <c r="A160" s="55" t="n"/>
      <c r="B160" s="53" t="n"/>
      <c r="C160" s="53" t="n"/>
      <c r="D160" s="56" t="n"/>
      <c r="E160" s="56" t="n"/>
      <c r="F160" s="57">
        <f>IF(OR(D160="",E160=""),"",ROUND((E160-D160)*1440,0))</f>
        <v/>
      </c>
      <c r="G160" s="53" t="n"/>
      <c r="H160" s="53" t="n"/>
      <c r="I160" s="53" t="n"/>
      <c r="J160" s="53" t="n"/>
      <c r="K160" s="53" t="n"/>
    </row>
    <row r="161" ht="15" customHeight="1" s="37">
      <c r="A161" s="55" t="n"/>
      <c r="B161" s="53" t="n"/>
      <c r="C161" s="53" t="n"/>
      <c r="D161" s="56" t="n"/>
      <c r="E161" s="56" t="n"/>
      <c r="F161" s="57">
        <f>IF(OR(D161="",E161=""),"",ROUND((E161-D161)*1440,0))</f>
        <v/>
      </c>
      <c r="G161" s="53" t="n"/>
      <c r="H161" s="53" t="n"/>
      <c r="I161" s="53" t="n"/>
      <c r="J161" s="53" t="n"/>
      <c r="K161" s="53" t="n"/>
    </row>
    <row r="162" ht="15" customHeight="1" s="37">
      <c r="A162" s="55" t="n"/>
      <c r="B162" s="53" t="n"/>
      <c r="C162" s="53" t="n"/>
      <c r="D162" s="56" t="n"/>
      <c r="E162" s="56" t="n"/>
      <c r="F162" s="57">
        <f>IF(OR(D162="",E162=""),"",ROUND((E162-D162)*1440,0))</f>
        <v/>
      </c>
      <c r="G162" s="53" t="n"/>
      <c r="H162" s="53" t="n"/>
      <c r="I162" s="53" t="n"/>
      <c r="J162" s="53" t="n"/>
      <c r="K162" s="53" t="n"/>
    </row>
    <row r="163" ht="15" customHeight="1" s="37">
      <c r="A163" s="55" t="n"/>
      <c r="B163" s="53" t="n"/>
      <c r="C163" s="53" t="n"/>
      <c r="D163" s="56" t="n"/>
      <c r="E163" s="56" t="n"/>
      <c r="F163" s="57">
        <f>IF(OR(D163="",E163=""),"",ROUND((E163-D163)*1440,0))</f>
        <v/>
      </c>
      <c r="G163" s="53" t="n"/>
      <c r="H163" s="53" t="n"/>
      <c r="I163" s="53" t="n"/>
      <c r="J163" s="53" t="n"/>
      <c r="K163" s="53" t="n"/>
    </row>
    <row r="164" ht="15" customHeight="1" s="37">
      <c r="A164" s="55" t="n"/>
      <c r="B164" s="53" t="n"/>
      <c r="C164" s="53" t="n"/>
      <c r="D164" s="56" t="n"/>
      <c r="E164" s="56" t="n"/>
      <c r="F164" s="57">
        <f>IF(OR(D164="",E164=""),"",ROUND((E164-D164)*1440,0))</f>
        <v/>
      </c>
      <c r="G164" s="53" t="n"/>
      <c r="H164" s="53" t="n"/>
      <c r="I164" s="53" t="n"/>
      <c r="J164" s="53" t="n"/>
      <c r="K164" s="53" t="n"/>
    </row>
    <row r="165" ht="15" customHeight="1" s="37">
      <c r="A165" s="55" t="n"/>
      <c r="B165" s="53" t="n"/>
      <c r="C165" s="53" t="n"/>
      <c r="D165" s="56" t="n"/>
      <c r="E165" s="56" t="n"/>
      <c r="F165" s="57">
        <f>IF(OR(D165="",E165=""),"",ROUND((E165-D165)*1440,0))</f>
        <v/>
      </c>
      <c r="G165" s="53" t="n"/>
      <c r="H165" s="53" t="n"/>
      <c r="I165" s="53" t="n"/>
      <c r="J165" s="53" t="n"/>
      <c r="K165" s="53" t="n"/>
    </row>
    <row r="166" ht="15" customHeight="1" s="37">
      <c r="A166" s="55" t="n"/>
      <c r="B166" s="53" t="n"/>
      <c r="C166" s="53" t="n"/>
      <c r="D166" s="56" t="n"/>
      <c r="E166" s="56" t="n"/>
      <c r="F166" s="57">
        <f>IF(OR(D166="",E166=""),"",ROUND((E166-D166)*1440,0))</f>
        <v/>
      </c>
      <c r="G166" s="53" t="n"/>
      <c r="H166" s="53" t="n"/>
      <c r="I166" s="53" t="n"/>
      <c r="J166" s="53" t="n"/>
      <c r="K166" s="53" t="n"/>
    </row>
    <row r="167" ht="15" customHeight="1" s="37">
      <c r="A167" s="55" t="n"/>
      <c r="B167" s="53" t="n"/>
      <c r="C167" s="53" t="n"/>
      <c r="D167" s="56" t="n"/>
      <c r="E167" s="56" t="n"/>
      <c r="F167" s="57">
        <f>IF(OR(D167="",E167=""),"",ROUND((E167-D167)*1440,0))</f>
        <v/>
      </c>
      <c r="G167" s="53" t="n"/>
      <c r="H167" s="53" t="n"/>
      <c r="I167" s="53" t="n"/>
      <c r="J167" s="53" t="n"/>
      <c r="K167" s="53" t="n"/>
    </row>
    <row r="168" ht="15" customHeight="1" s="37">
      <c r="A168" s="55" t="n"/>
      <c r="B168" s="53" t="n"/>
      <c r="C168" s="53" t="n"/>
      <c r="D168" s="56" t="n"/>
      <c r="E168" s="56" t="n"/>
      <c r="F168" s="57">
        <f>IF(OR(D168="",E168=""),"",ROUND((E168-D168)*1440,0))</f>
        <v/>
      </c>
      <c r="G168" s="53" t="n"/>
      <c r="H168" s="53" t="n"/>
      <c r="I168" s="53" t="n"/>
      <c r="J168" s="53" t="n"/>
      <c r="K168" s="53" t="n"/>
    </row>
    <row r="169" ht="15" customHeight="1" s="37">
      <c r="A169" s="55" t="n"/>
      <c r="B169" s="53" t="n"/>
      <c r="C169" s="53" t="n"/>
      <c r="D169" s="56" t="n"/>
      <c r="E169" s="56" t="n"/>
      <c r="F169" s="57">
        <f>IF(OR(D169="",E169=""),"",ROUND((E169-D169)*1440,0))</f>
        <v/>
      </c>
      <c r="G169" s="53" t="n"/>
      <c r="H169" s="53" t="n"/>
      <c r="I169" s="53" t="n"/>
      <c r="J169" s="53" t="n"/>
      <c r="K169" s="53" t="n"/>
    </row>
    <row r="170" ht="15" customHeight="1" s="37">
      <c r="A170" s="55" t="n"/>
      <c r="B170" s="53" t="n"/>
      <c r="C170" s="53" t="n"/>
      <c r="D170" s="56" t="n"/>
      <c r="E170" s="56" t="n"/>
      <c r="F170" s="57">
        <f>IF(OR(D170="",E170=""),"",ROUND((E170-D170)*1440,0))</f>
        <v/>
      </c>
      <c r="G170" s="53" t="n"/>
      <c r="H170" s="53" t="n"/>
      <c r="I170" s="53" t="n"/>
      <c r="J170" s="53" t="n"/>
      <c r="K170" s="53" t="n"/>
    </row>
    <row r="171" ht="15" customHeight="1" s="37">
      <c r="A171" s="55" t="n"/>
      <c r="B171" s="53" t="n"/>
      <c r="C171" s="53" t="n"/>
      <c r="D171" s="56" t="n"/>
      <c r="E171" s="56" t="n"/>
      <c r="F171" s="57">
        <f>IF(OR(D171="",E171=""),"",ROUND((E171-D171)*1440,0))</f>
        <v/>
      </c>
      <c r="G171" s="53" t="n"/>
      <c r="H171" s="53" t="n"/>
      <c r="I171" s="53" t="n"/>
      <c r="J171" s="53" t="n"/>
      <c r="K171" s="53" t="n"/>
    </row>
    <row r="172" ht="15" customHeight="1" s="37">
      <c r="A172" s="55" t="n"/>
      <c r="B172" s="53" t="n"/>
      <c r="C172" s="53" t="n"/>
      <c r="D172" s="56" t="n"/>
      <c r="E172" s="56" t="n"/>
      <c r="F172" s="57">
        <f>IF(OR(D172="",E172=""),"",ROUND((E172-D172)*1440,0))</f>
        <v/>
      </c>
      <c r="G172" s="53" t="n"/>
      <c r="H172" s="53" t="n"/>
      <c r="I172" s="53" t="n"/>
      <c r="J172" s="53" t="n"/>
      <c r="K172" s="53" t="n"/>
    </row>
    <row r="173" ht="15" customHeight="1" s="37">
      <c r="A173" s="55" t="n"/>
      <c r="B173" s="53" t="n"/>
      <c r="C173" s="53" t="n"/>
      <c r="D173" s="56" t="n"/>
      <c r="E173" s="56" t="n"/>
      <c r="F173" s="57">
        <f>IF(OR(D173="",E173=""),"",ROUND((E173-D173)*1440,0))</f>
        <v/>
      </c>
      <c r="G173" s="53" t="n"/>
      <c r="H173" s="53" t="n"/>
      <c r="I173" s="53" t="n"/>
      <c r="J173" s="53" t="n"/>
      <c r="K173" s="53" t="n"/>
    </row>
    <row r="174" ht="15" customHeight="1" s="37">
      <c r="A174" s="55" t="n"/>
      <c r="B174" s="53" t="n"/>
      <c r="C174" s="53" t="n"/>
      <c r="D174" s="56" t="n"/>
      <c r="E174" s="56" t="n"/>
      <c r="F174" s="57">
        <f>IF(OR(D174="",E174=""),"",ROUND((E174-D174)*1440,0))</f>
        <v/>
      </c>
      <c r="G174" s="53" t="n"/>
      <c r="H174" s="53" t="n"/>
      <c r="I174" s="53" t="n"/>
      <c r="J174" s="53" t="n"/>
      <c r="K174" s="53" t="n"/>
    </row>
    <row r="175" ht="15" customHeight="1" s="37">
      <c r="A175" s="55" t="n"/>
      <c r="B175" s="53" t="n"/>
      <c r="C175" s="53" t="n"/>
      <c r="D175" s="56" t="n"/>
      <c r="E175" s="56" t="n"/>
      <c r="F175" s="57">
        <f>IF(OR(D175="",E175=""),"",ROUND((E175-D175)*1440,0))</f>
        <v/>
      </c>
      <c r="G175" s="53" t="n"/>
      <c r="H175" s="53" t="n"/>
      <c r="I175" s="53" t="n"/>
      <c r="J175" s="53" t="n"/>
      <c r="K175" s="53" t="n"/>
    </row>
    <row r="176" ht="15" customHeight="1" s="37">
      <c r="A176" s="55" t="n"/>
      <c r="B176" s="53" t="n"/>
      <c r="C176" s="53" t="n"/>
      <c r="D176" s="56" t="n"/>
      <c r="E176" s="56" t="n"/>
      <c r="F176" s="57">
        <f>IF(OR(D176="",E176=""),"",ROUND((E176-D176)*1440,0))</f>
        <v/>
      </c>
      <c r="G176" s="53" t="n"/>
      <c r="H176" s="53" t="n"/>
      <c r="I176" s="53" t="n"/>
      <c r="J176" s="53" t="n"/>
      <c r="K176" s="53" t="n"/>
    </row>
    <row r="177" ht="15" customHeight="1" s="37">
      <c r="A177" s="55" t="n"/>
      <c r="B177" s="53" t="n"/>
      <c r="C177" s="53" t="n"/>
      <c r="D177" s="56" t="n"/>
      <c r="E177" s="56" t="n"/>
      <c r="F177" s="57">
        <f>IF(OR(D177="",E177=""),"",ROUND((E177-D177)*1440,0))</f>
        <v/>
      </c>
      <c r="G177" s="53" t="n"/>
      <c r="H177" s="53" t="n"/>
      <c r="I177" s="53" t="n"/>
      <c r="J177" s="53" t="n"/>
      <c r="K177" s="53" t="n"/>
    </row>
    <row r="178" ht="15" customHeight="1" s="37">
      <c r="A178" s="55" t="n"/>
      <c r="B178" s="53" t="n"/>
      <c r="C178" s="53" t="n"/>
      <c r="D178" s="56" t="n"/>
      <c r="E178" s="56" t="n"/>
      <c r="F178" s="57">
        <f>IF(OR(D178="",E178=""),"",ROUND((E178-D178)*1440,0))</f>
        <v/>
      </c>
      <c r="G178" s="53" t="n"/>
      <c r="H178" s="53" t="n"/>
      <c r="I178" s="53" t="n"/>
      <c r="J178" s="53" t="n"/>
      <c r="K178" s="53" t="n"/>
    </row>
    <row r="179" ht="15" customHeight="1" s="37">
      <c r="A179" s="55" t="n"/>
      <c r="B179" s="53" t="n"/>
      <c r="C179" s="53" t="n"/>
      <c r="D179" s="56" t="n"/>
      <c r="E179" s="56" t="n"/>
      <c r="F179" s="57">
        <f>IF(OR(D179="",E179=""),"",ROUND((E179-D179)*1440,0))</f>
        <v/>
      </c>
      <c r="G179" s="53" t="n"/>
      <c r="H179" s="53" t="n"/>
      <c r="I179" s="53" t="n"/>
      <c r="J179" s="53" t="n"/>
      <c r="K179" s="53" t="n"/>
    </row>
    <row r="180" ht="15" customHeight="1" s="37">
      <c r="A180" s="55" t="n"/>
      <c r="B180" s="53" t="n"/>
      <c r="C180" s="53" t="n"/>
      <c r="D180" s="56" t="n"/>
      <c r="E180" s="56" t="n"/>
      <c r="F180" s="57">
        <f>IF(OR(D180="",E180=""),"",ROUND((E180-D180)*1440,0))</f>
        <v/>
      </c>
      <c r="G180" s="53" t="n"/>
      <c r="H180" s="53" t="n"/>
      <c r="I180" s="53" t="n"/>
      <c r="J180" s="53" t="n"/>
      <c r="K180" s="53" t="n"/>
    </row>
    <row r="181" ht="15" customHeight="1" s="37">
      <c r="A181" s="55" t="n"/>
      <c r="B181" s="53" t="n"/>
      <c r="C181" s="53" t="n"/>
      <c r="D181" s="56" t="n"/>
      <c r="E181" s="56" t="n"/>
      <c r="F181" s="57">
        <f>IF(OR(D181="",E181=""),"",ROUND((E181-D181)*1440,0))</f>
        <v/>
      </c>
      <c r="G181" s="53" t="n"/>
      <c r="H181" s="53" t="n"/>
      <c r="I181" s="53" t="n"/>
      <c r="J181" s="53" t="n"/>
      <c r="K181" s="53" t="n"/>
    </row>
    <row r="182" ht="15" customHeight="1" s="37">
      <c r="A182" s="55" t="n"/>
      <c r="B182" s="53" t="n"/>
      <c r="C182" s="53" t="n"/>
      <c r="D182" s="56" t="n"/>
      <c r="E182" s="56" t="n"/>
      <c r="F182" s="57">
        <f>IF(OR(D182="",E182=""),"",ROUND((E182-D182)*1440,0))</f>
        <v/>
      </c>
      <c r="G182" s="53" t="n"/>
      <c r="H182" s="53" t="n"/>
      <c r="I182" s="53" t="n"/>
      <c r="J182" s="53" t="n"/>
      <c r="K182" s="53" t="n"/>
    </row>
    <row r="183" ht="15" customHeight="1" s="37">
      <c r="A183" s="55" t="n"/>
      <c r="B183" s="53" t="n"/>
      <c r="C183" s="53" t="n"/>
      <c r="D183" s="56" t="n"/>
      <c r="E183" s="56" t="n"/>
      <c r="F183" s="57">
        <f>IF(OR(D183="",E183=""),"",ROUND((E183-D183)*1440,0))</f>
        <v/>
      </c>
      <c r="G183" s="53" t="n"/>
      <c r="H183" s="53" t="n"/>
      <c r="I183" s="53" t="n"/>
      <c r="J183" s="53" t="n"/>
      <c r="K183" s="53" t="n"/>
    </row>
    <row r="184" ht="15" customHeight="1" s="37">
      <c r="A184" s="55" t="n"/>
      <c r="B184" s="53" t="n"/>
      <c r="C184" s="53" t="n"/>
      <c r="D184" s="56" t="n"/>
      <c r="E184" s="56" t="n"/>
      <c r="F184" s="57">
        <f>IF(OR(D184="",E184=""),"",ROUND((E184-D184)*1440,0))</f>
        <v/>
      </c>
      <c r="G184" s="53" t="n"/>
      <c r="H184" s="53" t="n"/>
      <c r="I184" s="53" t="n"/>
      <c r="J184" s="53" t="n"/>
      <c r="K184" s="53" t="n"/>
    </row>
    <row r="185" ht="15" customHeight="1" s="37">
      <c r="A185" s="55" t="n"/>
      <c r="B185" s="53" t="n"/>
      <c r="C185" s="53" t="n"/>
      <c r="D185" s="56" t="n"/>
      <c r="E185" s="56" t="n"/>
      <c r="F185" s="57">
        <f>IF(OR(D185="",E185=""),"",ROUND((E185-D185)*1440,0))</f>
        <v/>
      </c>
      <c r="G185" s="53" t="n"/>
      <c r="H185" s="53" t="n"/>
      <c r="I185" s="53" t="n"/>
      <c r="J185" s="53" t="n"/>
      <c r="K185" s="53" t="n"/>
    </row>
    <row r="186" ht="15" customHeight="1" s="37">
      <c r="A186" s="55" t="n"/>
      <c r="B186" s="53" t="n"/>
      <c r="C186" s="53" t="n"/>
      <c r="D186" s="56" t="n"/>
      <c r="E186" s="56" t="n"/>
      <c r="F186" s="57">
        <f>IF(OR(D186="",E186=""),"",ROUND((E186-D186)*1440,0))</f>
        <v/>
      </c>
      <c r="G186" s="53" t="n"/>
      <c r="H186" s="53" t="n"/>
      <c r="I186" s="53" t="n"/>
      <c r="J186" s="53" t="n"/>
      <c r="K186" s="53" t="n"/>
    </row>
    <row r="187" ht="15" customHeight="1" s="37">
      <c r="A187" s="55" t="n"/>
      <c r="B187" s="53" t="n"/>
      <c r="C187" s="53" t="n"/>
      <c r="D187" s="56" t="n"/>
      <c r="E187" s="56" t="n"/>
      <c r="F187" s="57">
        <f>IF(OR(D187="",E187=""),"",ROUND((E187-D187)*1440,0))</f>
        <v/>
      </c>
      <c r="G187" s="53" t="n"/>
      <c r="H187" s="53" t="n"/>
      <c r="I187" s="53" t="n"/>
      <c r="J187" s="53" t="n"/>
      <c r="K187" s="53" t="n"/>
    </row>
    <row r="188" ht="15" customHeight="1" s="37">
      <c r="A188" s="55" t="n"/>
      <c r="B188" s="53" t="n"/>
      <c r="C188" s="53" t="n"/>
      <c r="D188" s="56" t="n"/>
      <c r="E188" s="56" t="n"/>
      <c r="F188" s="57">
        <f>IF(OR(D188="",E188=""),"",ROUND((E188-D188)*1440,0))</f>
        <v/>
      </c>
      <c r="G188" s="53" t="n"/>
      <c r="H188" s="53" t="n"/>
      <c r="I188" s="53" t="n"/>
      <c r="J188" s="53" t="n"/>
      <c r="K188" s="53" t="n"/>
    </row>
    <row r="189" ht="15" customHeight="1" s="37">
      <c r="A189" s="55" t="n"/>
      <c r="B189" s="53" t="n"/>
      <c r="C189" s="53" t="n"/>
      <c r="D189" s="56" t="n"/>
      <c r="E189" s="56" t="n"/>
      <c r="F189" s="57">
        <f>IF(OR(D189="",E189=""),"",ROUND((E189-D189)*1440,0))</f>
        <v/>
      </c>
      <c r="G189" s="53" t="n"/>
      <c r="H189" s="53" t="n"/>
      <c r="I189" s="53" t="n"/>
      <c r="J189" s="53" t="n"/>
      <c r="K189" s="53" t="n"/>
    </row>
    <row r="190" ht="15" customHeight="1" s="37">
      <c r="A190" s="55" t="n"/>
      <c r="B190" s="53" t="n"/>
      <c r="C190" s="53" t="n"/>
      <c r="D190" s="56" t="n"/>
      <c r="E190" s="56" t="n"/>
      <c r="F190" s="57">
        <f>IF(OR(D190="",E190=""),"",ROUND((E190-D190)*1440,0))</f>
        <v/>
      </c>
      <c r="G190" s="53" t="n"/>
      <c r="H190" s="53" t="n"/>
      <c r="I190" s="53" t="n"/>
      <c r="J190" s="53" t="n"/>
      <c r="K190" s="53" t="n"/>
    </row>
    <row r="191" ht="15" customHeight="1" s="37">
      <c r="A191" s="55" t="n"/>
      <c r="B191" s="53" t="n"/>
      <c r="C191" s="53" t="n"/>
      <c r="D191" s="56" t="n"/>
      <c r="E191" s="56" t="n"/>
      <c r="F191" s="57">
        <f>IF(OR(D191="",E191=""),"",ROUND((E191-D191)*1440,0))</f>
        <v/>
      </c>
      <c r="G191" s="53" t="n"/>
      <c r="H191" s="53" t="n"/>
      <c r="I191" s="53" t="n"/>
      <c r="J191" s="53" t="n"/>
      <c r="K191" s="53" t="n"/>
    </row>
    <row r="192" ht="15" customHeight="1" s="37">
      <c r="A192" s="55" t="n"/>
      <c r="B192" s="53" t="n"/>
      <c r="C192" s="53" t="n"/>
      <c r="D192" s="56" t="n"/>
      <c r="E192" s="56" t="n"/>
      <c r="F192" s="57">
        <f>IF(OR(D192="",E192=""),"",ROUND((E192-D192)*1440,0))</f>
        <v/>
      </c>
      <c r="G192" s="53" t="n"/>
      <c r="H192" s="53" t="n"/>
      <c r="I192" s="53" t="n"/>
      <c r="J192" s="53" t="n"/>
      <c r="K192" s="53" t="n"/>
    </row>
    <row r="193" ht="15" customHeight="1" s="37">
      <c r="A193" s="55" t="n"/>
      <c r="B193" s="53" t="n"/>
      <c r="C193" s="53" t="n"/>
      <c r="D193" s="56" t="n"/>
      <c r="E193" s="56" t="n"/>
      <c r="F193" s="57">
        <f>IF(OR(D193="",E193=""),"",ROUND((E193-D193)*1440,0))</f>
        <v/>
      </c>
      <c r="G193" s="53" t="n"/>
      <c r="H193" s="53" t="n"/>
      <c r="I193" s="53" t="n"/>
      <c r="J193" s="53" t="n"/>
      <c r="K193" s="53" t="n"/>
    </row>
    <row r="194" ht="15" customHeight="1" s="37">
      <c r="A194" s="55" t="n"/>
      <c r="B194" s="53" t="n"/>
      <c r="C194" s="53" t="n"/>
      <c r="D194" s="56" t="n"/>
      <c r="E194" s="56" t="n"/>
      <c r="F194" s="57">
        <f>IF(OR(D194="",E194=""),"",ROUND((E194-D194)*1440,0))</f>
        <v/>
      </c>
      <c r="G194" s="53" t="n"/>
      <c r="H194" s="53" t="n"/>
      <c r="I194" s="53" t="n"/>
      <c r="J194" s="53" t="n"/>
      <c r="K194" s="53" t="n"/>
    </row>
    <row r="195" ht="15" customHeight="1" s="37">
      <c r="A195" s="55" t="n"/>
      <c r="B195" s="53" t="n"/>
      <c r="C195" s="53" t="n"/>
      <c r="D195" s="56" t="n"/>
      <c r="E195" s="56" t="n"/>
      <c r="F195" s="57">
        <f>IF(OR(D195="",E195=""),"",ROUND((E195-D195)*1440,0))</f>
        <v/>
      </c>
      <c r="G195" s="53" t="n"/>
      <c r="H195" s="53" t="n"/>
      <c r="I195" s="53" t="n"/>
      <c r="J195" s="53" t="n"/>
      <c r="K195" s="53" t="n"/>
    </row>
    <row r="196" ht="15" customHeight="1" s="37">
      <c r="A196" s="55" t="n"/>
      <c r="B196" s="53" t="n"/>
      <c r="C196" s="53" t="n"/>
      <c r="D196" s="56" t="n"/>
      <c r="E196" s="56" t="n"/>
      <c r="F196" s="57">
        <f>IF(OR(D196="",E196=""),"",ROUND((E196-D196)*1440,0))</f>
        <v/>
      </c>
      <c r="G196" s="53" t="n"/>
      <c r="H196" s="53" t="n"/>
      <c r="I196" s="53" t="n"/>
      <c r="J196" s="53" t="n"/>
      <c r="K196" s="53" t="n"/>
    </row>
    <row r="197" ht="15" customHeight="1" s="37">
      <c r="A197" s="55" t="n"/>
      <c r="B197" s="53" t="n"/>
      <c r="C197" s="53" t="n"/>
      <c r="D197" s="56" t="n"/>
      <c r="E197" s="56" t="n"/>
      <c r="F197" s="57">
        <f>IF(OR(D197="",E197=""),"",ROUND((E197-D197)*1440,0))</f>
        <v/>
      </c>
      <c r="G197" s="53" t="n"/>
      <c r="H197" s="53" t="n"/>
      <c r="I197" s="53" t="n"/>
      <c r="J197" s="53" t="n"/>
      <c r="K197" s="53" t="n"/>
    </row>
    <row r="198" ht="15" customHeight="1" s="37">
      <c r="A198" s="55" t="n"/>
      <c r="B198" s="53" t="n"/>
      <c r="C198" s="53" t="n"/>
      <c r="D198" s="56" t="n"/>
      <c r="E198" s="56" t="n"/>
      <c r="F198" s="57">
        <f>IF(OR(D198="",E198=""),"",ROUND((E198-D198)*1440,0))</f>
        <v/>
      </c>
      <c r="G198" s="53" t="n"/>
      <c r="H198" s="53" t="n"/>
      <c r="I198" s="53" t="n"/>
      <c r="J198" s="53" t="n"/>
      <c r="K198" s="53" t="n"/>
    </row>
    <row r="199" ht="15" customHeight="1" s="37">
      <c r="A199" s="55" t="n"/>
      <c r="B199" s="53" t="n"/>
      <c r="C199" s="53" t="n"/>
      <c r="D199" s="56" t="n"/>
      <c r="E199" s="56" t="n"/>
      <c r="F199" s="57">
        <f>IF(OR(D199="",E199=""),"",ROUND((E199-D199)*1440,0))</f>
        <v/>
      </c>
      <c r="G199" s="53" t="n"/>
      <c r="H199" s="53" t="n"/>
      <c r="I199" s="53" t="n"/>
      <c r="J199" s="53" t="n"/>
      <c r="K199" s="53" t="n"/>
    </row>
    <row r="200" ht="15" customHeight="1" s="37">
      <c r="A200" s="55" t="n"/>
      <c r="B200" s="53" t="n"/>
      <c r="C200" s="53" t="n"/>
      <c r="D200" s="56" t="n"/>
      <c r="E200" s="56" t="n"/>
      <c r="F200" s="57">
        <f>IF(OR(D200="",E200=""),"",ROUND((E200-D200)*1440,0))</f>
        <v/>
      </c>
      <c r="G200" s="53" t="n"/>
      <c r="H200" s="53" t="n"/>
      <c r="I200" s="53" t="n"/>
      <c r="J200" s="53" t="n"/>
      <c r="K200" s="53" t="n"/>
    </row>
    <row r="201" ht="15" customHeight="1" s="37">
      <c r="A201" s="55" t="n"/>
      <c r="B201" s="53" t="n"/>
      <c r="C201" s="53" t="n"/>
      <c r="D201" s="56" t="n"/>
      <c r="E201" s="56" t="n"/>
      <c r="F201" s="57">
        <f>IF(OR(D201="",E201=""),"",ROUND((E201-D201)*1440,0))</f>
        <v/>
      </c>
      <c r="G201" s="53" t="n"/>
      <c r="H201" s="53" t="n"/>
      <c r="I201" s="53" t="n"/>
      <c r="J201" s="53" t="n"/>
      <c r="K201" s="53" t="n"/>
    </row>
    <row r="202" ht="15" customHeight="1" s="37">
      <c r="A202" s="55" t="n"/>
      <c r="B202" s="53" t="n"/>
      <c r="C202" s="53" t="n"/>
      <c r="D202" s="56" t="n"/>
      <c r="E202" s="56" t="n"/>
      <c r="F202" s="57">
        <f>IF(OR(D202="",E202=""),"",ROUND((E202-D202)*1440,0))</f>
        <v/>
      </c>
      <c r="G202" s="53" t="n"/>
      <c r="H202" s="53" t="n"/>
      <c r="I202" s="53" t="n"/>
      <c r="J202" s="53" t="n"/>
      <c r="K202" s="53" t="n"/>
    </row>
    <row r="203" ht="15" customHeight="1" s="37">
      <c r="A203" s="55" t="n"/>
      <c r="B203" s="53" t="n"/>
      <c r="C203" s="53" t="n"/>
      <c r="D203" s="56" t="n"/>
      <c r="E203" s="56" t="n"/>
      <c r="F203" s="57">
        <f>IF(OR(D203="",E203=""),"",ROUND((E203-D203)*1440,0))</f>
        <v/>
      </c>
      <c r="G203" s="53" t="n"/>
      <c r="H203" s="53" t="n"/>
      <c r="I203" s="53" t="n"/>
      <c r="J203" s="53" t="n"/>
      <c r="K203" s="53" t="n"/>
    </row>
    <row r="204" ht="15" customHeight="1" s="37">
      <c r="A204" s="55" t="n"/>
      <c r="B204" s="53" t="n"/>
      <c r="C204" s="53" t="n"/>
      <c r="D204" s="56" t="n"/>
      <c r="E204" s="56" t="n"/>
      <c r="F204" s="57">
        <f>IF(OR(D204="",E204=""),"",ROUND((E204-D204)*1440,0))</f>
        <v/>
      </c>
      <c r="G204" s="53" t="n"/>
      <c r="H204" s="53" t="n"/>
      <c r="I204" s="53" t="n"/>
      <c r="J204" s="53" t="n"/>
      <c r="K204" s="53" t="n"/>
    </row>
    <row r="205" ht="15" customHeight="1" s="37">
      <c r="A205" s="55" t="n"/>
      <c r="B205" s="53" t="n"/>
      <c r="C205" s="53" t="n"/>
      <c r="D205" s="56" t="n"/>
      <c r="E205" s="56" t="n"/>
      <c r="F205" s="57">
        <f>IF(OR(D205="",E205=""),"",ROUND((E205-D205)*1440,0))</f>
        <v/>
      </c>
      <c r="G205" s="53" t="n"/>
      <c r="H205" s="53" t="n"/>
      <c r="I205" s="53" t="n"/>
      <c r="J205" s="53" t="n"/>
      <c r="K205" s="53" t="n"/>
    </row>
    <row r="206" ht="15" customHeight="1" s="37">
      <c r="A206" s="55" t="n"/>
      <c r="B206" s="53" t="n"/>
      <c r="C206" s="53" t="n"/>
      <c r="D206" s="56" t="n"/>
      <c r="E206" s="56" t="n"/>
      <c r="F206" s="57">
        <f>IF(OR(D206="",E206=""),"",ROUND((E206-D206)*1440,0))</f>
        <v/>
      </c>
      <c r="G206" s="53" t="n"/>
      <c r="H206" s="53" t="n"/>
      <c r="I206" s="53" t="n"/>
      <c r="J206" s="53" t="n"/>
      <c r="K206" s="53" t="n"/>
    </row>
  </sheetData>
  <autoFilter ref="A4:K206"/>
  <conditionalFormatting sqref="I5:I206">
    <cfRule type="expression" rank="0" priority="2" equalAverage="0" aboveAverage="0" dxfId="6" text="" percent="0" bottom="0">
      <formula>AND($G5="Tidak",$I5="")</formula>
    </cfRule>
  </conditionalFormatting>
  <dataValidations count="2">
    <dataValidation sqref="G5:G206" showDropDown="0" showInputMessage="0" showErrorMessage="0" allowBlank="1" type="list" errorStyle="stop" operator="between">
      <formula1>Daftar!$A$2:$A$3</formula1>
      <formula2>0</formula2>
    </dataValidation>
    <dataValidation sqref="H5:H206" showDropDown="0" showInputMessage="0" showErrorMessage="0" allowBlank="1" type="list" errorStyle="stop" operator="between">
      <formula1>Daftar!$B$2:$B$8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L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20" customWidth="1" style="36" min="2" max="2"/>
    <col width="10" customWidth="1" style="36" min="3" max="3"/>
    <col width="12" customWidth="1" style="36" min="4" max="5"/>
    <col width="18" customWidth="1" style="37" min="5" max="5"/>
    <col width="11" customWidth="1" style="36" min="6" max="6"/>
    <col width="12" customWidth="1" style="36" min="7" max="8"/>
    <col width="13" customWidth="1" style="37" min="8" max="8"/>
    <col width="9" customWidth="1" style="36" min="9" max="9"/>
    <col width="10" customWidth="1" style="36" min="10" max="11"/>
    <col width="13" customWidth="1" style="37" min="11" max="11"/>
    <col width="34" customWidth="1" style="36" min="12" max="12"/>
  </cols>
  <sheetData>
    <row r="1" ht="16.15" customHeight="1" s="37">
      <c r="A1" s="50" t="inlineStr">
        <is>
          <t>Laporan kinerja SLA bulanan</t>
        </is>
      </c>
    </row>
    <row r="3" ht="15" customHeight="1" s="37">
      <c r="A3" s="58" t="inlineStr">
        <is>
          <t>Bulan laporan (tanggal 1)</t>
        </is>
      </c>
      <c r="B3" s="59" t="n">
        <v>46327</v>
      </c>
    </row>
    <row r="4" ht="15" customHeight="1" s="37">
      <c r="A4" s="58" t="inlineStr">
        <is>
          <t>Akhir bulan</t>
        </is>
      </c>
      <c r="B4" s="60">
        <f>EOMONTH(B3,0)</f>
        <v/>
      </c>
    </row>
    <row r="5" ht="15" customHeight="1" s="37">
      <c r="A5" s="58" t="inlineStr">
        <is>
          <t>Menit dalam periode</t>
        </is>
      </c>
      <c r="B5" s="61">
        <f>DAY(B4)*1440</f>
        <v/>
      </c>
    </row>
    <row r="7" ht="43.5" customHeight="1" s="37">
      <c r="A7" s="52" t="inlineStr">
        <is>
          <t>Pelanggan</t>
        </is>
      </c>
      <c r="B7" s="52" t="inlineStr">
        <is>
          <t>Layanan</t>
        </is>
      </c>
      <c r="C7" s="52" t="inlineStr">
        <is>
          <t>Target</t>
        </is>
      </c>
      <c r="D7" s="52" t="inlineStr">
        <is>
          <t>Downtime dihitung (menit)</t>
        </is>
      </c>
      <c r="E7" s="52" t="inlineStr">
        <is>
          <t>Availability</t>
        </is>
      </c>
      <c r="F7" s="52" t="inlineStr">
        <is>
          <t>Status</t>
        </is>
      </c>
      <c r="G7" s="52" t="inlineStr">
        <is>
          <t>Anggaran downtime (menit)</t>
        </is>
      </c>
      <c r="H7" s="52" t="inlineStr">
        <is>
          <t>Sisa anggaran (menit)</t>
        </is>
      </c>
      <c r="I7" s="52" t="inlineStr">
        <is>
          <t>Tiket P1 dan P2</t>
        </is>
      </c>
      <c r="J7" s="52" t="inlineStr">
        <is>
          <t>Di-ack sesuai target</t>
        </is>
      </c>
      <c r="K7" s="52" t="inlineStr">
        <is>
          <t>Response SLA</t>
        </is>
      </c>
      <c r="L7" s="52" t="inlineStr">
        <is>
          <t>Catatan dan tindakan</t>
        </is>
      </c>
    </row>
    <row r="8" ht="15" customHeight="1" s="37">
      <c r="A8" s="62">
        <f>IF('Parameter SLA'!B5="","",'Parameter SLA'!B5)</f>
        <v/>
      </c>
      <c r="B8" s="62">
        <f>IF('Parameter SLA'!C5="","",'Parameter SLA'!C5)</f>
        <v/>
      </c>
      <c r="C8" s="63">
        <f>IF('Parameter SLA'!D5="","",'Parameter SLA'!D5)</f>
        <v/>
      </c>
      <c r="D8" s="62">
        <f>IF(A8="","",SUMIFS('Downtime Log'!$F$5:$F$206,'Downtime Log'!$B$5:$B$206,A8,'Downtime Log'!$C$5:$C$206,B8,'Downtime Log'!$G$5:$G$206,"Ya",'Downtime Log'!$D$5:$D$206,"&gt;="&amp;$B$3,'Downtime Log'!$D$5:$D$206,"&lt;"&amp;($B$4+1)))</f>
        <v/>
      </c>
      <c r="E8" s="64">
        <f>IF(A8="","",1-D8/$B$5)</f>
        <v/>
      </c>
      <c r="F8" s="62">
        <f>IF(A8="","",IF(E8&gt;=C8,"Tercapai","Breach"))</f>
        <v/>
      </c>
      <c r="G8" s="62">
        <f>IF(A8="","",ROUND($B$5*(1-C8),1))</f>
        <v/>
      </c>
      <c r="H8" s="62">
        <f>IF(A8="","",G8-D8)</f>
        <v/>
      </c>
      <c r="I8" s="65" t="n"/>
      <c r="J8" s="65" t="n"/>
      <c r="K8" s="66">
        <f>IF(OR(I8="",I8=0),"",J8/I8)</f>
        <v/>
      </c>
      <c r="L8" s="65" t="n"/>
    </row>
    <row r="9" ht="15" customHeight="1" s="37">
      <c r="A9" s="62">
        <f>IF('Parameter SLA'!B6="","",'Parameter SLA'!B6)</f>
        <v/>
      </c>
      <c r="B9" s="62">
        <f>IF('Parameter SLA'!C6="","",'Parameter SLA'!C6)</f>
        <v/>
      </c>
      <c r="C9" s="63">
        <f>IF('Parameter SLA'!D6="","",'Parameter SLA'!D6)</f>
        <v/>
      </c>
      <c r="D9" s="62">
        <f>IF(A9="","",SUMIFS('Downtime Log'!$F$5:$F$206,'Downtime Log'!$B$5:$B$206,A9,'Downtime Log'!$C$5:$C$206,B9,'Downtime Log'!$G$5:$G$206,"Ya",'Downtime Log'!$D$5:$D$206,"&gt;="&amp;$B$3,'Downtime Log'!$D$5:$D$206,"&lt;"&amp;($B$4+1)))</f>
        <v/>
      </c>
      <c r="E9" s="64">
        <f>IF(A9="","",1-D9/$B$5)</f>
        <v/>
      </c>
      <c r="F9" s="62">
        <f>IF(A9="","",IF(E9&gt;=C9,"Tercapai","Breach"))</f>
        <v/>
      </c>
      <c r="G9" s="62">
        <f>IF(A9="","",ROUND($B$5*(1-C9),1))</f>
        <v/>
      </c>
      <c r="H9" s="62">
        <f>IF(A9="","",G9-D9)</f>
        <v/>
      </c>
      <c r="I9" s="65" t="n"/>
      <c r="J9" s="65" t="n"/>
      <c r="K9" s="66">
        <f>IF(OR(I9="",I9=0),"",J9/I9)</f>
        <v/>
      </c>
      <c r="L9" s="65" t="n"/>
    </row>
    <row r="10" ht="15" customHeight="1" s="37">
      <c r="A10" s="62">
        <f>IF('Parameter SLA'!B7="","",'Parameter SLA'!B7)</f>
        <v/>
      </c>
      <c r="B10" s="62">
        <f>IF('Parameter SLA'!C7="","",'Parameter SLA'!C7)</f>
        <v/>
      </c>
      <c r="C10" s="63">
        <f>IF('Parameter SLA'!D7="","",'Parameter SLA'!D7)</f>
        <v/>
      </c>
      <c r="D10" s="62">
        <f>IF(A10="","",SUMIFS('Downtime Log'!$F$5:$F$206,'Downtime Log'!$B$5:$B$206,A10,'Downtime Log'!$C$5:$C$206,B10,'Downtime Log'!$G$5:$G$206,"Ya",'Downtime Log'!$D$5:$D$206,"&gt;="&amp;$B$3,'Downtime Log'!$D$5:$D$206,"&lt;"&amp;($B$4+1)))</f>
        <v/>
      </c>
      <c r="E10" s="64">
        <f>IF(A10="","",1-D10/$B$5)</f>
        <v/>
      </c>
      <c r="F10" s="62">
        <f>IF(A10="","",IF(E10&gt;=C10,"Tercapai","Breach"))</f>
        <v/>
      </c>
      <c r="G10" s="62">
        <f>IF(A10="","",ROUND($B$5*(1-C10),1))</f>
        <v/>
      </c>
      <c r="H10" s="62">
        <f>IF(A10="","",G10-D10)</f>
        <v/>
      </c>
      <c r="I10" s="65" t="n"/>
      <c r="J10" s="65" t="n"/>
      <c r="K10" s="66">
        <f>IF(OR(I10="",I10=0),"",J10/I10)</f>
        <v/>
      </c>
      <c r="L10" s="65" t="n"/>
    </row>
    <row r="11" ht="15" customHeight="1" s="37">
      <c r="A11" s="62">
        <f>IF('Parameter SLA'!B8="","",'Parameter SLA'!B8)</f>
        <v/>
      </c>
      <c r="B11" s="62">
        <f>IF('Parameter SLA'!C8="","",'Parameter SLA'!C8)</f>
        <v/>
      </c>
      <c r="C11" s="63">
        <f>IF('Parameter SLA'!D8="","",'Parameter SLA'!D8)</f>
        <v/>
      </c>
      <c r="D11" s="62">
        <f>IF(A11="","",SUMIFS('Downtime Log'!$F$5:$F$206,'Downtime Log'!$B$5:$B$206,A11,'Downtime Log'!$C$5:$C$206,B11,'Downtime Log'!$G$5:$G$206,"Ya",'Downtime Log'!$D$5:$D$206,"&gt;="&amp;$B$3,'Downtime Log'!$D$5:$D$206,"&lt;"&amp;($B$4+1)))</f>
        <v/>
      </c>
      <c r="E11" s="64">
        <f>IF(A11="","",1-D11/$B$5)</f>
        <v/>
      </c>
      <c r="F11" s="62">
        <f>IF(A11="","",IF(E11&gt;=C11,"Tercapai","Breach"))</f>
        <v/>
      </c>
      <c r="G11" s="62">
        <f>IF(A11="","",ROUND($B$5*(1-C11),1))</f>
        <v/>
      </c>
      <c r="H11" s="62">
        <f>IF(A11="","",G11-D11)</f>
        <v/>
      </c>
      <c r="I11" s="65" t="n"/>
      <c r="J11" s="65" t="n"/>
      <c r="K11" s="66">
        <f>IF(OR(I11="",I11=0),"",J11/I11)</f>
        <v/>
      </c>
      <c r="L11" s="65" t="n"/>
    </row>
    <row r="12" ht="15" customHeight="1" s="37">
      <c r="A12" s="62">
        <f>IF('Parameter SLA'!B9="","",'Parameter SLA'!B9)</f>
        <v/>
      </c>
      <c r="B12" s="62">
        <f>IF('Parameter SLA'!C9="","",'Parameter SLA'!C9)</f>
        <v/>
      </c>
      <c r="C12" s="63">
        <f>IF('Parameter SLA'!D9="","",'Parameter SLA'!D9)</f>
        <v/>
      </c>
      <c r="D12" s="62">
        <f>IF(A12="","",SUMIFS('Downtime Log'!$F$5:$F$206,'Downtime Log'!$B$5:$B$206,A12,'Downtime Log'!$C$5:$C$206,B12,'Downtime Log'!$G$5:$G$206,"Ya",'Downtime Log'!$D$5:$D$206,"&gt;="&amp;$B$3,'Downtime Log'!$D$5:$D$206,"&lt;"&amp;($B$4+1)))</f>
        <v/>
      </c>
      <c r="E12" s="64">
        <f>IF(A12="","",1-D12/$B$5)</f>
        <v/>
      </c>
      <c r="F12" s="62">
        <f>IF(A12="","",IF(E12&gt;=C12,"Tercapai","Breach"))</f>
        <v/>
      </c>
      <c r="G12" s="62">
        <f>IF(A12="","",ROUND($B$5*(1-C12),1))</f>
        <v/>
      </c>
      <c r="H12" s="62">
        <f>IF(A12="","",G12-D12)</f>
        <v/>
      </c>
      <c r="I12" s="65" t="n"/>
      <c r="J12" s="65" t="n"/>
      <c r="K12" s="66">
        <f>IF(OR(I12="",I12=0),"",J12/I12)</f>
        <v/>
      </c>
      <c r="L12" s="65" t="n"/>
    </row>
    <row r="13" ht="15" customHeight="1" s="37">
      <c r="A13" s="62">
        <f>IF('Parameter SLA'!B10="","",'Parameter SLA'!B10)</f>
        <v/>
      </c>
      <c r="B13" s="62">
        <f>IF('Parameter SLA'!C10="","",'Parameter SLA'!C10)</f>
        <v/>
      </c>
      <c r="C13" s="63">
        <f>IF('Parameter SLA'!D10="","",'Parameter SLA'!D10)</f>
        <v/>
      </c>
      <c r="D13" s="62">
        <f>IF(A13="","",SUMIFS('Downtime Log'!$F$5:$F$206,'Downtime Log'!$B$5:$B$206,A13,'Downtime Log'!$C$5:$C$206,B13,'Downtime Log'!$G$5:$G$206,"Ya",'Downtime Log'!$D$5:$D$206,"&gt;="&amp;$B$3,'Downtime Log'!$D$5:$D$206,"&lt;"&amp;($B$4+1)))</f>
        <v/>
      </c>
      <c r="E13" s="64">
        <f>IF(A13="","",1-D13/$B$5)</f>
        <v/>
      </c>
      <c r="F13" s="62">
        <f>IF(A13="","",IF(E13&gt;=C13,"Tercapai","Breach"))</f>
        <v/>
      </c>
      <c r="G13" s="62">
        <f>IF(A13="","",ROUND($B$5*(1-C13),1))</f>
        <v/>
      </c>
      <c r="H13" s="62">
        <f>IF(A13="","",G13-D13)</f>
        <v/>
      </c>
      <c r="I13" s="65" t="n"/>
      <c r="J13" s="65" t="n"/>
      <c r="K13" s="66">
        <f>IF(OR(I13="",I13=0),"",J13/I13)</f>
        <v/>
      </c>
      <c r="L13" s="65" t="n"/>
    </row>
    <row r="14" ht="15" customHeight="1" s="37">
      <c r="A14" s="62">
        <f>IF('Parameter SLA'!B11="","",'Parameter SLA'!B11)</f>
        <v/>
      </c>
      <c r="B14" s="62">
        <f>IF('Parameter SLA'!C11="","",'Parameter SLA'!C11)</f>
        <v/>
      </c>
      <c r="C14" s="63">
        <f>IF('Parameter SLA'!D11="","",'Parameter SLA'!D11)</f>
        <v/>
      </c>
      <c r="D14" s="62">
        <f>IF(A14="","",SUMIFS('Downtime Log'!$F$5:$F$206,'Downtime Log'!$B$5:$B$206,A14,'Downtime Log'!$C$5:$C$206,B14,'Downtime Log'!$G$5:$G$206,"Ya",'Downtime Log'!$D$5:$D$206,"&gt;="&amp;$B$3,'Downtime Log'!$D$5:$D$206,"&lt;"&amp;($B$4+1)))</f>
        <v/>
      </c>
      <c r="E14" s="64">
        <f>IF(A14="","",1-D14/$B$5)</f>
        <v/>
      </c>
      <c r="F14" s="62">
        <f>IF(A14="","",IF(E14&gt;=C14,"Tercapai","Breach"))</f>
        <v/>
      </c>
      <c r="G14" s="62">
        <f>IF(A14="","",ROUND($B$5*(1-C14),1))</f>
        <v/>
      </c>
      <c r="H14" s="62">
        <f>IF(A14="","",G14-D14)</f>
        <v/>
      </c>
      <c r="I14" s="65" t="n"/>
      <c r="J14" s="65" t="n"/>
      <c r="K14" s="66">
        <f>IF(OR(I14="",I14=0),"",J14/I14)</f>
        <v/>
      </c>
      <c r="L14" s="65" t="n"/>
    </row>
    <row r="15" ht="15" customHeight="1" s="37">
      <c r="A15" s="62">
        <f>IF('Parameter SLA'!B12="","",'Parameter SLA'!B12)</f>
        <v/>
      </c>
      <c r="B15" s="62">
        <f>IF('Parameter SLA'!C12="","",'Parameter SLA'!C12)</f>
        <v/>
      </c>
      <c r="C15" s="63">
        <f>IF('Parameter SLA'!D12="","",'Parameter SLA'!D12)</f>
        <v/>
      </c>
      <c r="D15" s="62">
        <f>IF(A15="","",SUMIFS('Downtime Log'!$F$5:$F$206,'Downtime Log'!$B$5:$B$206,A15,'Downtime Log'!$C$5:$C$206,B15,'Downtime Log'!$G$5:$G$206,"Ya",'Downtime Log'!$D$5:$D$206,"&gt;="&amp;$B$3,'Downtime Log'!$D$5:$D$206,"&lt;"&amp;($B$4+1)))</f>
        <v/>
      </c>
      <c r="E15" s="64">
        <f>IF(A15="","",1-D15/$B$5)</f>
        <v/>
      </c>
      <c r="F15" s="62">
        <f>IF(A15="","",IF(E15&gt;=C15,"Tercapai","Breach"))</f>
        <v/>
      </c>
      <c r="G15" s="62">
        <f>IF(A15="","",ROUND($B$5*(1-C15),1))</f>
        <v/>
      </c>
      <c r="H15" s="62">
        <f>IF(A15="","",G15-D15)</f>
        <v/>
      </c>
      <c r="I15" s="65" t="n"/>
      <c r="J15" s="65" t="n"/>
      <c r="K15" s="66">
        <f>IF(OR(I15="",I15=0),"",J15/I15)</f>
        <v/>
      </c>
      <c r="L15" s="65" t="n"/>
    </row>
    <row r="16" ht="15" customHeight="1" s="37">
      <c r="A16" s="62">
        <f>IF('Parameter SLA'!B13="","",'Parameter SLA'!B13)</f>
        <v/>
      </c>
      <c r="B16" s="62">
        <f>IF('Parameter SLA'!C13="","",'Parameter SLA'!C13)</f>
        <v/>
      </c>
      <c r="C16" s="63">
        <f>IF('Parameter SLA'!D13="","",'Parameter SLA'!D13)</f>
        <v/>
      </c>
      <c r="D16" s="62">
        <f>IF(A16="","",SUMIFS('Downtime Log'!$F$5:$F$206,'Downtime Log'!$B$5:$B$206,A16,'Downtime Log'!$C$5:$C$206,B16,'Downtime Log'!$G$5:$G$206,"Ya",'Downtime Log'!$D$5:$D$206,"&gt;="&amp;$B$3,'Downtime Log'!$D$5:$D$206,"&lt;"&amp;($B$4+1)))</f>
        <v/>
      </c>
      <c r="E16" s="64">
        <f>IF(A16="","",1-D16/$B$5)</f>
        <v/>
      </c>
      <c r="F16" s="62">
        <f>IF(A16="","",IF(E16&gt;=C16,"Tercapai","Breach"))</f>
        <v/>
      </c>
      <c r="G16" s="62">
        <f>IF(A16="","",ROUND($B$5*(1-C16),1))</f>
        <v/>
      </c>
      <c r="H16" s="62">
        <f>IF(A16="","",G16-D16)</f>
        <v/>
      </c>
      <c r="I16" s="65" t="n"/>
      <c r="J16" s="65" t="n"/>
      <c r="K16" s="66">
        <f>IF(OR(I16="",I16=0),"",J16/I16)</f>
        <v/>
      </c>
      <c r="L16" s="65" t="n"/>
    </row>
    <row r="17" ht="15" customHeight="1" s="37">
      <c r="A17" s="62">
        <f>IF('Parameter SLA'!B14="","",'Parameter SLA'!B14)</f>
        <v/>
      </c>
      <c r="B17" s="62">
        <f>IF('Parameter SLA'!C14="","",'Parameter SLA'!C14)</f>
        <v/>
      </c>
      <c r="C17" s="63">
        <f>IF('Parameter SLA'!D14="","",'Parameter SLA'!D14)</f>
        <v/>
      </c>
      <c r="D17" s="62">
        <f>IF(A17="","",SUMIFS('Downtime Log'!$F$5:$F$206,'Downtime Log'!$B$5:$B$206,A17,'Downtime Log'!$C$5:$C$206,B17,'Downtime Log'!$G$5:$G$206,"Ya",'Downtime Log'!$D$5:$D$206,"&gt;="&amp;$B$3,'Downtime Log'!$D$5:$D$206,"&lt;"&amp;($B$4+1)))</f>
        <v/>
      </c>
      <c r="E17" s="64">
        <f>IF(A17="","",1-D17/$B$5)</f>
        <v/>
      </c>
      <c r="F17" s="62">
        <f>IF(A17="","",IF(E17&gt;=C17,"Tercapai","Breach"))</f>
        <v/>
      </c>
      <c r="G17" s="62">
        <f>IF(A17="","",ROUND($B$5*(1-C17),1))</f>
        <v/>
      </c>
      <c r="H17" s="62">
        <f>IF(A17="","",G17-D17)</f>
        <v/>
      </c>
      <c r="I17" s="65" t="n"/>
      <c r="J17" s="65" t="n"/>
      <c r="K17" s="66">
        <f>IF(OR(I17="",I17=0),"",J17/I17)</f>
        <v/>
      </c>
      <c r="L17" s="65" t="n"/>
    </row>
    <row r="18" ht="15" customHeight="1" s="37">
      <c r="A18" s="62">
        <f>IF('Parameter SLA'!B15="","",'Parameter SLA'!B15)</f>
        <v/>
      </c>
      <c r="B18" s="62">
        <f>IF('Parameter SLA'!C15="","",'Parameter SLA'!C15)</f>
        <v/>
      </c>
      <c r="C18" s="63">
        <f>IF('Parameter SLA'!D15="","",'Parameter SLA'!D15)</f>
        <v/>
      </c>
      <c r="D18" s="62">
        <f>IF(A18="","",SUMIFS('Downtime Log'!$F$5:$F$206,'Downtime Log'!$B$5:$B$206,A18,'Downtime Log'!$C$5:$C$206,B18,'Downtime Log'!$G$5:$G$206,"Ya",'Downtime Log'!$D$5:$D$206,"&gt;="&amp;$B$3,'Downtime Log'!$D$5:$D$206,"&lt;"&amp;($B$4+1)))</f>
        <v/>
      </c>
      <c r="E18" s="64">
        <f>IF(A18="","",1-D18/$B$5)</f>
        <v/>
      </c>
      <c r="F18" s="62">
        <f>IF(A18="","",IF(E18&gt;=C18,"Tercapai","Breach"))</f>
        <v/>
      </c>
      <c r="G18" s="62">
        <f>IF(A18="","",ROUND($B$5*(1-C18),1))</f>
        <v/>
      </c>
      <c r="H18" s="62">
        <f>IF(A18="","",G18-D18)</f>
        <v/>
      </c>
      <c r="I18" s="65" t="n"/>
      <c r="J18" s="65" t="n"/>
      <c r="K18" s="66">
        <f>IF(OR(I18="",I18=0),"",J18/I18)</f>
        <v/>
      </c>
      <c r="L18" s="65" t="n"/>
    </row>
    <row r="19" ht="15" customHeight="1" s="37">
      <c r="A19" s="62">
        <f>IF('Parameter SLA'!B16="","",'Parameter SLA'!B16)</f>
        <v/>
      </c>
      <c r="B19" s="62">
        <f>IF('Parameter SLA'!C16="","",'Parameter SLA'!C16)</f>
        <v/>
      </c>
      <c r="C19" s="63">
        <f>IF('Parameter SLA'!D16="","",'Parameter SLA'!D16)</f>
        <v/>
      </c>
      <c r="D19" s="62">
        <f>IF(A19="","",SUMIFS('Downtime Log'!$F$5:$F$206,'Downtime Log'!$B$5:$B$206,A19,'Downtime Log'!$C$5:$C$206,B19,'Downtime Log'!$G$5:$G$206,"Ya",'Downtime Log'!$D$5:$D$206,"&gt;="&amp;$B$3,'Downtime Log'!$D$5:$D$206,"&lt;"&amp;($B$4+1)))</f>
        <v/>
      </c>
      <c r="E19" s="64">
        <f>IF(A19="","",1-D19/$B$5)</f>
        <v/>
      </c>
      <c r="F19" s="62">
        <f>IF(A19="","",IF(E19&gt;=C19,"Tercapai","Breach"))</f>
        <v/>
      </c>
      <c r="G19" s="62">
        <f>IF(A19="","",ROUND($B$5*(1-C19),1))</f>
        <v/>
      </c>
      <c r="H19" s="62">
        <f>IF(A19="","",G19-D19)</f>
        <v/>
      </c>
      <c r="I19" s="65" t="n"/>
      <c r="J19" s="65" t="n"/>
      <c r="K19" s="66">
        <f>IF(OR(I19="",I19=0),"",J19/I19)</f>
        <v/>
      </c>
      <c r="L19" s="65" t="n"/>
    </row>
    <row r="20" ht="15" customHeight="1" s="37">
      <c r="A20" s="62">
        <f>IF('Parameter SLA'!B17="","",'Parameter SLA'!B17)</f>
        <v/>
      </c>
      <c r="B20" s="62">
        <f>IF('Parameter SLA'!C17="","",'Parameter SLA'!C17)</f>
        <v/>
      </c>
      <c r="C20" s="63">
        <f>IF('Parameter SLA'!D17="","",'Parameter SLA'!D17)</f>
        <v/>
      </c>
      <c r="D20" s="62">
        <f>IF(A20="","",SUMIFS('Downtime Log'!$F$5:$F$206,'Downtime Log'!$B$5:$B$206,A20,'Downtime Log'!$C$5:$C$206,B20,'Downtime Log'!$G$5:$G$206,"Ya",'Downtime Log'!$D$5:$D$206,"&gt;="&amp;$B$3,'Downtime Log'!$D$5:$D$206,"&lt;"&amp;($B$4+1)))</f>
        <v/>
      </c>
      <c r="E20" s="64">
        <f>IF(A20="","",1-D20/$B$5)</f>
        <v/>
      </c>
      <c r="F20" s="62">
        <f>IF(A20="","",IF(E20&gt;=C20,"Tercapai","Breach"))</f>
        <v/>
      </c>
      <c r="G20" s="62">
        <f>IF(A20="","",ROUND($B$5*(1-C20),1))</f>
        <v/>
      </c>
      <c r="H20" s="62">
        <f>IF(A20="","",G20-D20)</f>
        <v/>
      </c>
      <c r="I20" s="65" t="n"/>
      <c r="J20" s="65" t="n"/>
      <c r="K20" s="66">
        <f>IF(OR(I20="",I20=0),"",J20/I20)</f>
        <v/>
      </c>
      <c r="L20" s="65" t="n"/>
    </row>
    <row r="21" ht="15" customHeight="1" s="37">
      <c r="A21" s="62">
        <f>IF('Parameter SLA'!B18="","",'Parameter SLA'!B18)</f>
        <v/>
      </c>
      <c r="B21" s="62">
        <f>IF('Parameter SLA'!C18="","",'Parameter SLA'!C18)</f>
        <v/>
      </c>
      <c r="C21" s="63">
        <f>IF('Parameter SLA'!D18="","",'Parameter SLA'!D18)</f>
        <v/>
      </c>
      <c r="D21" s="62">
        <f>IF(A21="","",SUMIFS('Downtime Log'!$F$5:$F$206,'Downtime Log'!$B$5:$B$206,A21,'Downtime Log'!$C$5:$C$206,B21,'Downtime Log'!$G$5:$G$206,"Ya",'Downtime Log'!$D$5:$D$206,"&gt;="&amp;$B$3,'Downtime Log'!$D$5:$D$206,"&lt;"&amp;($B$4+1)))</f>
        <v/>
      </c>
      <c r="E21" s="64">
        <f>IF(A21="","",1-D21/$B$5)</f>
        <v/>
      </c>
      <c r="F21" s="62">
        <f>IF(A21="","",IF(E21&gt;=C21,"Tercapai","Breach"))</f>
        <v/>
      </c>
      <c r="G21" s="62">
        <f>IF(A21="","",ROUND($B$5*(1-C21),1))</f>
        <v/>
      </c>
      <c r="H21" s="62">
        <f>IF(A21="","",G21-D21)</f>
        <v/>
      </c>
      <c r="I21" s="65" t="n"/>
      <c r="J21" s="65" t="n"/>
      <c r="K21" s="66">
        <f>IF(OR(I21="",I21=0),"",J21/I21)</f>
        <v/>
      </c>
      <c r="L21" s="65" t="n"/>
    </row>
    <row r="22" ht="15" customHeight="1" s="37">
      <c r="A22" s="62">
        <f>IF('Parameter SLA'!B19="","",'Parameter SLA'!B19)</f>
        <v/>
      </c>
      <c r="B22" s="62">
        <f>IF('Parameter SLA'!C19="","",'Parameter SLA'!C19)</f>
        <v/>
      </c>
      <c r="C22" s="63">
        <f>IF('Parameter SLA'!D19="","",'Parameter SLA'!D19)</f>
        <v/>
      </c>
      <c r="D22" s="62">
        <f>IF(A22="","",SUMIFS('Downtime Log'!$F$5:$F$206,'Downtime Log'!$B$5:$B$206,A22,'Downtime Log'!$C$5:$C$206,B22,'Downtime Log'!$G$5:$G$206,"Ya",'Downtime Log'!$D$5:$D$206,"&gt;="&amp;$B$3,'Downtime Log'!$D$5:$D$206,"&lt;"&amp;($B$4+1)))</f>
        <v/>
      </c>
      <c r="E22" s="64">
        <f>IF(A22="","",1-D22/$B$5)</f>
        <v/>
      </c>
      <c r="F22" s="62">
        <f>IF(A22="","",IF(E22&gt;=C22,"Tercapai","Breach"))</f>
        <v/>
      </c>
      <c r="G22" s="62">
        <f>IF(A22="","",ROUND($B$5*(1-C22),1))</f>
        <v/>
      </c>
      <c r="H22" s="62">
        <f>IF(A22="","",G22-D22)</f>
        <v/>
      </c>
      <c r="I22" s="65" t="n"/>
      <c r="J22" s="65" t="n"/>
      <c r="K22" s="66">
        <f>IF(OR(I22="",I22=0),"",J22/I22)</f>
        <v/>
      </c>
      <c r="L22" s="65" t="n"/>
    </row>
    <row r="23" ht="15" customHeight="1" s="37">
      <c r="A23" s="62">
        <f>IF('Parameter SLA'!B20="","",'Parameter SLA'!B20)</f>
        <v/>
      </c>
      <c r="B23" s="62">
        <f>IF('Parameter SLA'!C20="","",'Parameter SLA'!C20)</f>
        <v/>
      </c>
      <c r="C23" s="63">
        <f>IF('Parameter SLA'!D20="","",'Parameter SLA'!D20)</f>
        <v/>
      </c>
      <c r="D23" s="62">
        <f>IF(A23="","",SUMIFS('Downtime Log'!$F$5:$F$206,'Downtime Log'!$B$5:$B$206,A23,'Downtime Log'!$C$5:$C$206,B23,'Downtime Log'!$G$5:$G$206,"Ya",'Downtime Log'!$D$5:$D$206,"&gt;="&amp;$B$3,'Downtime Log'!$D$5:$D$206,"&lt;"&amp;($B$4+1)))</f>
        <v/>
      </c>
      <c r="E23" s="64">
        <f>IF(A23="","",1-D23/$B$5)</f>
        <v/>
      </c>
      <c r="F23" s="62">
        <f>IF(A23="","",IF(E23&gt;=C23,"Tercapai","Breach"))</f>
        <v/>
      </c>
      <c r="G23" s="62">
        <f>IF(A23="","",ROUND($B$5*(1-C23),1))</f>
        <v/>
      </c>
      <c r="H23" s="62">
        <f>IF(A23="","",G23-D23)</f>
        <v/>
      </c>
      <c r="I23" s="65" t="n"/>
      <c r="J23" s="65" t="n"/>
      <c r="K23" s="66">
        <f>IF(OR(I23="",I23=0),"",J23/I23)</f>
        <v/>
      </c>
      <c r="L23" s="65" t="n"/>
    </row>
    <row r="24" ht="15" customHeight="1" s="37">
      <c r="A24" s="62">
        <f>IF('Parameter SLA'!B21="","",'Parameter SLA'!B21)</f>
        <v/>
      </c>
      <c r="B24" s="62">
        <f>IF('Parameter SLA'!C21="","",'Parameter SLA'!C21)</f>
        <v/>
      </c>
      <c r="C24" s="63">
        <f>IF('Parameter SLA'!D21="","",'Parameter SLA'!D21)</f>
        <v/>
      </c>
      <c r="D24" s="62">
        <f>IF(A24="","",SUMIFS('Downtime Log'!$F$5:$F$206,'Downtime Log'!$B$5:$B$206,A24,'Downtime Log'!$C$5:$C$206,B24,'Downtime Log'!$G$5:$G$206,"Ya",'Downtime Log'!$D$5:$D$206,"&gt;="&amp;$B$3,'Downtime Log'!$D$5:$D$206,"&lt;"&amp;($B$4+1)))</f>
        <v/>
      </c>
      <c r="E24" s="64">
        <f>IF(A24="","",1-D24/$B$5)</f>
        <v/>
      </c>
      <c r="F24" s="62">
        <f>IF(A24="","",IF(E24&gt;=C24,"Tercapai","Breach"))</f>
        <v/>
      </c>
      <c r="G24" s="62">
        <f>IF(A24="","",ROUND($B$5*(1-C24),1))</f>
        <v/>
      </c>
      <c r="H24" s="62">
        <f>IF(A24="","",G24-D24)</f>
        <v/>
      </c>
      <c r="I24" s="65" t="n"/>
      <c r="J24" s="65" t="n"/>
      <c r="K24" s="66">
        <f>IF(OR(I24="",I24=0),"",J24/I24)</f>
        <v/>
      </c>
      <c r="L24" s="65" t="n"/>
    </row>
    <row r="25" ht="15" customHeight="1" s="37">
      <c r="A25" s="62">
        <f>IF('Parameter SLA'!B22="","",'Parameter SLA'!B22)</f>
        <v/>
      </c>
      <c r="B25" s="62">
        <f>IF('Parameter SLA'!C22="","",'Parameter SLA'!C22)</f>
        <v/>
      </c>
      <c r="C25" s="63">
        <f>IF('Parameter SLA'!D22="","",'Parameter SLA'!D22)</f>
        <v/>
      </c>
      <c r="D25" s="62">
        <f>IF(A25="","",SUMIFS('Downtime Log'!$F$5:$F$206,'Downtime Log'!$B$5:$B$206,A25,'Downtime Log'!$C$5:$C$206,B25,'Downtime Log'!$G$5:$G$206,"Ya",'Downtime Log'!$D$5:$D$206,"&gt;="&amp;$B$3,'Downtime Log'!$D$5:$D$206,"&lt;"&amp;($B$4+1)))</f>
        <v/>
      </c>
      <c r="E25" s="64">
        <f>IF(A25="","",1-D25/$B$5)</f>
        <v/>
      </c>
      <c r="F25" s="62">
        <f>IF(A25="","",IF(E25&gt;=C25,"Tercapai","Breach"))</f>
        <v/>
      </c>
      <c r="G25" s="62">
        <f>IF(A25="","",ROUND($B$5*(1-C25),1))</f>
        <v/>
      </c>
      <c r="H25" s="62">
        <f>IF(A25="","",G25-D25)</f>
        <v/>
      </c>
      <c r="I25" s="65" t="n"/>
      <c r="J25" s="65" t="n"/>
      <c r="K25" s="66">
        <f>IF(OR(I25="",I25=0),"",J25/I25)</f>
        <v/>
      </c>
      <c r="L25" s="65" t="n"/>
    </row>
    <row r="26" ht="15" customHeight="1" s="37">
      <c r="A26" s="62">
        <f>IF('Parameter SLA'!B23="","",'Parameter SLA'!B23)</f>
        <v/>
      </c>
      <c r="B26" s="62">
        <f>IF('Parameter SLA'!C23="","",'Parameter SLA'!C23)</f>
        <v/>
      </c>
      <c r="C26" s="63">
        <f>IF('Parameter SLA'!D23="","",'Parameter SLA'!D23)</f>
        <v/>
      </c>
      <c r="D26" s="62">
        <f>IF(A26="","",SUMIFS('Downtime Log'!$F$5:$F$206,'Downtime Log'!$B$5:$B$206,A26,'Downtime Log'!$C$5:$C$206,B26,'Downtime Log'!$G$5:$G$206,"Ya",'Downtime Log'!$D$5:$D$206,"&gt;="&amp;$B$3,'Downtime Log'!$D$5:$D$206,"&lt;"&amp;($B$4+1)))</f>
        <v/>
      </c>
      <c r="E26" s="64">
        <f>IF(A26="","",1-D26/$B$5)</f>
        <v/>
      </c>
      <c r="F26" s="62">
        <f>IF(A26="","",IF(E26&gt;=C26,"Tercapai","Breach"))</f>
        <v/>
      </c>
      <c r="G26" s="62">
        <f>IF(A26="","",ROUND($B$5*(1-C26),1))</f>
        <v/>
      </c>
      <c r="H26" s="62">
        <f>IF(A26="","",G26-D26)</f>
        <v/>
      </c>
      <c r="I26" s="65" t="n"/>
      <c r="J26" s="65" t="n"/>
      <c r="K26" s="66">
        <f>IF(OR(I26="",I26=0),"",J26/I26)</f>
        <v/>
      </c>
      <c r="L26" s="65" t="n"/>
    </row>
    <row r="27" ht="15" customHeight="1" s="37">
      <c r="A27" s="62">
        <f>IF('Parameter SLA'!B24="","",'Parameter SLA'!B24)</f>
        <v/>
      </c>
      <c r="B27" s="62">
        <f>IF('Parameter SLA'!C24="","",'Parameter SLA'!C24)</f>
        <v/>
      </c>
      <c r="C27" s="63">
        <f>IF('Parameter SLA'!D24="","",'Parameter SLA'!D24)</f>
        <v/>
      </c>
      <c r="D27" s="62">
        <f>IF(A27="","",SUMIFS('Downtime Log'!$F$5:$F$206,'Downtime Log'!$B$5:$B$206,A27,'Downtime Log'!$C$5:$C$206,B27,'Downtime Log'!$G$5:$G$206,"Ya",'Downtime Log'!$D$5:$D$206,"&gt;="&amp;$B$3,'Downtime Log'!$D$5:$D$206,"&lt;"&amp;($B$4+1)))</f>
        <v/>
      </c>
      <c r="E27" s="64">
        <f>IF(A27="","",1-D27/$B$5)</f>
        <v/>
      </c>
      <c r="F27" s="62">
        <f>IF(A27="","",IF(E27&gt;=C27,"Tercapai","Breach"))</f>
        <v/>
      </c>
      <c r="G27" s="62">
        <f>IF(A27="","",ROUND($B$5*(1-C27),1))</f>
        <v/>
      </c>
      <c r="H27" s="62">
        <f>IF(A27="","",G27-D27)</f>
        <v/>
      </c>
      <c r="I27" s="65" t="n"/>
      <c r="J27" s="65" t="n"/>
      <c r="K27" s="66">
        <f>IF(OR(I27="",I27=0),"",J27/I27)</f>
        <v/>
      </c>
      <c r="L27" s="65" t="n"/>
    </row>
    <row r="28" ht="15" customHeight="1" s="37">
      <c r="A28" s="62">
        <f>IF('Parameter SLA'!B25="","",'Parameter SLA'!B25)</f>
        <v/>
      </c>
      <c r="B28" s="62">
        <f>IF('Parameter SLA'!C25="","",'Parameter SLA'!C25)</f>
        <v/>
      </c>
      <c r="C28" s="63">
        <f>IF('Parameter SLA'!D25="","",'Parameter SLA'!D25)</f>
        <v/>
      </c>
      <c r="D28" s="62">
        <f>IF(A28="","",SUMIFS('Downtime Log'!$F$5:$F$206,'Downtime Log'!$B$5:$B$206,A28,'Downtime Log'!$C$5:$C$206,B28,'Downtime Log'!$G$5:$G$206,"Ya",'Downtime Log'!$D$5:$D$206,"&gt;="&amp;$B$3,'Downtime Log'!$D$5:$D$206,"&lt;"&amp;($B$4+1)))</f>
        <v/>
      </c>
      <c r="E28" s="64">
        <f>IF(A28="","",1-D28/$B$5)</f>
        <v/>
      </c>
      <c r="F28" s="62">
        <f>IF(A28="","",IF(E28&gt;=C28,"Tercapai","Breach"))</f>
        <v/>
      </c>
      <c r="G28" s="62">
        <f>IF(A28="","",ROUND($B$5*(1-C28),1))</f>
        <v/>
      </c>
      <c r="H28" s="62">
        <f>IF(A28="","",G28-D28)</f>
        <v/>
      </c>
      <c r="I28" s="65" t="n"/>
      <c r="J28" s="65" t="n"/>
      <c r="K28" s="66">
        <f>IF(OR(I28="",I28=0),"",J28/I28)</f>
        <v/>
      </c>
      <c r="L28" s="65" t="n"/>
    </row>
    <row r="29" ht="15" customHeight="1" s="37">
      <c r="A29" s="62">
        <f>IF('Parameter SLA'!B26="","",'Parameter SLA'!B26)</f>
        <v/>
      </c>
      <c r="B29" s="62">
        <f>IF('Parameter SLA'!C26="","",'Parameter SLA'!C26)</f>
        <v/>
      </c>
      <c r="C29" s="63">
        <f>IF('Parameter SLA'!D26="","",'Parameter SLA'!D26)</f>
        <v/>
      </c>
      <c r="D29" s="62">
        <f>IF(A29="","",SUMIFS('Downtime Log'!$F$5:$F$206,'Downtime Log'!$B$5:$B$206,A29,'Downtime Log'!$C$5:$C$206,B29,'Downtime Log'!$G$5:$G$206,"Ya",'Downtime Log'!$D$5:$D$206,"&gt;="&amp;$B$3,'Downtime Log'!$D$5:$D$206,"&lt;"&amp;($B$4+1)))</f>
        <v/>
      </c>
      <c r="E29" s="64">
        <f>IF(A29="","",1-D29/$B$5)</f>
        <v/>
      </c>
      <c r="F29" s="62">
        <f>IF(A29="","",IF(E29&gt;=C29,"Tercapai","Breach"))</f>
        <v/>
      </c>
      <c r="G29" s="62">
        <f>IF(A29="","",ROUND($B$5*(1-C29),1))</f>
        <v/>
      </c>
      <c r="H29" s="62">
        <f>IF(A29="","",G29-D29)</f>
        <v/>
      </c>
      <c r="I29" s="65" t="n"/>
      <c r="J29" s="65" t="n"/>
      <c r="K29" s="66">
        <f>IF(OR(I29="",I29=0),"",J29/I29)</f>
        <v/>
      </c>
      <c r="L29" s="65" t="n"/>
    </row>
    <row r="30" ht="15" customHeight="1" s="37">
      <c r="A30" s="62">
        <f>IF('Parameter SLA'!B27="","",'Parameter SLA'!B27)</f>
        <v/>
      </c>
      <c r="B30" s="62">
        <f>IF('Parameter SLA'!C27="","",'Parameter SLA'!C27)</f>
        <v/>
      </c>
      <c r="C30" s="63">
        <f>IF('Parameter SLA'!D27="","",'Parameter SLA'!D27)</f>
        <v/>
      </c>
      <c r="D30" s="62">
        <f>IF(A30="","",SUMIFS('Downtime Log'!$F$5:$F$206,'Downtime Log'!$B$5:$B$206,A30,'Downtime Log'!$C$5:$C$206,B30,'Downtime Log'!$G$5:$G$206,"Ya",'Downtime Log'!$D$5:$D$206,"&gt;="&amp;$B$3,'Downtime Log'!$D$5:$D$206,"&lt;"&amp;($B$4+1)))</f>
        <v/>
      </c>
      <c r="E30" s="64">
        <f>IF(A30="","",1-D30/$B$5)</f>
        <v/>
      </c>
      <c r="F30" s="62">
        <f>IF(A30="","",IF(E30&gt;=C30,"Tercapai","Breach"))</f>
        <v/>
      </c>
      <c r="G30" s="62">
        <f>IF(A30="","",ROUND($B$5*(1-C30),1))</f>
        <v/>
      </c>
      <c r="H30" s="62">
        <f>IF(A30="","",G30-D30)</f>
        <v/>
      </c>
      <c r="I30" s="65" t="n"/>
      <c r="J30" s="65" t="n"/>
      <c r="K30" s="66">
        <f>IF(OR(I30="",I30=0),"",J30/I30)</f>
        <v/>
      </c>
      <c r="L30" s="65" t="n"/>
    </row>
    <row r="31" ht="15" customHeight="1" s="37">
      <c r="A31" s="62">
        <f>IF('Parameter SLA'!B28="","",'Parameter SLA'!B28)</f>
        <v/>
      </c>
      <c r="B31" s="62">
        <f>IF('Parameter SLA'!C28="","",'Parameter SLA'!C28)</f>
        <v/>
      </c>
      <c r="C31" s="63">
        <f>IF('Parameter SLA'!D28="","",'Parameter SLA'!D28)</f>
        <v/>
      </c>
      <c r="D31" s="62">
        <f>IF(A31="","",SUMIFS('Downtime Log'!$F$5:$F$206,'Downtime Log'!$B$5:$B$206,A31,'Downtime Log'!$C$5:$C$206,B31,'Downtime Log'!$G$5:$G$206,"Ya",'Downtime Log'!$D$5:$D$206,"&gt;="&amp;$B$3,'Downtime Log'!$D$5:$D$206,"&lt;"&amp;($B$4+1)))</f>
        <v/>
      </c>
      <c r="E31" s="64">
        <f>IF(A31="","",1-D31/$B$5)</f>
        <v/>
      </c>
      <c r="F31" s="62">
        <f>IF(A31="","",IF(E31&gt;=C31,"Tercapai","Breach"))</f>
        <v/>
      </c>
      <c r="G31" s="62">
        <f>IF(A31="","",ROUND($B$5*(1-C31),1))</f>
        <v/>
      </c>
      <c r="H31" s="62">
        <f>IF(A31="","",G31-D31)</f>
        <v/>
      </c>
      <c r="I31" s="65" t="n"/>
      <c r="J31" s="65" t="n"/>
      <c r="K31" s="66">
        <f>IF(OR(I31="",I31=0),"",J31/I31)</f>
        <v/>
      </c>
      <c r="L31" s="65" t="n"/>
    </row>
    <row r="32" ht="15" customHeight="1" s="37">
      <c r="A32" s="62">
        <f>IF('Parameter SLA'!B29="","",'Parameter SLA'!B29)</f>
        <v/>
      </c>
      <c r="B32" s="62">
        <f>IF('Parameter SLA'!C29="","",'Parameter SLA'!C29)</f>
        <v/>
      </c>
      <c r="C32" s="63">
        <f>IF('Parameter SLA'!D29="","",'Parameter SLA'!D29)</f>
        <v/>
      </c>
      <c r="D32" s="62">
        <f>IF(A32="","",SUMIFS('Downtime Log'!$F$5:$F$206,'Downtime Log'!$B$5:$B$206,A32,'Downtime Log'!$C$5:$C$206,B32,'Downtime Log'!$G$5:$G$206,"Ya",'Downtime Log'!$D$5:$D$206,"&gt;="&amp;$B$3,'Downtime Log'!$D$5:$D$206,"&lt;"&amp;($B$4+1)))</f>
        <v/>
      </c>
      <c r="E32" s="64">
        <f>IF(A32="","",1-D32/$B$5)</f>
        <v/>
      </c>
      <c r="F32" s="62">
        <f>IF(A32="","",IF(E32&gt;=C32,"Tercapai","Breach"))</f>
        <v/>
      </c>
      <c r="G32" s="62">
        <f>IF(A32="","",ROUND($B$5*(1-C32),1))</f>
        <v/>
      </c>
      <c r="H32" s="62">
        <f>IF(A32="","",G32-D32)</f>
        <v/>
      </c>
      <c r="I32" s="65" t="n"/>
      <c r="J32" s="65" t="n"/>
      <c r="K32" s="66">
        <f>IF(OR(I32="",I32=0),"",J32/I32)</f>
        <v/>
      </c>
      <c r="L32" s="65" t="n"/>
    </row>
    <row r="33" ht="15" customHeight="1" s="37">
      <c r="A33" s="62">
        <f>IF('Parameter SLA'!B30="","",'Parameter SLA'!B30)</f>
        <v/>
      </c>
      <c r="B33" s="62">
        <f>IF('Parameter SLA'!C30="","",'Parameter SLA'!C30)</f>
        <v/>
      </c>
      <c r="C33" s="63">
        <f>IF('Parameter SLA'!D30="","",'Parameter SLA'!D30)</f>
        <v/>
      </c>
      <c r="D33" s="62">
        <f>IF(A33="","",SUMIFS('Downtime Log'!$F$5:$F$206,'Downtime Log'!$B$5:$B$206,A33,'Downtime Log'!$C$5:$C$206,B33,'Downtime Log'!$G$5:$G$206,"Ya",'Downtime Log'!$D$5:$D$206,"&gt;="&amp;$B$3,'Downtime Log'!$D$5:$D$206,"&lt;"&amp;($B$4+1)))</f>
        <v/>
      </c>
      <c r="E33" s="64">
        <f>IF(A33="","",1-D33/$B$5)</f>
        <v/>
      </c>
      <c r="F33" s="62">
        <f>IF(A33="","",IF(E33&gt;=C33,"Tercapai","Breach"))</f>
        <v/>
      </c>
      <c r="G33" s="62">
        <f>IF(A33="","",ROUND($B$5*(1-C33),1))</f>
        <v/>
      </c>
      <c r="H33" s="62">
        <f>IF(A33="","",G33-D33)</f>
        <v/>
      </c>
      <c r="I33" s="65" t="n"/>
      <c r="J33" s="65" t="n"/>
      <c r="K33" s="66">
        <f>IF(OR(I33="",I33=0),"",J33/I33)</f>
        <v/>
      </c>
      <c r="L33" s="65" t="n"/>
    </row>
    <row r="34" ht="15" customHeight="1" s="37">
      <c r="A34" s="62">
        <f>IF('Parameter SLA'!B31="","",'Parameter SLA'!B31)</f>
        <v/>
      </c>
      <c r="B34" s="62">
        <f>IF('Parameter SLA'!C31="","",'Parameter SLA'!C31)</f>
        <v/>
      </c>
      <c r="C34" s="63">
        <f>IF('Parameter SLA'!D31="","",'Parameter SLA'!D31)</f>
        <v/>
      </c>
      <c r="D34" s="62">
        <f>IF(A34="","",SUMIFS('Downtime Log'!$F$5:$F$206,'Downtime Log'!$B$5:$B$206,A34,'Downtime Log'!$C$5:$C$206,B34,'Downtime Log'!$G$5:$G$206,"Ya",'Downtime Log'!$D$5:$D$206,"&gt;="&amp;$B$3,'Downtime Log'!$D$5:$D$206,"&lt;"&amp;($B$4+1)))</f>
        <v/>
      </c>
      <c r="E34" s="64">
        <f>IF(A34="","",1-D34/$B$5)</f>
        <v/>
      </c>
      <c r="F34" s="62">
        <f>IF(A34="","",IF(E34&gt;=C34,"Tercapai","Breach"))</f>
        <v/>
      </c>
      <c r="G34" s="62">
        <f>IF(A34="","",ROUND($B$5*(1-C34),1))</f>
        <v/>
      </c>
      <c r="H34" s="62">
        <f>IF(A34="","",G34-D34)</f>
        <v/>
      </c>
      <c r="I34" s="65" t="n"/>
      <c r="J34" s="65" t="n"/>
      <c r="K34" s="66">
        <f>IF(OR(I34="",I34=0),"",J34/I34)</f>
        <v/>
      </c>
      <c r="L34" s="65" t="n"/>
    </row>
    <row r="35" ht="15" customHeight="1" s="37">
      <c r="A35" s="62">
        <f>IF('Parameter SLA'!B32="","",'Parameter SLA'!B32)</f>
        <v/>
      </c>
      <c r="B35" s="62">
        <f>IF('Parameter SLA'!C32="","",'Parameter SLA'!C32)</f>
        <v/>
      </c>
      <c r="C35" s="63">
        <f>IF('Parameter SLA'!D32="","",'Parameter SLA'!D32)</f>
        <v/>
      </c>
      <c r="D35" s="62">
        <f>IF(A35="","",SUMIFS('Downtime Log'!$F$5:$F$206,'Downtime Log'!$B$5:$B$206,A35,'Downtime Log'!$C$5:$C$206,B35,'Downtime Log'!$G$5:$G$206,"Ya",'Downtime Log'!$D$5:$D$206,"&gt;="&amp;$B$3,'Downtime Log'!$D$5:$D$206,"&lt;"&amp;($B$4+1)))</f>
        <v/>
      </c>
      <c r="E35" s="64">
        <f>IF(A35="","",1-D35/$B$5)</f>
        <v/>
      </c>
      <c r="F35" s="62">
        <f>IF(A35="","",IF(E35&gt;=C35,"Tercapai","Breach"))</f>
        <v/>
      </c>
      <c r="G35" s="62">
        <f>IF(A35="","",ROUND($B$5*(1-C35),1))</f>
        <v/>
      </c>
      <c r="H35" s="62">
        <f>IF(A35="","",G35-D35)</f>
        <v/>
      </c>
      <c r="I35" s="65" t="n"/>
      <c r="J35" s="65" t="n"/>
      <c r="K35" s="66">
        <f>IF(OR(I35="",I35=0),"",J35/I35)</f>
        <v/>
      </c>
      <c r="L35" s="65" t="n"/>
    </row>
    <row r="36" ht="15" customHeight="1" s="37">
      <c r="A36" s="62">
        <f>IF('Parameter SLA'!B33="","",'Parameter SLA'!B33)</f>
        <v/>
      </c>
      <c r="B36" s="62">
        <f>IF('Parameter SLA'!C33="","",'Parameter SLA'!C33)</f>
        <v/>
      </c>
      <c r="C36" s="63">
        <f>IF('Parameter SLA'!D33="","",'Parameter SLA'!D33)</f>
        <v/>
      </c>
      <c r="D36" s="62">
        <f>IF(A36="","",SUMIFS('Downtime Log'!$F$5:$F$206,'Downtime Log'!$B$5:$B$206,A36,'Downtime Log'!$C$5:$C$206,B36,'Downtime Log'!$G$5:$G$206,"Ya",'Downtime Log'!$D$5:$D$206,"&gt;="&amp;$B$3,'Downtime Log'!$D$5:$D$206,"&lt;"&amp;($B$4+1)))</f>
        <v/>
      </c>
      <c r="E36" s="64">
        <f>IF(A36="","",1-D36/$B$5)</f>
        <v/>
      </c>
      <c r="F36" s="62">
        <f>IF(A36="","",IF(E36&gt;=C36,"Tercapai","Breach"))</f>
        <v/>
      </c>
      <c r="G36" s="62">
        <f>IF(A36="","",ROUND($B$5*(1-C36),1))</f>
        <v/>
      </c>
      <c r="H36" s="62">
        <f>IF(A36="","",G36-D36)</f>
        <v/>
      </c>
      <c r="I36" s="65" t="n"/>
      <c r="J36" s="65" t="n"/>
      <c r="K36" s="66">
        <f>IF(OR(I36="",I36=0),"",J36/I36)</f>
        <v/>
      </c>
      <c r="L36" s="65" t="n"/>
    </row>
    <row r="37" ht="15" customHeight="1" s="37">
      <c r="A37" s="62">
        <f>IF('Parameter SLA'!B34="","",'Parameter SLA'!B34)</f>
        <v/>
      </c>
      <c r="B37" s="62">
        <f>IF('Parameter SLA'!C34="","",'Parameter SLA'!C34)</f>
        <v/>
      </c>
      <c r="C37" s="63">
        <f>IF('Parameter SLA'!D34="","",'Parameter SLA'!D34)</f>
        <v/>
      </c>
      <c r="D37" s="62">
        <f>IF(A37="","",SUMIFS('Downtime Log'!$F$5:$F$206,'Downtime Log'!$B$5:$B$206,A37,'Downtime Log'!$C$5:$C$206,B37,'Downtime Log'!$G$5:$G$206,"Ya",'Downtime Log'!$D$5:$D$206,"&gt;="&amp;$B$3,'Downtime Log'!$D$5:$D$206,"&lt;"&amp;($B$4+1)))</f>
        <v/>
      </c>
      <c r="E37" s="64">
        <f>IF(A37="","",1-D37/$B$5)</f>
        <v/>
      </c>
      <c r="F37" s="62">
        <f>IF(A37="","",IF(E37&gt;=C37,"Tercapai","Breach"))</f>
        <v/>
      </c>
      <c r="G37" s="62">
        <f>IF(A37="","",ROUND($B$5*(1-C37),1))</f>
        <v/>
      </c>
      <c r="H37" s="62">
        <f>IF(A37="","",G37-D37)</f>
        <v/>
      </c>
      <c r="I37" s="65" t="n"/>
      <c r="J37" s="65" t="n"/>
      <c r="K37" s="66">
        <f>IF(OR(I37="",I37=0),"",J37/I37)</f>
        <v/>
      </c>
      <c r="L37" s="65" t="n"/>
    </row>
    <row r="38" ht="15" customHeight="1" s="37">
      <c r="A38" s="62">
        <f>IF('Parameter SLA'!B35="","",'Parameter SLA'!B35)</f>
        <v/>
      </c>
      <c r="B38" s="62">
        <f>IF('Parameter SLA'!C35="","",'Parameter SLA'!C35)</f>
        <v/>
      </c>
      <c r="C38" s="63">
        <f>IF('Parameter SLA'!D35="","",'Parameter SLA'!D35)</f>
        <v/>
      </c>
      <c r="D38" s="62">
        <f>IF(A38="","",SUMIFS('Downtime Log'!$F$5:$F$206,'Downtime Log'!$B$5:$B$206,A38,'Downtime Log'!$C$5:$C$206,B38,'Downtime Log'!$G$5:$G$206,"Ya",'Downtime Log'!$D$5:$D$206,"&gt;="&amp;$B$3,'Downtime Log'!$D$5:$D$206,"&lt;"&amp;($B$4+1)))</f>
        <v/>
      </c>
      <c r="E38" s="64">
        <f>IF(A38="","",1-D38/$B$5)</f>
        <v/>
      </c>
      <c r="F38" s="62">
        <f>IF(A38="","",IF(E38&gt;=C38,"Tercapai","Breach"))</f>
        <v/>
      </c>
      <c r="G38" s="62">
        <f>IF(A38="","",ROUND($B$5*(1-C38),1))</f>
        <v/>
      </c>
      <c r="H38" s="62">
        <f>IF(A38="","",G38-D38)</f>
        <v/>
      </c>
      <c r="I38" s="65" t="n"/>
      <c r="J38" s="65" t="n"/>
      <c r="K38" s="66">
        <f>IF(OR(I38="",I38=0),"",J38/I38)</f>
        <v/>
      </c>
      <c r="L38" s="65" t="n"/>
    </row>
    <row r="39" ht="15" customHeight="1" s="37">
      <c r="A39" s="62">
        <f>IF('Parameter SLA'!B36="","",'Parameter SLA'!B36)</f>
        <v/>
      </c>
      <c r="B39" s="62">
        <f>IF('Parameter SLA'!C36="","",'Parameter SLA'!C36)</f>
        <v/>
      </c>
      <c r="C39" s="63">
        <f>IF('Parameter SLA'!D36="","",'Parameter SLA'!D36)</f>
        <v/>
      </c>
      <c r="D39" s="62">
        <f>IF(A39="","",SUMIFS('Downtime Log'!$F$5:$F$206,'Downtime Log'!$B$5:$B$206,A39,'Downtime Log'!$C$5:$C$206,B39,'Downtime Log'!$G$5:$G$206,"Ya",'Downtime Log'!$D$5:$D$206,"&gt;="&amp;$B$3,'Downtime Log'!$D$5:$D$206,"&lt;"&amp;($B$4+1)))</f>
        <v/>
      </c>
      <c r="E39" s="64">
        <f>IF(A39="","",1-D39/$B$5)</f>
        <v/>
      </c>
      <c r="F39" s="62">
        <f>IF(A39="","",IF(E39&gt;=C39,"Tercapai","Breach"))</f>
        <v/>
      </c>
      <c r="G39" s="62">
        <f>IF(A39="","",ROUND($B$5*(1-C39),1))</f>
        <v/>
      </c>
      <c r="H39" s="62">
        <f>IF(A39="","",G39-D39)</f>
        <v/>
      </c>
      <c r="I39" s="65" t="n"/>
      <c r="J39" s="65" t="n"/>
      <c r="K39" s="66">
        <f>IF(OR(I39="",I39=0),"",J39/I39)</f>
        <v/>
      </c>
      <c r="L39" s="65" t="n"/>
    </row>
    <row r="40" ht="15" customHeight="1" s="37">
      <c r="A40" s="62">
        <f>IF('Parameter SLA'!B37="","",'Parameter SLA'!B37)</f>
        <v/>
      </c>
      <c r="B40" s="62">
        <f>IF('Parameter SLA'!C37="","",'Parameter SLA'!C37)</f>
        <v/>
      </c>
      <c r="C40" s="63">
        <f>IF('Parameter SLA'!D37="","",'Parameter SLA'!D37)</f>
        <v/>
      </c>
      <c r="D40" s="62">
        <f>IF(A40="","",SUMIFS('Downtime Log'!$F$5:$F$206,'Downtime Log'!$B$5:$B$206,A40,'Downtime Log'!$C$5:$C$206,B40,'Downtime Log'!$G$5:$G$206,"Ya",'Downtime Log'!$D$5:$D$206,"&gt;="&amp;$B$3,'Downtime Log'!$D$5:$D$206,"&lt;"&amp;($B$4+1)))</f>
        <v/>
      </c>
      <c r="E40" s="64">
        <f>IF(A40="","",1-D40/$B$5)</f>
        <v/>
      </c>
      <c r="F40" s="62">
        <f>IF(A40="","",IF(E40&gt;=C40,"Tercapai","Breach"))</f>
        <v/>
      </c>
      <c r="G40" s="62">
        <f>IF(A40="","",ROUND($B$5*(1-C40),1))</f>
        <v/>
      </c>
      <c r="H40" s="62">
        <f>IF(A40="","",G40-D40)</f>
        <v/>
      </c>
      <c r="I40" s="65" t="n"/>
      <c r="J40" s="65" t="n"/>
      <c r="K40" s="66">
        <f>IF(OR(I40="",I40=0),"",J40/I40)</f>
        <v/>
      </c>
      <c r="L40" s="65" t="n"/>
    </row>
    <row r="41" ht="15" customHeight="1" s="37">
      <c r="A41" s="62">
        <f>IF('Parameter SLA'!B38="","",'Parameter SLA'!B38)</f>
        <v/>
      </c>
      <c r="B41" s="62">
        <f>IF('Parameter SLA'!C38="","",'Parameter SLA'!C38)</f>
        <v/>
      </c>
      <c r="C41" s="63">
        <f>IF('Parameter SLA'!D38="","",'Parameter SLA'!D38)</f>
        <v/>
      </c>
      <c r="D41" s="62">
        <f>IF(A41="","",SUMIFS('Downtime Log'!$F$5:$F$206,'Downtime Log'!$B$5:$B$206,A41,'Downtime Log'!$C$5:$C$206,B41,'Downtime Log'!$G$5:$G$206,"Ya",'Downtime Log'!$D$5:$D$206,"&gt;="&amp;$B$3,'Downtime Log'!$D$5:$D$206,"&lt;"&amp;($B$4+1)))</f>
        <v/>
      </c>
      <c r="E41" s="64">
        <f>IF(A41="","",1-D41/$B$5)</f>
        <v/>
      </c>
      <c r="F41" s="62">
        <f>IF(A41="","",IF(E41&gt;=C41,"Tercapai","Breach"))</f>
        <v/>
      </c>
      <c r="G41" s="62">
        <f>IF(A41="","",ROUND($B$5*(1-C41),1))</f>
        <v/>
      </c>
      <c r="H41" s="62">
        <f>IF(A41="","",G41-D41)</f>
        <v/>
      </c>
      <c r="I41" s="65" t="n"/>
      <c r="J41" s="65" t="n"/>
      <c r="K41" s="66">
        <f>IF(OR(I41="",I41=0),"",J41/I41)</f>
        <v/>
      </c>
      <c r="L41" s="65" t="n"/>
    </row>
    <row r="42" ht="15" customHeight="1" s="37">
      <c r="A42" s="62">
        <f>IF('Parameter SLA'!B39="","",'Parameter SLA'!B39)</f>
        <v/>
      </c>
      <c r="B42" s="62">
        <f>IF('Parameter SLA'!C39="","",'Parameter SLA'!C39)</f>
        <v/>
      </c>
      <c r="C42" s="63">
        <f>IF('Parameter SLA'!D39="","",'Parameter SLA'!D39)</f>
        <v/>
      </c>
      <c r="D42" s="62">
        <f>IF(A42="","",SUMIFS('Downtime Log'!$F$5:$F$206,'Downtime Log'!$B$5:$B$206,A42,'Downtime Log'!$C$5:$C$206,B42,'Downtime Log'!$G$5:$G$206,"Ya",'Downtime Log'!$D$5:$D$206,"&gt;="&amp;$B$3,'Downtime Log'!$D$5:$D$206,"&lt;"&amp;($B$4+1)))</f>
        <v/>
      </c>
      <c r="E42" s="64">
        <f>IF(A42="","",1-D42/$B$5)</f>
        <v/>
      </c>
      <c r="F42" s="62">
        <f>IF(A42="","",IF(E42&gt;=C42,"Tercapai","Breach"))</f>
        <v/>
      </c>
      <c r="G42" s="62">
        <f>IF(A42="","",ROUND($B$5*(1-C42),1))</f>
        <v/>
      </c>
      <c r="H42" s="62">
        <f>IF(A42="","",G42-D42)</f>
        <v/>
      </c>
      <c r="I42" s="65" t="n"/>
      <c r="J42" s="65" t="n"/>
      <c r="K42" s="66">
        <f>IF(OR(I42="",I42=0),"",J42/I42)</f>
        <v/>
      </c>
      <c r="L42" s="65" t="n"/>
    </row>
    <row r="43" ht="15" customHeight="1" s="37">
      <c r="A43" s="62">
        <f>IF('Parameter SLA'!B40="","",'Parameter SLA'!B40)</f>
        <v/>
      </c>
      <c r="B43" s="62">
        <f>IF('Parameter SLA'!C40="","",'Parameter SLA'!C40)</f>
        <v/>
      </c>
      <c r="C43" s="63">
        <f>IF('Parameter SLA'!D40="","",'Parameter SLA'!D40)</f>
        <v/>
      </c>
      <c r="D43" s="62">
        <f>IF(A43="","",SUMIFS('Downtime Log'!$F$5:$F$206,'Downtime Log'!$B$5:$B$206,A43,'Downtime Log'!$C$5:$C$206,B43,'Downtime Log'!$G$5:$G$206,"Ya",'Downtime Log'!$D$5:$D$206,"&gt;="&amp;$B$3,'Downtime Log'!$D$5:$D$206,"&lt;"&amp;($B$4+1)))</f>
        <v/>
      </c>
      <c r="E43" s="64">
        <f>IF(A43="","",1-D43/$B$5)</f>
        <v/>
      </c>
      <c r="F43" s="62">
        <f>IF(A43="","",IF(E43&gt;=C43,"Tercapai","Breach"))</f>
        <v/>
      </c>
      <c r="G43" s="62">
        <f>IF(A43="","",ROUND($B$5*(1-C43),1))</f>
        <v/>
      </c>
      <c r="H43" s="62">
        <f>IF(A43="","",G43-D43)</f>
        <v/>
      </c>
      <c r="I43" s="65" t="n"/>
      <c r="J43" s="65" t="n"/>
      <c r="K43" s="66">
        <f>IF(OR(I43="",I43=0),"",J43/I43)</f>
        <v/>
      </c>
      <c r="L43" s="65" t="n"/>
    </row>
    <row r="44" ht="15" customHeight="1" s="37">
      <c r="A44" s="62">
        <f>IF('Parameter SLA'!B41="","",'Parameter SLA'!B41)</f>
        <v/>
      </c>
      <c r="B44" s="62">
        <f>IF('Parameter SLA'!C41="","",'Parameter SLA'!C41)</f>
        <v/>
      </c>
      <c r="C44" s="63">
        <f>IF('Parameter SLA'!D41="","",'Parameter SLA'!D41)</f>
        <v/>
      </c>
      <c r="D44" s="62">
        <f>IF(A44="","",SUMIFS('Downtime Log'!$F$5:$F$206,'Downtime Log'!$B$5:$B$206,A44,'Downtime Log'!$C$5:$C$206,B44,'Downtime Log'!$G$5:$G$206,"Ya",'Downtime Log'!$D$5:$D$206,"&gt;="&amp;$B$3,'Downtime Log'!$D$5:$D$206,"&lt;"&amp;($B$4+1)))</f>
        <v/>
      </c>
      <c r="E44" s="64">
        <f>IF(A44="","",1-D44/$B$5)</f>
        <v/>
      </c>
      <c r="F44" s="62">
        <f>IF(A44="","",IF(E44&gt;=C44,"Tercapai","Breach"))</f>
        <v/>
      </c>
      <c r="G44" s="62">
        <f>IF(A44="","",ROUND($B$5*(1-C44),1))</f>
        <v/>
      </c>
      <c r="H44" s="62">
        <f>IF(A44="","",G44-D44)</f>
        <v/>
      </c>
      <c r="I44" s="65" t="n"/>
      <c r="J44" s="65" t="n"/>
      <c r="K44" s="66">
        <f>IF(OR(I44="",I44=0),"",J44/I44)</f>
        <v/>
      </c>
      <c r="L44" s="65" t="n"/>
    </row>
    <row r="45" ht="15" customHeight="1" s="37">
      <c r="A45" s="62">
        <f>IF('Parameter SLA'!B42="","",'Parameter SLA'!B42)</f>
        <v/>
      </c>
      <c r="B45" s="62">
        <f>IF('Parameter SLA'!C42="","",'Parameter SLA'!C42)</f>
        <v/>
      </c>
      <c r="C45" s="63">
        <f>IF('Parameter SLA'!D42="","",'Parameter SLA'!D42)</f>
        <v/>
      </c>
      <c r="D45" s="62">
        <f>IF(A45="","",SUMIFS('Downtime Log'!$F$5:$F$206,'Downtime Log'!$B$5:$B$206,A45,'Downtime Log'!$C$5:$C$206,B45,'Downtime Log'!$G$5:$G$206,"Ya",'Downtime Log'!$D$5:$D$206,"&gt;="&amp;$B$3,'Downtime Log'!$D$5:$D$206,"&lt;"&amp;($B$4+1)))</f>
        <v/>
      </c>
      <c r="E45" s="64">
        <f>IF(A45="","",1-D45/$B$5)</f>
        <v/>
      </c>
      <c r="F45" s="62">
        <f>IF(A45="","",IF(E45&gt;=C45,"Tercapai","Breach"))</f>
        <v/>
      </c>
      <c r="G45" s="62">
        <f>IF(A45="","",ROUND($B$5*(1-C45),1))</f>
        <v/>
      </c>
      <c r="H45" s="62">
        <f>IF(A45="","",G45-D45)</f>
        <v/>
      </c>
      <c r="I45" s="65" t="n"/>
      <c r="J45" s="65" t="n"/>
      <c r="K45" s="66">
        <f>IF(OR(I45="",I45=0),"",J45/I45)</f>
        <v/>
      </c>
      <c r="L45" s="65" t="n"/>
    </row>
    <row r="46" ht="15" customHeight="1" s="37">
      <c r="A46" s="62">
        <f>IF('Parameter SLA'!B43="","",'Parameter SLA'!B43)</f>
        <v/>
      </c>
      <c r="B46" s="62">
        <f>IF('Parameter SLA'!C43="","",'Parameter SLA'!C43)</f>
        <v/>
      </c>
      <c r="C46" s="63">
        <f>IF('Parameter SLA'!D43="","",'Parameter SLA'!D43)</f>
        <v/>
      </c>
      <c r="D46" s="62">
        <f>IF(A46="","",SUMIFS('Downtime Log'!$F$5:$F$206,'Downtime Log'!$B$5:$B$206,A46,'Downtime Log'!$C$5:$C$206,B46,'Downtime Log'!$G$5:$G$206,"Ya",'Downtime Log'!$D$5:$D$206,"&gt;="&amp;$B$3,'Downtime Log'!$D$5:$D$206,"&lt;"&amp;($B$4+1)))</f>
        <v/>
      </c>
      <c r="E46" s="64">
        <f>IF(A46="","",1-D46/$B$5)</f>
        <v/>
      </c>
      <c r="F46" s="62">
        <f>IF(A46="","",IF(E46&gt;=C46,"Tercapai","Breach"))</f>
        <v/>
      </c>
      <c r="G46" s="62">
        <f>IF(A46="","",ROUND($B$5*(1-C46),1))</f>
        <v/>
      </c>
      <c r="H46" s="62">
        <f>IF(A46="","",G46-D46)</f>
        <v/>
      </c>
      <c r="I46" s="65" t="n"/>
      <c r="J46" s="65" t="n"/>
      <c r="K46" s="66">
        <f>IF(OR(I46="",I46=0),"",J46/I46)</f>
        <v/>
      </c>
      <c r="L46" s="65" t="n"/>
    </row>
    <row r="47" ht="15" customHeight="1" s="37">
      <c r="A47" s="62">
        <f>IF('Parameter SLA'!B44="","",'Parameter SLA'!B44)</f>
        <v/>
      </c>
      <c r="B47" s="62">
        <f>IF('Parameter SLA'!C44="","",'Parameter SLA'!C44)</f>
        <v/>
      </c>
      <c r="C47" s="63">
        <f>IF('Parameter SLA'!D44="","",'Parameter SLA'!D44)</f>
        <v/>
      </c>
      <c r="D47" s="62">
        <f>IF(A47="","",SUMIFS('Downtime Log'!$F$5:$F$206,'Downtime Log'!$B$5:$B$206,A47,'Downtime Log'!$C$5:$C$206,B47,'Downtime Log'!$G$5:$G$206,"Ya",'Downtime Log'!$D$5:$D$206,"&gt;="&amp;$B$3,'Downtime Log'!$D$5:$D$206,"&lt;"&amp;($B$4+1)))</f>
        <v/>
      </c>
      <c r="E47" s="64">
        <f>IF(A47="","",1-D47/$B$5)</f>
        <v/>
      </c>
      <c r="F47" s="62">
        <f>IF(A47="","",IF(E47&gt;=C47,"Tercapai","Breach"))</f>
        <v/>
      </c>
      <c r="G47" s="62">
        <f>IF(A47="","",ROUND($B$5*(1-C47),1))</f>
        <v/>
      </c>
      <c r="H47" s="62">
        <f>IF(A47="","",G47-D47)</f>
        <v/>
      </c>
      <c r="I47" s="65" t="n"/>
      <c r="J47" s="65" t="n"/>
      <c r="K47" s="66">
        <f>IF(OR(I47="",I47=0),"",J47/I47)</f>
        <v/>
      </c>
      <c r="L47" s="65" t="n"/>
    </row>
    <row r="48" s="37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</row>
    <row r="49" ht="57" customHeight="1" s="37">
      <c r="A49" s="77" t="inlineStr">
        <is>
          <t>Disusun (Service Delivery Manager)</t>
        </is>
      </c>
      <c r="B49" s="78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</row>
    <row r="50" ht="30" customHeight="1" s="37">
      <c r="A50" s="77" t="inlineStr">
        <is>
          <t>Diperiksa (Head of Operation)</t>
        </is>
      </c>
      <c r="B50" s="78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</row>
  </sheetData>
  <conditionalFormatting sqref="F8:F47">
    <cfRule type="cellIs" rank="0" priority="2" equalAverage="0" operator="equal" aboveAverage="0" dxfId="7" text="" percent="0" bottom="0">
      <formula>"Tercapai"</formula>
    </cfRule>
    <cfRule type="cellIs" rank="0" priority="3" equalAverage="0" operator="equal" aboveAverage="0" dxfId="6" text="" percent="0" bottom="0">
      <formula>"Breach"</formula>
    </cfRule>
  </conditionalFormatting>
  <conditionalFormatting sqref="H8:H47">
    <cfRule type="cellIs" rank="0" priority="4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2026-10-13T06:09:06Z</dcterms:created>
  <dcterms:modified xmlns:dcterms="http://purl.org/dc/terms/" xmlns:xsi="http://www.w3.org/2001/XMLSchema-instance" xsi:type="dcterms:W3CDTF">2026-10-15T07:25:14Z</dcterms:modified>
  <cp:revision>0</cp:revision>
</cp:coreProperties>
</file>