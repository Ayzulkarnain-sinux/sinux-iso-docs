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Kontrol Dokumen" sheetId="1" state="visible" r:id="rId1"/>
    <sheet xmlns:r="http://schemas.openxmlformats.org/officeDocument/2006/relationships" name="Alur Proses" sheetId="2" state="visible" r:id="rId2"/>
    <sheet xmlns:r="http://schemas.openxmlformats.org/officeDocument/2006/relationships" name="Daftar" sheetId="3" state="visible" r:id="rId3"/>
    <sheet xmlns:r="http://schemas.openxmlformats.org/officeDocument/2006/relationships" name="Rencana Uji" sheetId="4" state="visible" r:id="rId4"/>
    <sheet xmlns:r="http://schemas.openxmlformats.org/officeDocument/2006/relationships" name="Kasus Uji" sheetId="5" state="visible" r:id="rId5"/>
    <sheet xmlns:r="http://schemas.openxmlformats.org/officeDocument/2006/relationships" name="Defect" sheetId="6" state="visible" r:id="rId6"/>
    <sheet xmlns:r="http://schemas.openxmlformats.org/officeDocument/2006/relationships" name="Ringkasan dan Persetujuan" sheetId="7" state="visible" r:id="rId7"/>
  </sheets>
  <definedNames>
    <definedName name="_xlnm.Print_Titles" localSheetId="2">'Daftar'!$1:$1</definedName>
    <definedName name="_xlnm._FilterDatabase" localSheetId="4" hidden="1">'Kasus Uji'!$A$4:$K$87</definedName>
    <definedName name="_xlnm.Print_Titles" localSheetId="4">'Kasus Uji'!$4:$4</definedName>
    <definedName name="_xlnm._FilterDatabase" localSheetId="5" hidden="1">'Defect'!$A$4:$I$45</definedName>
    <definedName name="_xlnm.Print_Titles" localSheetId="5">'Defect'!$4:$4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dd\-mmm\-yyyy"/>
    <numFmt numFmtId="165" formatCode="0.0%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A5F"/>
      <sz val="15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1F3A5F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F3A5F"/>
      <sz val="13"/>
    </font>
  </fonts>
  <fills count="6">
    <fill>
      <patternFill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E7EEF7"/>
        <bgColor rgb="FFF2F2F2"/>
      </patternFill>
    </fill>
    <fill>
      <patternFill patternType="solid">
        <fgColor rgb="FFF2F2F2"/>
        <bgColor rgb="FFE7EEF7"/>
      </patternFill>
    </fill>
    <fill>
      <patternFill patternType="solid">
        <fgColor rgb="FF1F3A5F"/>
        <bgColor rgb="FF333333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0" fillId="2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9" fillId="5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top" wrapText="1"/>
    </xf>
    <xf numFmtId="0" fontId="9" fillId="5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164" fontId="7" fillId="3" borderId="1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top" wrapText="1"/>
    </xf>
    <xf numFmtId="164" fontId="7" fillId="2" borderId="1" applyAlignment="1" pivotButton="0" quotePrefix="0" xfId="0">
      <alignment horizontal="general" vertical="top" wrapText="1"/>
    </xf>
    <xf numFmtId="165" fontId="0" fillId="4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0" fillId="2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9" fillId="5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9" fillId="5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top" wrapText="1"/>
    </xf>
    <xf numFmtId="0" fontId="9" fillId="5" borderId="1" applyAlignment="1" pivotButton="0" quotePrefix="0" xfId="0">
      <alignment horizontal="general" vertical="top" wrapText="1"/>
    </xf>
    <xf numFmtId="0" fontId="7" fillId="2" borderId="1" applyAlignment="1" pivotButton="0" quotePrefix="0" xfId="0">
      <alignment horizontal="general" vertical="top" wrapText="1"/>
    </xf>
    <xf numFmtId="164" fontId="7" fillId="2" borderId="1" applyAlignment="1" pivotButton="0" quotePrefix="0" xfId="0">
      <alignment horizontal="general" vertical="top" wrapText="1"/>
    </xf>
    <xf numFmtId="165" fontId="0" fillId="4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vertical="top" wrapText="1"/>
    </xf>
    <xf numFmtId="0" fontId="6" fillId="0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general" vertical="top" wrapText="1"/>
    </xf>
    <xf numFmtId="0" fontId="0" fillId="4" borderId="1" applyAlignment="1" pivotButton="0" quotePrefix="0" xfId="0">
      <alignment horizontal="general" vertical="top" wrapText="1"/>
    </xf>
    <xf numFmtId="0" fontId="9" fillId="5" borderId="0" applyAlignment="1" pivotButton="0" quotePrefix="0" xfId="0">
      <alignment horizontal="general" vertical="bottom" wrapText="1"/>
    </xf>
    <xf numFmtId="0" fontId="7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0">
    <dxf>
      <fill>
        <patternFill patternType="solid">
          <fgColor rgb="FF1F3A5F"/>
          <bgColor rgb="FF000000"/>
        </patternFill>
      </fill>
    </dxf>
    <dxf>
      <fill>
        <patternFill patternType="solid">
          <fgColor rgb="FFE7EEF7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7EE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2</row>
      <rowOff>176040</rowOff>
    </from>
    <to>
      <col>9</col>
      <colOff>591840</colOff>
      <row>25</row>
      <rowOff>165960</rowOff>
    </to>
    <pic>
      <nvPicPr>
        <cNvPr id="0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571680"/>
          <a:ext cx="6095520" cy="43714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E3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23" min="1" max="1"/>
    <col width="70" customWidth="1" style="23" min="2" max="2"/>
    <col width="30" customWidth="1" style="23" min="3" max="3"/>
    <col width="22" customWidth="1" style="23" min="4" max="4"/>
    <col width="14" customWidth="1" style="23" min="5" max="5"/>
  </cols>
  <sheetData>
    <row r="1" ht="18.55" customHeight="1" s="24">
      <c r="A1" s="25" t="inlineStr">
        <is>
          <t>Testing / UAT &amp; Quality Verification Records</t>
        </is>
      </c>
    </row>
    <row r="2" ht="15" customHeight="1" s="24">
      <c r="A2" s="26" t="inlineStr">
        <is>
          <t>PT Strategi Integrasi Nusantara (SINUX) · Divisi Operation</t>
        </is>
      </c>
    </row>
    <row r="3" s="24">
      <c r="A3" s="45" t="n"/>
      <c r="B3" s="45" t="n"/>
      <c r="C3" s="45" t="n"/>
      <c r="D3" s="45" t="n"/>
      <c r="E3" s="45" t="n"/>
    </row>
    <row r="4" ht="16.5" customHeight="1" s="24">
      <c r="A4" s="46" t="inlineStr">
        <is>
          <t>Nomor dokumen</t>
        </is>
      </c>
      <c r="B4" s="28" t="inlineStr">
        <is>
          <t>SNX-OPS-FRM-05</t>
        </is>
      </c>
      <c r="C4" s="45" t="n"/>
      <c r="D4" s="45" t="n"/>
      <c r="E4" s="45" t="n"/>
    </row>
    <row r="5" ht="16.5" customHeight="1" s="24">
      <c r="A5" s="46" t="inlineStr">
        <is>
          <t>Judul</t>
        </is>
      </c>
      <c r="B5" s="28" t="inlineStr">
        <is>
          <t>Testing / UAT &amp; Quality Verification Records</t>
        </is>
      </c>
      <c r="C5" s="45" t="n"/>
      <c r="D5" s="45" t="n"/>
      <c r="E5" s="45" t="n"/>
    </row>
    <row r="6" ht="16.5" customHeight="1" s="24">
      <c r="A6" s="46" t="inlineStr">
        <is>
          <t>Revisi</t>
        </is>
      </c>
      <c r="B6" s="28" t="inlineStr">
        <is>
          <t>00 (Draft)</t>
        </is>
      </c>
      <c r="C6" s="45" t="n"/>
      <c r="D6" s="45" t="n"/>
      <c r="E6" s="45" t="n"/>
    </row>
    <row r="7" ht="16.5" customHeight="1" s="24">
      <c r="A7" s="46" t="inlineStr">
        <is>
          <t>Tanggal draft</t>
        </is>
      </c>
      <c r="B7" s="28" t="inlineStr">
        <is>
          <t>13 Oktober 2026</t>
        </is>
      </c>
      <c r="C7" s="45" t="n"/>
      <c r="D7" s="45" t="n"/>
      <c r="E7" s="45" t="n"/>
    </row>
    <row r="8" ht="16.5" customHeight="1" s="24">
      <c r="A8" s="46" t="inlineStr">
        <is>
          <t>Tanggal efektif</t>
        </is>
      </c>
      <c r="B8" s="28" t="inlineStr">
        <is>
          <t>Ditetapkan saat pengesahan</t>
        </is>
      </c>
      <c r="C8" s="45" t="n"/>
      <c r="D8" s="45" t="n"/>
      <c r="E8" s="45" t="n"/>
    </row>
    <row r="9" ht="16.5" customHeight="1" s="24">
      <c r="A9" s="46" t="inlineStr">
        <is>
          <t>Klasifikasi</t>
        </is>
      </c>
      <c r="B9" s="28" t="inlineStr">
        <is>
          <t>RESTRICTED (Internal)</t>
        </is>
      </c>
      <c r="C9" s="45" t="n"/>
      <c r="D9" s="45" t="n"/>
      <c r="E9" s="45" t="n"/>
    </row>
    <row r="10" ht="16.5" customHeight="1" s="24">
      <c r="A10" s="46" t="inlineStr">
        <is>
          <t>Pemilik dokumen</t>
        </is>
      </c>
      <c r="B10" s="28" t="inlineStr">
        <is>
          <t>Project Manager</t>
        </is>
      </c>
      <c r="C10" s="45" t="n"/>
      <c r="D10" s="45" t="n"/>
      <c r="E10" s="45" t="n"/>
    </row>
    <row r="11" ht="16.5" customHeight="1" s="24">
      <c r="A11" s="46" t="inlineStr">
        <is>
          <t>Disetujui oleh</t>
        </is>
      </c>
      <c r="B11" s="28" t="inlineStr">
        <is>
          <t>Samuel Kristanto Utomo / President Director</t>
        </is>
      </c>
      <c r="C11" s="45" t="n"/>
      <c r="D11" s="45" t="n"/>
      <c r="E11" s="45" t="n"/>
    </row>
    <row r="12" ht="30" customHeight="1" s="24">
      <c r="A12" s="46" t="inlineStr">
        <is>
          <t>Acuan ISO 9001:2015</t>
        </is>
      </c>
      <c r="B12" s="28" t="inlineStr">
        <is>
          <t>Klausul 8.6, 8.7</t>
        </is>
      </c>
      <c r="C12" s="45" t="n"/>
      <c r="D12" s="45" t="n"/>
      <c r="E12" s="45" t="n"/>
    </row>
    <row r="13" ht="30" customHeight="1" s="24">
      <c r="A13" s="46" t="inlineStr">
        <is>
          <t>Acuan ISO/IEC 27001:2022</t>
        </is>
      </c>
      <c r="B13" s="28" t="inlineStr">
        <is>
          <t>Kontrol Annex A 8.29</t>
        </is>
      </c>
      <c r="C13" s="45" t="n"/>
      <c r="D13" s="45" t="n"/>
      <c r="E13" s="45" t="n"/>
    </row>
    <row r="14" ht="30" customHeight="1" s="24">
      <c r="A14" s="46" t="inlineStr">
        <is>
          <t>Masa simpan record</t>
        </is>
      </c>
      <c r="B14" s="28" t="inlineStr">
        <is>
          <t>Durasi kontrak + 3 tahun</t>
        </is>
      </c>
      <c r="C14" s="45" t="n"/>
      <c r="D14" s="45" t="n"/>
      <c r="E14" s="45" t="n"/>
    </row>
    <row r="15" ht="30" customHeight="1" s="24">
      <c r="A15" s="46" t="inlineStr">
        <is>
          <t>Tujuan</t>
        </is>
      </c>
      <c r="B15" s="28" t="inlineStr">
        <is>
          <t>Mencatat rencana uji, eksekusi kasus uji, defect, dan persetujuan UAT sebagai dasar BAST (gate G2).</t>
        </is>
      </c>
      <c r="C15" s="45" t="n"/>
      <c r="D15" s="45" t="n"/>
      <c r="E15" s="45" t="n"/>
    </row>
    <row r="16" s="24">
      <c r="A16" s="45" t="n"/>
      <c r="B16" s="45" t="n"/>
      <c r="C16" s="45" t="n"/>
      <c r="D16" s="45" t="n"/>
      <c r="E16" s="45" t="n"/>
    </row>
    <row r="17" ht="16.5" customHeight="1" s="24">
      <c r="A17" s="47" t="inlineStr">
        <is>
          <t>Cara pakai</t>
        </is>
      </c>
      <c r="B17" s="45" t="n"/>
      <c r="C17" s="45" t="n"/>
      <c r="D17" s="45" t="n"/>
      <c r="E17" s="45" t="n"/>
    </row>
    <row r="18" ht="30" customHeight="1" s="24">
      <c r="A18" s="31" t="inlineStr">
        <is>
          <t>1.</t>
        </is>
      </c>
      <c r="B18" s="31" t="inlineStr">
        <is>
          <t>Gunakan satu file untuk satu proyek atau satu rilis, dengan nama FRM-05_&lt;KodeProyek&gt;.xlsx.</t>
        </is>
      </c>
      <c r="C18" s="45" t="n"/>
      <c r="D18" s="45" t="n"/>
      <c r="E18" s="45" t="n"/>
    </row>
    <row r="19" ht="30" customHeight="1" s="24">
      <c r="A19" s="31" t="inlineStr">
        <is>
          <t>2.</t>
        </is>
      </c>
      <c r="B19" s="31" t="inlineStr">
        <is>
          <t>Isi Rencana Uji, lalu susun kasus uji dari kriteria penerimaan di project charter (SNX-OPS-FRM-01).</t>
        </is>
      </c>
      <c r="C19" s="45" t="n"/>
      <c r="D19" s="45" t="n"/>
      <c r="E19" s="45" t="n"/>
    </row>
    <row r="20" ht="30" customHeight="1" s="24">
      <c r="A20" s="31" t="inlineStr">
        <is>
          <t>3.</t>
        </is>
      </c>
      <c r="B20" s="31" t="inlineStr">
        <is>
          <t>Setiap kasus berstatus Gagal wajib punya Defect ID di sheet Defect.</t>
        </is>
      </c>
      <c r="C20" s="45" t="n"/>
      <c r="D20" s="45" t="n"/>
      <c r="E20" s="45" t="n"/>
    </row>
    <row r="21" ht="43.5" customHeight="1" s="24">
      <c r="A21" s="31" t="inlineStr">
        <is>
          <t>4.</t>
        </is>
      </c>
      <c r="B21" s="31" t="inlineStr">
        <is>
          <t>Sheet Ringkasan dan Persetujuan menghitung tingkat kelulusan dan memberi rekomendasi. UAT ditandatangani jika rekomendasinya SIAP.</t>
        </is>
      </c>
      <c r="C21" s="45" t="n"/>
      <c r="D21" s="45" t="n"/>
      <c r="E21" s="45" t="n"/>
    </row>
    <row r="22" s="24">
      <c r="A22" s="45" t="n"/>
      <c r="B22" s="45" t="n"/>
      <c r="C22" s="45" t="n"/>
      <c r="D22" s="45" t="n"/>
      <c r="E22" s="45" t="n"/>
    </row>
    <row r="23" ht="16.5" customHeight="1" s="24">
      <c r="A23" s="47" t="inlineStr">
        <is>
          <t>Legenda warna</t>
        </is>
      </c>
      <c r="B23" s="45" t="n"/>
      <c r="C23" s="45" t="n"/>
      <c r="D23" s="45" t="n"/>
      <c r="E23" s="45" t="n"/>
    </row>
    <row r="24" ht="16.5" customHeight="1" s="24">
      <c r="A24" s="39" t="n"/>
      <c r="B24" s="31" t="inlineStr">
        <is>
          <t>Sel input: diisi pengguna</t>
        </is>
      </c>
      <c r="C24" s="45" t="n"/>
      <c r="D24" s="45" t="n"/>
      <c r="E24" s="45" t="n"/>
    </row>
    <row r="25" ht="30" customHeight="1" s="24">
      <c r="A25" s="48" t="n"/>
      <c r="B25" s="31" t="inlineStr">
        <is>
          <t>Biru muda: warna baris contoh, sudah dikosongkan dan tidak dipakai</t>
        </is>
      </c>
      <c r="C25" s="45" t="n"/>
      <c r="D25" s="45" t="n"/>
      <c r="E25" s="45" t="n"/>
    </row>
    <row r="26" ht="16.5" customHeight="1" s="24">
      <c r="A26" s="49" t="n"/>
      <c r="B26" s="31" t="inlineStr">
        <is>
          <t>Sel rumus: jangan diubah</t>
        </is>
      </c>
      <c r="C26" s="45" t="n"/>
      <c r="D26" s="45" t="n"/>
      <c r="E26" s="45" t="n"/>
    </row>
    <row r="27" s="24">
      <c r="A27" s="45" t="n"/>
      <c r="B27" s="45" t="n"/>
      <c r="C27" s="45" t="n"/>
      <c r="D27" s="45" t="n"/>
      <c r="E27" s="45" t="n"/>
    </row>
    <row r="28" ht="16.5" customHeight="1" s="24">
      <c r="A28" s="47" t="inlineStr">
        <is>
          <t>Riwayat revisi</t>
        </is>
      </c>
      <c r="B28" s="45" t="n"/>
      <c r="C28" s="45" t="n"/>
      <c r="D28" s="45" t="n"/>
      <c r="E28" s="45" t="n"/>
    </row>
    <row r="29" ht="16.5" customHeight="1" s="24">
      <c r="A29" s="40" t="inlineStr">
        <is>
          <t>Revisi</t>
        </is>
      </c>
      <c r="B29" s="40" t="inlineStr">
        <is>
          <t>Tanggal</t>
        </is>
      </c>
      <c r="C29" s="40" t="inlineStr">
        <is>
          <t>Uraian perubahan</t>
        </is>
      </c>
      <c r="D29" s="40" t="inlineStr">
        <is>
          <t>Disusun</t>
        </is>
      </c>
      <c r="E29" s="40" t="inlineStr">
        <is>
          <t>Disetujui</t>
        </is>
      </c>
    </row>
    <row r="30" ht="30" customHeight="1" s="24">
      <c r="A30" s="28" t="inlineStr">
        <is>
          <t>00</t>
        </is>
      </c>
      <c r="B30" s="28" t="inlineStr">
        <is>
          <t>13 Oktober 2026</t>
        </is>
      </c>
      <c r="C30" s="28" t="inlineStr">
        <is>
          <t>Draft awal untuk review dan pengesahan</t>
        </is>
      </c>
      <c r="D30" s="28" t="inlineStr">
        <is>
          <t>Divisi Operation</t>
        </is>
      </c>
      <c r="E30" s="28" t="inlineStr">
        <is>
          <t>Menunggu</t>
        </is>
      </c>
    </row>
    <row r="31" ht="57.45" customHeight="1" s="24">
      <c r="A31" s="28" t="n"/>
      <c r="B31" s="28" t="n"/>
      <c r="C31" s="28" t="n"/>
      <c r="D31" s="28" t="n"/>
      <c r="E31" s="28" t="n"/>
    </row>
    <row r="32" s="24">
      <c r="A32" s="45" t="n"/>
      <c r="B32" s="45" t="n"/>
      <c r="C32" s="45" t="n"/>
      <c r="D32" s="45" t="n"/>
      <c r="E32" s="45" t="n"/>
    </row>
    <row r="33" ht="16.5" customHeight="1" s="24">
      <c r="A33" s="47" t="inlineStr">
        <is>
          <t>Pengesahan</t>
        </is>
      </c>
      <c r="B33" s="45" t="n"/>
      <c r="C33" s="45" t="n"/>
      <c r="D33" s="45" t="n"/>
      <c r="E33" s="45" t="n"/>
    </row>
    <row r="34" ht="16.5" customHeight="1" s="24">
      <c r="A34" s="40" t="inlineStr">
        <is>
          <t>Peran</t>
        </is>
      </c>
      <c r="B34" s="40" t="inlineStr">
        <is>
          <t>Nama dan jabatan</t>
        </is>
      </c>
      <c r="C34" s="40" t="inlineStr">
        <is>
          <t>Tanda tangan</t>
        </is>
      </c>
      <c r="D34" s="40" t="inlineStr">
        <is>
          <t>Tanggal</t>
        </is>
      </c>
      <c r="E34" s="45" t="n"/>
    </row>
    <row r="35" ht="27.75" customHeight="1" s="24">
      <c r="A35" s="28" t="inlineStr">
        <is>
          <t>Disusun oleh</t>
        </is>
      </c>
      <c r="B35" s="28" t="inlineStr">
        <is>
          <t>Erik Dwi Yanto / Technical/Operation Engineer L1</t>
        </is>
      </c>
      <c r="C35" s="28" t="n"/>
      <c r="D35" s="28" t="n"/>
      <c r="E35" s="45" t="n"/>
    </row>
    <row r="36" ht="27.75" customHeight="1" s="24">
      <c r="A36" s="28" t="inlineStr">
        <is>
          <t>Diperiksa oleh</t>
        </is>
      </c>
      <c r="B36" s="28" t="inlineStr">
        <is>
          <t>Fani Fatullah / VP Tech Operation and Services</t>
        </is>
      </c>
      <c r="C36" s="28" t="n"/>
      <c r="D36" s="28" t="n"/>
      <c r="E36" s="45" t="n"/>
    </row>
    <row r="37" ht="27.75" customHeight="1" s="24">
      <c r="A37" s="28" t="inlineStr">
        <is>
          <t>Disetujui oleh</t>
        </is>
      </c>
      <c r="B37" s="28" t="inlineStr">
        <is>
          <t>Samuel Kristanto Utomo / President Director</t>
        </is>
      </c>
      <c r="C37" s="28" t="n"/>
      <c r="D37" s="28" t="n"/>
      <c r="E37" s="45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A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6.15" customHeight="1" s="24">
      <c r="A1" s="37" t="inlineStr">
        <is>
          <t>Diagram alur proses</t>
        </is>
      </c>
    </row>
    <row r="2" ht="15" customHeight="1" s="24">
      <c r="A2" s="26" t="inlineStr">
        <is>
          <t>Kotak biru = output akhir · kotak oranye = cabang ke tindakan atau prosedur lain · garis putus-putus = kembali ke alur utama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0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D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1" topLeftCell="A2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23" min="1" max="1"/>
    <col width="16" customWidth="1" style="23" min="2" max="2"/>
    <col width="17" customWidth="1" style="23" min="3" max="3"/>
    <col width="27" customWidth="1" style="23" min="4" max="4"/>
  </cols>
  <sheetData>
    <row r="1" ht="30" customHeight="1" s="24">
      <c r="A1" s="50" t="inlineStr">
        <is>
          <t>Kategori</t>
        </is>
      </c>
      <c r="B1" s="50" t="inlineStr">
        <is>
          <t>Status uji</t>
        </is>
      </c>
      <c r="C1" s="50" t="inlineStr">
        <is>
          <t>Severity defect</t>
        </is>
      </c>
      <c r="D1" s="50" t="inlineStr">
        <is>
          <t>Status defect</t>
        </is>
      </c>
    </row>
    <row r="2" ht="16.5" customHeight="1" s="24">
      <c r="A2" s="51" t="inlineStr">
        <is>
          <t>Fungsional</t>
        </is>
      </c>
      <c r="B2" s="51" t="inlineStr">
        <is>
          <t>Belum</t>
        </is>
      </c>
      <c r="C2" s="51" t="inlineStr">
        <is>
          <t>Kritis</t>
        </is>
      </c>
      <c r="D2" s="51" t="inlineStr">
        <is>
          <t>Terbuka</t>
        </is>
      </c>
    </row>
    <row r="3" ht="16.5" customHeight="1" s="24">
      <c r="A3" s="51" t="inlineStr">
        <is>
          <t>Kinerja</t>
        </is>
      </c>
      <c r="B3" s="51" t="inlineStr">
        <is>
          <t>Lolos</t>
        </is>
      </c>
      <c r="C3" s="51" t="inlineStr">
        <is>
          <t>Tinggi</t>
        </is>
      </c>
      <c r="D3" s="51" t="inlineStr">
        <is>
          <t>Diperbaiki</t>
        </is>
      </c>
    </row>
    <row r="4" ht="16.5" customHeight="1" s="24">
      <c r="A4" s="51" t="inlineStr">
        <is>
          <t>Keamanan</t>
        </is>
      </c>
      <c r="B4" s="51" t="inlineStr">
        <is>
          <t>Gagal</t>
        </is>
      </c>
      <c r="C4" s="51" t="inlineStr">
        <is>
          <t>Sedang</t>
        </is>
      </c>
      <c r="D4" s="51" t="inlineStr">
        <is>
          <t>Lolos retest</t>
        </is>
      </c>
    </row>
    <row r="5" ht="30" customHeight="1" s="24">
      <c r="A5" s="51" t="inlineStr">
        <is>
          <t>Backup dan restore</t>
        </is>
      </c>
      <c r="B5" s="51" t="inlineStr">
        <is>
          <t>Diblokir</t>
        </is>
      </c>
      <c r="C5" s="51" t="inlineStr">
        <is>
          <t>Rendah</t>
        </is>
      </c>
      <c r="D5" s="51" t="inlineStr">
        <is>
          <t>Diterima sebagai isu sisa</t>
        </is>
      </c>
    </row>
    <row r="6" ht="16.5" customHeight="1" s="24">
      <c r="A6" s="51" t="inlineStr">
        <is>
          <t>Monitoring</t>
        </is>
      </c>
      <c r="B6" s="52" t="n"/>
      <c r="C6" s="52" t="n"/>
      <c r="D6" s="52" t="n"/>
    </row>
    <row r="7" ht="16.5" customHeight="1" s="24">
      <c r="A7" s="51" t="inlineStr">
        <is>
          <t>Akses</t>
        </is>
      </c>
      <c r="B7" s="52" t="n"/>
      <c r="C7" s="52" t="n"/>
      <c r="D7" s="52" t="n"/>
    </row>
    <row r="8" ht="16.5" customHeight="1" s="24">
      <c r="A8" s="51" t="inlineStr">
        <is>
          <t>Dokumentasi</t>
        </is>
      </c>
      <c r="B8" s="52" t="n"/>
      <c r="C8" s="52" t="n"/>
      <c r="D8" s="52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B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23" min="1" max="1"/>
    <col width="90" customWidth="1" style="23" min="2" max="2"/>
  </cols>
  <sheetData>
    <row r="1" ht="16.15" customHeight="1" s="24">
      <c r="A1" s="37" t="inlineStr">
        <is>
          <t>Rencana uji dan verifikasi mutu</t>
        </is>
      </c>
    </row>
    <row r="3" ht="15" customHeight="1" s="24">
      <c r="A3" s="27" t="inlineStr">
        <is>
          <t>Nama dan kode proyek</t>
        </is>
      </c>
      <c r="B3" s="39" t="n"/>
    </row>
    <row r="4" ht="15" customHeight="1" s="24">
      <c r="A4" s="27" t="inlineStr">
        <is>
          <t>Pelanggan</t>
        </is>
      </c>
      <c r="B4" s="39" t="n"/>
    </row>
    <row r="5" ht="15" customHeight="1" s="24">
      <c r="A5" s="27" t="inlineStr">
        <is>
          <t>Objek uji (layanan, sistem, versi)</t>
        </is>
      </c>
      <c r="B5" s="39" t="n"/>
    </row>
    <row r="6" ht="15" customHeight="1" s="24">
      <c r="A6" s="27" t="inlineStr">
        <is>
          <t>Test environment</t>
        </is>
      </c>
      <c r="B6" s="39" t="n"/>
    </row>
    <row r="7" ht="15" customHeight="1" s="24">
      <c r="A7" s="27" t="inlineStr">
        <is>
          <t>Periode uji</t>
        </is>
      </c>
      <c r="B7" s="39" t="n"/>
    </row>
    <row r="8" ht="15" customHeight="1" s="24">
      <c r="A8" s="27" t="inlineStr">
        <is>
          <t>Kriteria lulus</t>
        </is>
      </c>
      <c r="B8" s="39" t="n"/>
    </row>
    <row r="9" ht="15" customHeight="1" s="24">
      <c r="A9" s="27" t="inlineStr">
        <is>
          <t>Penguji SINUX</t>
        </is>
      </c>
      <c r="B9" s="39" t="n"/>
    </row>
    <row r="10" ht="15" customHeight="1" s="24">
      <c r="A10" s="27" t="inlineStr">
        <is>
          <t>Penguji pelanggan</t>
        </is>
      </c>
      <c r="B10" s="39" t="n"/>
    </row>
    <row r="11" ht="15" customHeight="1" s="24">
      <c r="A11" s="27" t="inlineStr">
        <is>
          <t>Referensi kriteria penerimaan</t>
        </is>
      </c>
      <c r="B11" s="39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0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K8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Right"/>
      <selection pane="bottomLeft"/>
      <selection pane="bottomRigh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9" customWidth="1" style="23" min="1" max="1"/>
    <col width="16" customWidth="1" style="23" min="2" max="2"/>
    <col width="34" customWidth="1" style="23" min="3" max="3"/>
    <col width="30" customWidth="1" style="23" min="4" max="4"/>
    <col width="28" customWidth="1" style="23" min="5" max="6"/>
    <col width="13" customWidth="1" style="24" min="6" max="6"/>
    <col width="10" customWidth="1" style="23" min="7" max="8"/>
    <col width="13" customWidth="1" style="24" min="8" max="8"/>
    <col width="14" customWidth="1" style="23" min="9" max="9"/>
    <col width="12" customWidth="1" style="23" min="10" max="10"/>
    <col width="24" customWidth="1" style="23" min="11" max="11"/>
  </cols>
  <sheetData>
    <row r="1" ht="16.15" customHeight="1" s="24">
      <c r="A1" s="37" t="inlineStr">
        <is>
          <t>Kasus uji</t>
        </is>
      </c>
    </row>
    <row r="2" ht="15" customHeight="1" s="24">
      <c r="A2" s="26" t="inlineStr">
        <is>
          <t>Setiap kasus berstatus Gagal wajib punya Defect ID di sheet Defect. Rekomendasi SIAP mensyaratkan tidak ada kasus Gagal atau Belum. Ubah status kasus yang lolos retest menjadi Lolos (USULAN).</t>
        </is>
      </c>
    </row>
    <row r="4" ht="31.5" customHeight="1" s="24">
      <c r="A4" s="40" t="inlineStr">
        <is>
          <t>ID</t>
        </is>
      </c>
      <c r="B4" s="40" t="inlineStr">
        <is>
          <t>Kategori</t>
        </is>
      </c>
      <c r="C4" s="40" t="inlineStr">
        <is>
          <t>Skenario</t>
        </is>
      </c>
      <c r="D4" s="40" t="inlineStr">
        <is>
          <t>Langkah</t>
        </is>
      </c>
      <c r="E4" s="40" t="inlineStr">
        <is>
          <t>Hasil diharapkan</t>
        </is>
      </c>
      <c r="F4" s="40" t="inlineStr">
        <is>
          <t>Hasil aktual</t>
        </is>
      </c>
      <c r="G4" s="40" t="inlineStr">
        <is>
          <t>Status</t>
        </is>
      </c>
      <c r="H4" s="40" t="inlineStr">
        <is>
          <t>Defect ID</t>
        </is>
      </c>
      <c r="I4" s="40" t="inlineStr">
        <is>
          <t>Penguji</t>
        </is>
      </c>
      <c r="J4" s="40" t="inlineStr">
        <is>
          <t>Tanggal</t>
        </is>
      </c>
      <c r="K4" s="40" t="inlineStr">
        <is>
          <t>Bukti</t>
        </is>
      </c>
    </row>
    <row r="5" ht="23.85" customHeight="1" s="24">
      <c r="A5" s="41" t="n"/>
      <c r="B5" s="41" t="n"/>
      <c r="C5" s="41" t="n"/>
      <c r="D5" s="41" t="n"/>
      <c r="E5" s="41" t="n"/>
      <c r="F5" s="41" t="n"/>
      <c r="G5" s="41" t="n"/>
      <c r="H5" s="41" t="n"/>
      <c r="I5" s="41" t="n"/>
      <c r="J5" s="42" t="n"/>
      <c r="K5" s="41" t="n"/>
    </row>
    <row r="6" ht="23.85" customHeight="1" s="24">
      <c r="A6" s="41" t="n"/>
      <c r="B6" s="41" t="n"/>
      <c r="C6" s="41" t="n"/>
      <c r="D6" s="41" t="n"/>
      <c r="E6" s="41" t="n"/>
      <c r="F6" s="41" t="n"/>
      <c r="G6" s="41" t="n"/>
      <c r="H6" s="41" t="n"/>
      <c r="I6" s="41" t="n"/>
      <c r="J6" s="42" t="n"/>
      <c r="K6" s="41" t="n"/>
    </row>
    <row r="7" ht="15" customHeight="1" s="24">
      <c r="A7" s="41" t="n"/>
      <c r="B7" s="41" t="n"/>
      <c r="C7" s="41" t="n"/>
      <c r="D7" s="41" t="n"/>
      <c r="E7" s="41" t="n"/>
      <c r="F7" s="41" t="n"/>
      <c r="G7" s="41" t="n"/>
      <c r="H7" s="41" t="n"/>
      <c r="I7" s="41" t="n"/>
      <c r="J7" s="42" t="n"/>
      <c r="K7" s="41" t="n"/>
    </row>
    <row r="8" ht="15" customHeight="1" s="24">
      <c r="A8" s="41" t="n"/>
      <c r="B8" s="41" t="n"/>
      <c r="C8" s="41" t="n"/>
      <c r="D8" s="41" t="n"/>
      <c r="E8" s="41" t="n"/>
      <c r="F8" s="41" t="n"/>
      <c r="G8" s="41" t="n"/>
      <c r="H8" s="41" t="n"/>
      <c r="I8" s="41" t="n"/>
      <c r="J8" s="42" t="n"/>
      <c r="K8" s="41" t="n"/>
    </row>
    <row r="9" ht="15" customHeight="1" s="24">
      <c r="A9" s="41" t="n"/>
      <c r="B9" s="41" t="n"/>
      <c r="C9" s="41" t="n"/>
      <c r="D9" s="41" t="n"/>
      <c r="E9" s="41" t="n"/>
      <c r="F9" s="41" t="n"/>
      <c r="G9" s="41" t="n"/>
      <c r="H9" s="41" t="n"/>
      <c r="I9" s="41" t="n"/>
      <c r="J9" s="42" t="n"/>
      <c r="K9" s="41" t="n"/>
    </row>
    <row r="10" ht="15" customHeight="1" s="24">
      <c r="A10" s="41" t="n"/>
      <c r="B10" s="41" t="n"/>
      <c r="C10" s="41" t="n"/>
      <c r="D10" s="41" t="n"/>
      <c r="E10" s="41" t="n"/>
      <c r="F10" s="41" t="n"/>
      <c r="G10" s="41" t="n"/>
      <c r="H10" s="41" t="n"/>
      <c r="I10" s="41" t="n"/>
      <c r="J10" s="42" t="n"/>
      <c r="K10" s="41" t="n"/>
    </row>
    <row r="11" ht="15" customHeight="1" s="24">
      <c r="A11" s="41" t="n"/>
      <c r="B11" s="41" t="n"/>
      <c r="C11" s="41" t="n"/>
      <c r="D11" s="41" t="n"/>
      <c r="E11" s="41" t="n"/>
      <c r="F11" s="41" t="n"/>
      <c r="G11" s="41" t="n"/>
      <c r="H11" s="41" t="n"/>
      <c r="I11" s="41" t="n"/>
      <c r="J11" s="42" t="n"/>
      <c r="K11" s="41" t="n"/>
    </row>
    <row r="12" ht="15" customHeight="1" s="24">
      <c r="A12" s="41" t="n"/>
      <c r="B12" s="41" t="n"/>
      <c r="C12" s="41" t="n"/>
      <c r="D12" s="41" t="n"/>
      <c r="E12" s="41" t="n"/>
      <c r="F12" s="41" t="n"/>
      <c r="G12" s="41" t="n"/>
      <c r="H12" s="41" t="n"/>
      <c r="I12" s="41" t="n"/>
      <c r="J12" s="42" t="n"/>
      <c r="K12" s="41" t="n"/>
    </row>
    <row r="13" ht="15" customHeight="1" s="24">
      <c r="A13" s="41" t="n"/>
      <c r="B13" s="41" t="n"/>
      <c r="C13" s="41" t="n"/>
      <c r="D13" s="41" t="n"/>
      <c r="E13" s="41" t="n"/>
      <c r="F13" s="41" t="n"/>
      <c r="G13" s="41" t="n"/>
      <c r="H13" s="41" t="n"/>
      <c r="I13" s="41" t="n"/>
      <c r="J13" s="42" t="n"/>
      <c r="K13" s="41" t="n"/>
    </row>
    <row r="14" ht="15" customHeight="1" s="24">
      <c r="A14" s="41" t="n"/>
      <c r="B14" s="41" t="n"/>
      <c r="C14" s="41" t="n"/>
      <c r="D14" s="41" t="n"/>
      <c r="E14" s="41" t="n"/>
      <c r="F14" s="41" t="n"/>
      <c r="G14" s="41" t="n"/>
      <c r="H14" s="41" t="n"/>
      <c r="I14" s="41" t="n"/>
      <c r="J14" s="42" t="n"/>
      <c r="K14" s="41" t="n"/>
    </row>
    <row r="15" ht="15" customHeight="1" s="24">
      <c r="A15" s="41" t="n"/>
      <c r="B15" s="41" t="n"/>
      <c r="C15" s="41" t="n"/>
      <c r="D15" s="41" t="n"/>
      <c r="E15" s="41" t="n"/>
      <c r="F15" s="41" t="n"/>
      <c r="G15" s="41" t="n"/>
      <c r="H15" s="41" t="n"/>
      <c r="I15" s="41" t="n"/>
      <c r="J15" s="42" t="n"/>
      <c r="K15" s="41" t="n"/>
    </row>
    <row r="16" ht="15" customHeight="1" s="24">
      <c r="A16" s="41" t="n"/>
      <c r="B16" s="41" t="n"/>
      <c r="C16" s="41" t="n"/>
      <c r="D16" s="41" t="n"/>
      <c r="E16" s="41" t="n"/>
      <c r="F16" s="41" t="n"/>
      <c r="G16" s="41" t="n"/>
      <c r="H16" s="41" t="n"/>
      <c r="I16" s="41" t="n"/>
      <c r="J16" s="42" t="n"/>
      <c r="K16" s="41" t="n"/>
    </row>
    <row r="17" ht="15" customHeight="1" s="24">
      <c r="A17" s="41" t="n"/>
      <c r="B17" s="41" t="n"/>
      <c r="C17" s="41" t="n"/>
      <c r="D17" s="41" t="n"/>
      <c r="E17" s="41" t="n"/>
      <c r="F17" s="41" t="n"/>
      <c r="G17" s="41" t="n"/>
      <c r="H17" s="41" t="n"/>
      <c r="I17" s="41" t="n"/>
      <c r="J17" s="42" t="n"/>
      <c r="K17" s="41" t="n"/>
    </row>
    <row r="18" ht="15" customHeight="1" s="24">
      <c r="A18" s="41" t="n"/>
      <c r="B18" s="41" t="n"/>
      <c r="C18" s="41" t="n"/>
      <c r="D18" s="41" t="n"/>
      <c r="E18" s="41" t="n"/>
      <c r="F18" s="41" t="n"/>
      <c r="G18" s="41" t="n"/>
      <c r="H18" s="41" t="n"/>
      <c r="I18" s="41" t="n"/>
      <c r="J18" s="42" t="n"/>
      <c r="K18" s="41" t="n"/>
    </row>
    <row r="19" ht="15" customHeight="1" s="24">
      <c r="A19" s="41" t="n"/>
      <c r="B19" s="41" t="n"/>
      <c r="C19" s="41" t="n"/>
      <c r="D19" s="41" t="n"/>
      <c r="E19" s="41" t="n"/>
      <c r="F19" s="41" t="n"/>
      <c r="G19" s="41" t="n"/>
      <c r="H19" s="41" t="n"/>
      <c r="I19" s="41" t="n"/>
      <c r="J19" s="42" t="n"/>
      <c r="K19" s="41" t="n"/>
    </row>
    <row r="20" ht="15" customHeight="1" s="24">
      <c r="A20" s="41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42" t="n"/>
      <c r="K20" s="41" t="n"/>
    </row>
    <row r="21" ht="15" customHeight="1" s="24">
      <c r="A21" s="41" t="n"/>
      <c r="B21" s="41" t="n"/>
      <c r="C21" s="41" t="n"/>
      <c r="D21" s="41" t="n"/>
      <c r="E21" s="41" t="n"/>
      <c r="F21" s="41" t="n"/>
      <c r="G21" s="41" t="n"/>
      <c r="H21" s="41" t="n"/>
      <c r="I21" s="41" t="n"/>
      <c r="J21" s="42" t="n"/>
      <c r="K21" s="41" t="n"/>
    </row>
    <row r="22" ht="15" customHeight="1" s="24">
      <c r="A22" s="41" t="n"/>
      <c r="B22" s="41" t="n"/>
      <c r="C22" s="41" t="n"/>
      <c r="D22" s="41" t="n"/>
      <c r="E22" s="41" t="n"/>
      <c r="F22" s="41" t="n"/>
      <c r="G22" s="41" t="n"/>
      <c r="H22" s="41" t="n"/>
      <c r="I22" s="41" t="n"/>
      <c r="J22" s="42" t="n"/>
      <c r="K22" s="41" t="n"/>
    </row>
    <row r="23" ht="15" customHeight="1" s="24">
      <c r="A23" s="41" t="n"/>
      <c r="B23" s="41" t="n"/>
      <c r="C23" s="41" t="n"/>
      <c r="D23" s="41" t="n"/>
      <c r="E23" s="41" t="n"/>
      <c r="F23" s="41" t="n"/>
      <c r="G23" s="41" t="n"/>
      <c r="H23" s="41" t="n"/>
      <c r="I23" s="41" t="n"/>
      <c r="J23" s="42" t="n"/>
      <c r="K23" s="41" t="n"/>
    </row>
    <row r="24" ht="15" customHeight="1" s="24">
      <c r="A24" s="41" t="n"/>
      <c r="B24" s="41" t="n"/>
      <c r="C24" s="41" t="n"/>
      <c r="D24" s="41" t="n"/>
      <c r="E24" s="41" t="n"/>
      <c r="F24" s="41" t="n"/>
      <c r="G24" s="41" t="n"/>
      <c r="H24" s="41" t="n"/>
      <c r="I24" s="41" t="n"/>
      <c r="J24" s="42" t="n"/>
      <c r="K24" s="41" t="n"/>
    </row>
    <row r="25" ht="15" customHeight="1" s="24">
      <c r="A25" s="41" t="n"/>
      <c r="B25" s="41" t="n"/>
      <c r="C25" s="41" t="n"/>
      <c r="D25" s="41" t="n"/>
      <c r="E25" s="41" t="n"/>
      <c r="F25" s="41" t="n"/>
      <c r="G25" s="41" t="n"/>
      <c r="H25" s="41" t="n"/>
      <c r="I25" s="41" t="n"/>
      <c r="J25" s="42" t="n"/>
      <c r="K25" s="41" t="n"/>
    </row>
    <row r="26" ht="15" customHeight="1" s="24">
      <c r="A26" s="41" t="n"/>
      <c r="B26" s="41" t="n"/>
      <c r="C26" s="41" t="n"/>
      <c r="D26" s="41" t="n"/>
      <c r="E26" s="41" t="n"/>
      <c r="F26" s="41" t="n"/>
      <c r="G26" s="41" t="n"/>
      <c r="H26" s="41" t="n"/>
      <c r="I26" s="41" t="n"/>
      <c r="J26" s="42" t="n"/>
      <c r="K26" s="41" t="n"/>
    </row>
    <row r="27" ht="15" customHeight="1" s="24">
      <c r="A27" s="41" t="n"/>
      <c r="B27" s="41" t="n"/>
      <c r="C27" s="41" t="n"/>
      <c r="D27" s="41" t="n"/>
      <c r="E27" s="41" t="n"/>
      <c r="F27" s="41" t="n"/>
      <c r="G27" s="41" t="n"/>
      <c r="H27" s="41" t="n"/>
      <c r="I27" s="41" t="n"/>
      <c r="J27" s="42" t="n"/>
      <c r="K27" s="41" t="n"/>
    </row>
    <row r="28" ht="15" customHeight="1" s="24">
      <c r="A28" s="41" t="n"/>
      <c r="B28" s="41" t="n"/>
      <c r="C28" s="41" t="n"/>
      <c r="D28" s="41" t="n"/>
      <c r="E28" s="41" t="n"/>
      <c r="F28" s="41" t="n"/>
      <c r="G28" s="41" t="n"/>
      <c r="H28" s="41" t="n"/>
      <c r="I28" s="41" t="n"/>
      <c r="J28" s="42" t="n"/>
      <c r="K28" s="41" t="n"/>
    </row>
    <row r="29" ht="15" customHeight="1" s="24">
      <c r="A29" s="41" t="n"/>
      <c r="B29" s="41" t="n"/>
      <c r="C29" s="41" t="n"/>
      <c r="D29" s="41" t="n"/>
      <c r="E29" s="41" t="n"/>
      <c r="F29" s="41" t="n"/>
      <c r="G29" s="41" t="n"/>
      <c r="H29" s="41" t="n"/>
      <c r="I29" s="41" t="n"/>
      <c r="J29" s="42" t="n"/>
      <c r="K29" s="41" t="n"/>
    </row>
    <row r="30" ht="15" customHeight="1" s="24">
      <c r="A30" s="41" t="n"/>
      <c r="B30" s="41" t="n"/>
      <c r="C30" s="41" t="n"/>
      <c r="D30" s="41" t="n"/>
      <c r="E30" s="41" t="n"/>
      <c r="F30" s="41" t="n"/>
      <c r="G30" s="41" t="n"/>
      <c r="H30" s="41" t="n"/>
      <c r="I30" s="41" t="n"/>
      <c r="J30" s="42" t="n"/>
      <c r="K30" s="41" t="n"/>
    </row>
    <row r="31" ht="15" customHeight="1" s="24">
      <c r="A31" s="41" t="n"/>
      <c r="B31" s="41" t="n"/>
      <c r="C31" s="41" t="n"/>
      <c r="D31" s="41" t="n"/>
      <c r="E31" s="41" t="n"/>
      <c r="F31" s="41" t="n"/>
      <c r="G31" s="41" t="n"/>
      <c r="H31" s="41" t="n"/>
      <c r="I31" s="41" t="n"/>
      <c r="J31" s="42" t="n"/>
      <c r="K31" s="41" t="n"/>
    </row>
    <row r="32" ht="15" customHeight="1" s="24">
      <c r="A32" s="41" t="n"/>
      <c r="B32" s="41" t="n"/>
      <c r="C32" s="41" t="n"/>
      <c r="D32" s="41" t="n"/>
      <c r="E32" s="41" t="n"/>
      <c r="F32" s="41" t="n"/>
      <c r="G32" s="41" t="n"/>
      <c r="H32" s="41" t="n"/>
      <c r="I32" s="41" t="n"/>
      <c r="J32" s="42" t="n"/>
      <c r="K32" s="41" t="n"/>
    </row>
    <row r="33" ht="15" customHeight="1" s="24">
      <c r="A33" s="41" t="n"/>
      <c r="B33" s="41" t="n"/>
      <c r="C33" s="41" t="n"/>
      <c r="D33" s="41" t="n"/>
      <c r="E33" s="41" t="n"/>
      <c r="F33" s="41" t="n"/>
      <c r="G33" s="41" t="n"/>
      <c r="H33" s="41" t="n"/>
      <c r="I33" s="41" t="n"/>
      <c r="J33" s="42" t="n"/>
      <c r="K33" s="41" t="n"/>
    </row>
    <row r="34" ht="15" customHeight="1" s="24">
      <c r="A34" s="41" t="n"/>
      <c r="B34" s="41" t="n"/>
      <c r="C34" s="41" t="n"/>
      <c r="D34" s="41" t="n"/>
      <c r="E34" s="41" t="n"/>
      <c r="F34" s="41" t="n"/>
      <c r="G34" s="41" t="n"/>
      <c r="H34" s="41" t="n"/>
      <c r="I34" s="41" t="n"/>
      <c r="J34" s="42" t="n"/>
      <c r="K34" s="41" t="n"/>
    </row>
    <row r="35" ht="15" customHeight="1" s="24">
      <c r="A35" s="41" t="n"/>
      <c r="B35" s="41" t="n"/>
      <c r="C35" s="41" t="n"/>
      <c r="D35" s="41" t="n"/>
      <c r="E35" s="41" t="n"/>
      <c r="F35" s="41" t="n"/>
      <c r="G35" s="41" t="n"/>
      <c r="H35" s="41" t="n"/>
      <c r="I35" s="41" t="n"/>
      <c r="J35" s="42" t="n"/>
      <c r="K35" s="41" t="n"/>
    </row>
    <row r="36" ht="15" customHeight="1" s="24">
      <c r="A36" s="41" t="n"/>
      <c r="B36" s="41" t="n"/>
      <c r="C36" s="41" t="n"/>
      <c r="D36" s="41" t="n"/>
      <c r="E36" s="41" t="n"/>
      <c r="F36" s="41" t="n"/>
      <c r="G36" s="41" t="n"/>
      <c r="H36" s="41" t="n"/>
      <c r="I36" s="41" t="n"/>
      <c r="J36" s="42" t="n"/>
      <c r="K36" s="41" t="n"/>
    </row>
    <row r="37" ht="15" customHeight="1" s="24">
      <c r="A37" s="41" t="n"/>
      <c r="B37" s="41" t="n"/>
      <c r="C37" s="41" t="n"/>
      <c r="D37" s="41" t="n"/>
      <c r="E37" s="41" t="n"/>
      <c r="F37" s="41" t="n"/>
      <c r="G37" s="41" t="n"/>
      <c r="H37" s="41" t="n"/>
      <c r="I37" s="41" t="n"/>
      <c r="J37" s="42" t="n"/>
      <c r="K37" s="41" t="n"/>
    </row>
    <row r="38" ht="15" customHeight="1" s="24">
      <c r="A38" s="41" t="n"/>
      <c r="B38" s="41" t="n"/>
      <c r="C38" s="41" t="n"/>
      <c r="D38" s="41" t="n"/>
      <c r="E38" s="41" t="n"/>
      <c r="F38" s="41" t="n"/>
      <c r="G38" s="41" t="n"/>
      <c r="H38" s="41" t="n"/>
      <c r="I38" s="41" t="n"/>
      <c r="J38" s="42" t="n"/>
      <c r="K38" s="41" t="n"/>
    </row>
    <row r="39" ht="15" customHeight="1" s="24">
      <c r="A39" s="41" t="n"/>
      <c r="B39" s="41" t="n"/>
      <c r="C39" s="41" t="n"/>
      <c r="D39" s="41" t="n"/>
      <c r="E39" s="41" t="n"/>
      <c r="F39" s="41" t="n"/>
      <c r="G39" s="41" t="n"/>
      <c r="H39" s="41" t="n"/>
      <c r="I39" s="41" t="n"/>
      <c r="J39" s="42" t="n"/>
      <c r="K39" s="41" t="n"/>
    </row>
    <row r="40" ht="15" customHeight="1" s="24">
      <c r="A40" s="41" t="n"/>
      <c r="B40" s="41" t="n"/>
      <c r="C40" s="41" t="n"/>
      <c r="D40" s="41" t="n"/>
      <c r="E40" s="41" t="n"/>
      <c r="F40" s="41" t="n"/>
      <c r="G40" s="41" t="n"/>
      <c r="H40" s="41" t="n"/>
      <c r="I40" s="41" t="n"/>
      <c r="J40" s="42" t="n"/>
      <c r="K40" s="41" t="n"/>
    </row>
    <row r="41" ht="15" customHeight="1" s="24">
      <c r="A41" s="41" t="n"/>
      <c r="B41" s="41" t="n"/>
      <c r="C41" s="41" t="n"/>
      <c r="D41" s="41" t="n"/>
      <c r="E41" s="41" t="n"/>
      <c r="F41" s="41" t="n"/>
      <c r="G41" s="41" t="n"/>
      <c r="H41" s="41" t="n"/>
      <c r="I41" s="41" t="n"/>
      <c r="J41" s="42" t="n"/>
      <c r="K41" s="41" t="n"/>
    </row>
    <row r="42" ht="15" customHeight="1" s="24">
      <c r="A42" s="41" t="n"/>
      <c r="B42" s="41" t="n"/>
      <c r="C42" s="41" t="n"/>
      <c r="D42" s="41" t="n"/>
      <c r="E42" s="41" t="n"/>
      <c r="F42" s="41" t="n"/>
      <c r="G42" s="41" t="n"/>
      <c r="H42" s="41" t="n"/>
      <c r="I42" s="41" t="n"/>
      <c r="J42" s="42" t="n"/>
      <c r="K42" s="41" t="n"/>
    </row>
    <row r="43" ht="15" customHeight="1" s="24">
      <c r="A43" s="41" t="n"/>
      <c r="B43" s="41" t="n"/>
      <c r="C43" s="41" t="n"/>
      <c r="D43" s="41" t="n"/>
      <c r="E43" s="41" t="n"/>
      <c r="F43" s="41" t="n"/>
      <c r="G43" s="41" t="n"/>
      <c r="H43" s="41" t="n"/>
      <c r="I43" s="41" t="n"/>
      <c r="J43" s="42" t="n"/>
      <c r="K43" s="41" t="n"/>
    </row>
    <row r="44" ht="15" customHeight="1" s="24">
      <c r="A44" s="41" t="n"/>
      <c r="B44" s="41" t="n"/>
      <c r="C44" s="41" t="n"/>
      <c r="D44" s="41" t="n"/>
      <c r="E44" s="41" t="n"/>
      <c r="F44" s="41" t="n"/>
      <c r="G44" s="41" t="n"/>
      <c r="H44" s="41" t="n"/>
      <c r="I44" s="41" t="n"/>
      <c r="J44" s="42" t="n"/>
      <c r="K44" s="41" t="n"/>
    </row>
    <row r="45" ht="15" customHeight="1" s="24">
      <c r="A45" s="41" t="n"/>
      <c r="B45" s="41" t="n"/>
      <c r="C45" s="41" t="n"/>
      <c r="D45" s="41" t="n"/>
      <c r="E45" s="41" t="n"/>
      <c r="F45" s="41" t="n"/>
      <c r="G45" s="41" t="n"/>
      <c r="H45" s="41" t="n"/>
      <c r="I45" s="41" t="n"/>
      <c r="J45" s="42" t="n"/>
      <c r="K45" s="41" t="n"/>
    </row>
    <row r="46" ht="15" customHeight="1" s="24">
      <c r="A46" s="41" t="n"/>
      <c r="B46" s="41" t="n"/>
      <c r="C46" s="41" t="n"/>
      <c r="D46" s="41" t="n"/>
      <c r="E46" s="41" t="n"/>
      <c r="F46" s="41" t="n"/>
      <c r="G46" s="41" t="n"/>
      <c r="H46" s="41" t="n"/>
      <c r="I46" s="41" t="n"/>
      <c r="J46" s="42" t="n"/>
      <c r="K46" s="41" t="n"/>
    </row>
    <row r="47" ht="15" customHeight="1" s="24">
      <c r="A47" s="41" t="n"/>
      <c r="B47" s="41" t="n"/>
      <c r="C47" s="41" t="n"/>
      <c r="D47" s="41" t="n"/>
      <c r="E47" s="41" t="n"/>
      <c r="F47" s="41" t="n"/>
      <c r="G47" s="41" t="n"/>
      <c r="H47" s="41" t="n"/>
      <c r="I47" s="41" t="n"/>
      <c r="J47" s="42" t="n"/>
      <c r="K47" s="41" t="n"/>
    </row>
    <row r="48" ht="15" customHeight="1" s="24">
      <c r="A48" s="41" t="n"/>
      <c r="B48" s="41" t="n"/>
      <c r="C48" s="41" t="n"/>
      <c r="D48" s="41" t="n"/>
      <c r="E48" s="41" t="n"/>
      <c r="F48" s="41" t="n"/>
      <c r="G48" s="41" t="n"/>
      <c r="H48" s="41" t="n"/>
      <c r="I48" s="41" t="n"/>
      <c r="J48" s="42" t="n"/>
      <c r="K48" s="41" t="n"/>
    </row>
    <row r="49" ht="15" customHeight="1" s="24">
      <c r="A49" s="41" t="n"/>
      <c r="B49" s="41" t="n"/>
      <c r="C49" s="41" t="n"/>
      <c r="D49" s="41" t="n"/>
      <c r="E49" s="41" t="n"/>
      <c r="F49" s="41" t="n"/>
      <c r="G49" s="41" t="n"/>
      <c r="H49" s="41" t="n"/>
      <c r="I49" s="41" t="n"/>
      <c r="J49" s="42" t="n"/>
      <c r="K49" s="41" t="n"/>
    </row>
    <row r="50" ht="15" customHeight="1" s="24">
      <c r="A50" s="41" t="n"/>
      <c r="B50" s="41" t="n"/>
      <c r="C50" s="41" t="n"/>
      <c r="D50" s="41" t="n"/>
      <c r="E50" s="41" t="n"/>
      <c r="F50" s="41" t="n"/>
      <c r="G50" s="41" t="n"/>
      <c r="H50" s="41" t="n"/>
      <c r="I50" s="41" t="n"/>
      <c r="J50" s="42" t="n"/>
      <c r="K50" s="41" t="n"/>
    </row>
    <row r="51" ht="15" customHeight="1" s="24">
      <c r="A51" s="41" t="n"/>
      <c r="B51" s="41" t="n"/>
      <c r="C51" s="41" t="n"/>
      <c r="D51" s="41" t="n"/>
      <c r="E51" s="41" t="n"/>
      <c r="F51" s="41" t="n"/>
      <c r="G51" s="41" t="n"/>
      <c r="H51" s="41" t="n"/>
      <c r="I51" s="41" t="n"/>
      <c r="J51" s="42" t="n"/>
      <c r="K51" s="41" t="n"/>
    </row>
    <row r="52" ht="15" customHeight="1" s="24">
      <c r="A52" s="41" t="n"/>
      <c r="B52" s="41" t="n"/>
      <c r="C52" s="41" t="n"/>
      <c r="D52" s="41" t="n"/>
      <c r="E52" s="41" t="n"/>
      <c r="F52" s="41" t="n"/>
      <c r="G52" s="41" t="n"/>
      <c r="H52" s="41" t="n"/>
      <c r="I52" s="41" t="n"/>
      <c r="J52" s="42" t="n"/>
      <c r="K52" s="41" t="n"/>
    </row>
    <row r="53" ht="15" customHeight="1" s="24">
      <c r="A53" s="41" t="n"/>
      <c r="B53" s="41" t="n"/>
      <c r="C53" s="41" t="n"/>
      <c r="D53" s="41" t="n"/>
      <c r="E53" s="41" t="n"/>
      <c r="F53" s="41" t="n"/>
      <c r="G53" s="41" t="n"/>
      <c r="H53" s="41" t="n"/>
      <c r="I53" s="41" t="n"/>
      <c r="J53" s="42" t="n"/>
      <c r="K53" s="41" t="n"/>
    </row>
    <row r="54" ht="15" customHeight="1" s="24">
      <c r="A54" s="41" t="n"/>
      <c r="B54" s="41" t="n"/>
      <c r="C54" s="41" t="n"/>
      <c r="D54" s="41" t="n"/>
      <c r="E54" s="41" t="n"/>
      <c r="F54" s="41" t="n"/>
      <c r="G54" s="41" t="n"/>
      <c r="H54" s="41" t="n"/>
      <c r="I54" s="41" t="n"/>
      <c r="J54" s="42" t="n"/>
      <c r="K54" s="41" t="n"/>
    </row>
    <row r="55" ht="15" customHeight="1" s="24">
      <c r="A55" s="41" t="n"/>
      <c r="B55" s="41" t="n"/>
      <c r="C55" s="41" t="n"/>
      <c r="D55" s="41" t="n"/>
      <c r="E55" s="41" t="n"/>
      <c r="F55" s="41" t="n"/>
      <c r="G55" s="41" t="n"/>
      <c r="H55" s="41" t="n"/>
      <c r="I55" s="41" t="n"/>
      <c r="J55" s="42" t="n"/>
      <c r="K55" s="41" t="n"/>
    </row>
    <row r="56" ht="15" customHeight="1" s="24">
      <c r="A56" s="41" t="n"/>
      <c r="B56" s="41" t="n"/>
      <c r="C56" s="41" t="n"/>
      <c r="D56" s="41" t="n"/>
      <c r="E56" s="41" t="n"/>
      <c r="F56" s="41" t="n"/>
      <c r="G56" s="41" t="n"/>
      <c r="H56" s="41" t="n"/>
      <c r="I56" s="41" t="n"/>
      <c r="J56" s="42" t="n"/>
      <c r="K56" s="41" t="n"/>
    </row>
    <row r="57" ht="15" customHeight="1" s="24">
      <c r="A57" s="41" t="n"/>
      <c r="B57" s="41" t="n"/>
      <c r="C57" s="41" t="n"/>
      <c r="D57" s="41" t="n"/>
      <c r="E57" s="41" t="n"/>
      <c r="F57" s="41" t="n"/>
      <c r="G57" s="41" t="n"/>
      <c r="H57" s="41" t="n"/>
      <c r="I57" s="41" t="n"/>
      <c r="J57" s="42" t="n"/>
      <c r="K57" s="41" t="n"/>
    </row>
    <row r="58" ht="15" customHeight="1" s="24">
      <c r="A58" s="41" t="n"/>
      <c r="B58" s="41" t="n"/>
      <c r="C58" s="41" t="n"/>
      <c r="D58" s="41" t="n"/>
      <c r="E58" s="41" t="n"/>
      <c r="F58" s="41" t="n"/>
      <c r="G58" s="41" t="n"/>
      <c r="H58" s="41" t="n"/>
      <c r="I58" s="41" t="n"/>
      <c r="J58" s="42" t="n"/>
      <c r="K58" s="41" t="n"/>
    </row>
    <row r="59" ht="15" customHeight="1" s="24">
      <c r="A59" s="41" t="n"/>
      <c r="B59" s="41" t="n"/>
      <c r="C59" s="41" t="n"/>
      <c r="D59" s="41" t="n"/>
      <c r="E59" s="41" t="n"/>
      <c r="F59" s="41" t="n"/>
      <c r="G59" s="41" t="n"/>
      <c r="H59" s="41" t="n"/>
      <c r="I59" s="41" t="n"/>
      <c r="J59" s="42" t="n"/>
      <c r="K59" s="41" t="n"/>
    </row>
    <row r="60" ht="15" customHeight="1" s="24">
      <c r="A60" s="41" t="n"/>
      <c r="B60" s="41" t="n"/>
      <c r="C60" s="41" t="n"/>
      <c r="D60" s="41" t="n"/>
      <c r="E60" s="41" t="n"/>
      <c r="F60" s="41" t="n"/>
      <c r="G60" s="41" t="n"/>
      <c r="H60" s="41" t="n"/>
      <c r="I60" s="41" t="n"/>
      <c r="J60" s="42" t="n"/>
      <c r="K60" s="41" t="n"/>
    </row>
    <row r="61" ht="15" customHeight="1" s="24">
      <c r="A61" s="41" t="n"/>
      <c r="B61" s="41" t="n"/>
      <c r="C61" s="41" t="n"/>
      <c r="D61" s="41" t="n"/>
      <c r="E61" s="41" t="n"/>
      <c r="F61" s="41" t="n"/>
      <c r="G61" s="41" t="n"/>
      <c r="H61" s="41" t="n"/>
      <c r="I61" s="41" t="n"/>
      <c r="J61" s="42" t="n"/>
      <c r="K61" s="41" t="n"/>
    </row>
    <row r="62" ht="15" customHeight="1" s="24">
      <c r="A62" s="41" t="n"/>
      <c r="B62" s="41" t="n"/>
      <c r="C62" s="41" t="n"/>
      <c r="D62" s="41" t="n"/>
      <c r="E62" s="41" t="n"/>
      <c r="F62" s="41" t="n"/>
      <c r="G62" s="41" t="n"/>
      <c r="H62" s="41" t="n"/>
      <c r="I62" s="41" t="n"/>
      <c r="J62" s="42" t="n"/>
      <c r="K62" s="41" t="n"/>
    </row>
    <row r="63" ht="15" customHeight="1" s="24">
      <c r="A63" s="41" t="n"/>
      <c r="B63" s="41" t="n"/>
      <c r="C63" s="41" t="n"/>
      <c r="D63" s="41" t="n"/>
      <c r="E63" s="41" t="n"/>
      <c r="F63" s="41" t="n"/>
      <c r="G63" s="41" t="n"/>
      <c r="H63" s="41" t="n"/>
      <c r="I63" s="41" t="n"/>
      <c r="J63" s="42" t="n"/>
      <c r="K63" s="41" t="n"/>
    </row>
    <row r="64" ht="15" customHeight="1" s="24">
      <c r="A64" s="41" t="n"/>
      <c r="B64" s="41" t="n"/>
      <c r="C64" s="41" t="n"/>
      <c r="D64" s="41" t="n"/>
      <c r="E64" s="41" t="n"/>
      <c r="F64" s="41" t="n"/>
      <c r="G64" s="41" t="n"/>
      <c r="H64" s="41" t="n"/>
      <c r="I64" s="41" t="n"/>
      <c r="J64" s="42" t="n"/>
      <c r="K64" s="41" t="n"/>
    </row>
    <row r="65" ht="15" customHeight="1" s="24">
      <c r="A65" s="41" t="n"/>
      <c r="B65" s="41" t="n"/>
      <c r="C65" s="41" t="n"/>
      <c r="D65" s="41" t="n"/>
      <c r="E65" s="41" t="n"/>
      <c r="F65" s="41" t="n"/>
      <c r="G65" s="41" t="n"/>
      <c r="H65" s="41" t="n"/>
      <c r="I65" s="41" t="n"/>
      <c r="J65" s="42" t="n"/>
      <c r="K65" s="41" t="n"/>
    </row>
    <row r="66" ht="15" customHeight="1" s="24">
      <c r="A66" s="41" t="n"/>
      <c r="B66" s="41" t="n"/>
      <c r="C66" s="41" t="n"/>
      <c r="D66" s="41" t="n"/>
      <c r="E66" s="41" t="n"/>
      <c r="F66" s="41" t="n"/>
      <c r="G66" s="41" t="n"/>
      <c r="H66" s="41" t="n"/>
      <c r="I66" s="41" t="n"/>
      <c r="J66" s="42" t="n"/>
      <c r="K66" s="41" t="n"/>
    </row>
    <row r="67" ht="15" customHeight="1" s="24">
      <c r="A67" s="41" t="n"/>
      <c r="B67" s="41" t="n"/>
      <c r="C67" s="41" t="n"/>
      <c r="D67" s="41" t="n"/>
      <c r="E67" s="41" t="n"/>
      <c r="F67" s="41" t="n"/>
      <c r="G67" s="41" t="n"/>
      <c r="H67" s="41" t="n"/>
      <c r="I67" s="41" t="n"/>
      <c r="J67" s="42" t="n"/>
      <c r="K67" s="41" t="n"/>
    </row>
    <row r="68" ht="15" customHeight="1" s="24">
      <c r="A68" s="41" t="n"/>
      <c r="B68" s="41" t="n"/>
      <c r="C68" s="41" t="n"/>
      <c r="D68" s="41" t="n"/>
      <c r="E68" s="41" t="n"/>
      <c r="F68" s="41" t="n"/>
      <c r="G68" s="41" t="n"/>
      <c r="H68" s="41" t="n"/>
      <c r="I68" s="41" t="n"/>
      <c r="J68" s="42" t="n"/>
      <c r="K68" s="41" t="n"/>
    </row>
    <row r="69" ht="15" customHeight="1" s="24">
      <c r="A69" s="41" t="n"/>
      <c r="B69" s="41" t="n"/>
      <c r="C69" s="41" t="n"/>
      <c r="D69" s="41" t="n"/>
      <c r="E69" s="41" t="n"/>
      <c r="F69" s="41" t="n"/>
      <c r="G69" s="41" t="n"/>
      <c r="H69" s="41" t="n"/>
      <c r="I69" s="41" t="n"/>
      <c r="J69" s="42" t="n"/>
      <c r="K69" s="41" t="n"/>
    </row>
    <row r="70" ht="15" customHeight="1" s="24">
      <c r="A70" s="41" t="n"/>
      <c r="B70" s="41" t="n"/>
      <c r="C70" s="41" t="n"/>
      <c r="D70" s="41" t="n"/>
      <c r="E70" s="41" t="n"/>
      <c r="F70" s="41" t="n"/>
      <c r="G70" s="41" t="n"/>
      <c r="H70" s="41" t="n"/>
      <c r="I70" s="41" t="n"/>
      <c r="J70" s="42" t="n"/>
      <c r="K70" s="41" t="n"/>
    </row>
    <row r="71" ht="15" customHeight="1" s="24">
      <c r="A71" s="41" t="n"/>
      <c r="B71" s="41" t="n"/>
      <c r="C71" s="41" t="n"/>
      <c r="D71" s="41" t="n"/>
      <c r="E71" s="41" t="n"/>
      <c r="F71" s="41" t="n"/>
      <c r="G71" s="41" t="n"/>
      <c r="H71" s="41" t="n"/>
      <c r="I71" s="41" t="n"/>
      <c r="J71" s="42" t="n"/>
      <c r="K71" s="41" t="n"/>
    </row>
    <row r="72" ht="15" customHeight="1" s="24">
      <c r="A72" s="41" t="n"/>
      <c r="B72" s="41" t="n"/>
      <c r="C72" s="41" t="n"/>
      <c r="D72" s="41" t="n"/>
      <c r="E72" s="41" t="n"/>
      <c r="F72" s="41" t="n"/>
      <c r="G72" s="41" t="n"/>
      <c r="H72" s="41" t="n"/>
      <c r="I72" s="41" t="n"/>
      <c r="J72" s="42" t="n"/>
      <c r="K72" s="41" t="n"/>
    </row>
    <row r="73" ht="15" customHeight="1" s="24">
      <c r="A73" s="41" t="n"/>
      <c r="B73" s="41" t="n"/>
      <c r="C73" s="41" t="n"/>
      <c r="D73" s="41" t="n"/>
      <c r="E73" s="41" t="n"/>
      <c r="F73" s="41" t="n"/>
      <c r="G73" s="41" t="n"/>
      <c r="H73" s="41" t="n"/>
      <c r="I73" s="41" t="n"/>
      <c r="J73" s="42" t="n"/>
      <c r="K73" s="41" t="n"/>
    </row>
    <row r="74" ht="15" customHeight="1" s="24">
      <c r="A74" s="41" t="n"/>
      <c r="B74" s="41" t="n"/>
      <c r="C74" s="41" t="n"/>
      <c r="D74" s="41" t="n"/>
      <c r="E74" s="41" t="n"/>
      <c r="F74" s="41" t="n"/>
      <c r="G74" s="41" t="n"/>
      <c r="H74" s="41" t="n"/>
      <c r="I74" s="41" t="n"/>
      <c r="J74" s="42" t="n"/>
      <c r="K74" s="41" t="n"/>
    </row>
    <row r="75" ht="15" customHeight="1" s="24">
      <c r="A75" s="41" t="n"/>
      <c r="B75" s="41" t="n"/>
      <c r="C75" s="41" t="n"/>
      <c r="D75" s="41" t="n"/>
      <c r="E75" s="41" t="n"/>
      <c r="F75" s="41" t="n"/>
      <c r="G75" s="41" t="n"/>
      <c r="H75" s="41" t="n"/>
      <c r="I75" s="41" t="n"/>
      <c r="J75" s="42" t="n"/>
      <c r="K75" s="41" t="n"/>
    </row>
    <row r="76" ht="15" customHeight="1" s="24">
      <c r="A76" s="41" t="n"/>
      <c r="B76" s="41" t="n"/>
      <c r="C76" s="41" t="n"/>
      <c r="D76" s="41" t="n"/>
      <c r="E76" s="41" t="n"/>
      <c r="F76" s="41" t="n"/>
      <c r="G76" s="41" t="n"/>
      <c r="H76" s="41" t="n"/>
      <c r="I76" s="41" t="n"/>
      <c r="J76" s="42" t="n"/>
      <c r="K76" s="41" t="n"/>
    </row>
    <row r="77" ht="15" customHeight="1" s="24">
      <c r="A77" s="41" t="n"/>
      <c r="B77" s="41" t="n"/>
      <c r="C77" s="41" t="n"/>
      <c r="D77" s="41" t="n"/>
      <c r="E77" s="41" t="n"/>
      <c r="F77" s="41" t="n"/>
      <c r="G77" s="41" t="n"/>
      <c r="H77" s="41" t="n"/>
      <c r="I77" s="41" t="n"/>
      <c r="J77" s="42" t="n"/>
      <c r="K77" s="41" t="n"/>
    </row>
    <row r="78" ht="15" customHeight="1" s="24">
      <c r="A78" s="41" t="n"/>
      <c r="B78" s="41" t="n"/>
      <c r="C78" s="41" t="n"/>
      <c r="D78" s="41" t="n"/>
      <c r="E78" s="41" t="n"/>
      <c r="F78" s="41" t="n"/>
      <c r="G78" s="41" t="n"/>
      <c r="H78" s="41" t="n"/>
      <c r="I78" s="41" t="n"/>
      <c r="J78" s="42" t="n"/>
      <c r="K78" s="41" t="n"/>
    </row>
    <row r="79" ht="15" customHeight="1" s="24">
      <c r="A79" s="41" t="n"/>
      <c r="B79" s="41" t="n"/>
      <c r="C79" s="41" t="n"/>
      <c r="D79" s="41" t="n"/>
      <c r="E79" s="41" t="n"/>
      <c r="F79" s="41" t="n"/>
      <c r="G79" s="41" t="n"/>
      <c r="H79" s="41" t="n"/>
      <c r="I79" s="41" t="n"/>
      <c r="J79" s="42" t="n"/>
      <c r="K79" s="41" t="n"/>
    </row>
    <row r="80" ht="15" customHeight="1" s="24">
      <c r="A80" s="41" t="n"/>
      <c r="B80" s="41" t="n"/>
      <c r="C80" s="41" t="n"/>
      <c r="D80" s="41" t="n"/>
      <c r="E80" s="41" t="n"/>
      <c r="F80" s="41" t="n"/>
      <c r="G80" s="41" t="n"/>
      <c r="H80" s="41" t="n"/>
      <c r="I80" s="41" t="n"/>
      <c r="J80" s="42" t="n"/>
      <c r="K80" s="41" t="n"/>
    </row>
    <row r="81" ht="15" customHeight="1" s="24">
      <c r="A81" s="41" t="n"/>
      <c r="B81" s="41" t="n"/>
      <c r="C81" s="41" t="n"/>
      <c r="D81" s="41" t="n"/>
      <c r="E81" s="41" t="n"/>
      <c r="F81" s="41" t="n"/>
      <c r="G81" s="41" t="n"/>
      <c r="H81" s="41" t="n"/>
      <c r="I81" s="41" t="n"/>
      <c r="J81" s="42" t="n"/>
      <c r="K81" s="41" t="n"/>
    </row>
    <row r="82" ht="15" customHeight="1" s="24">
      <c r="A82" s="41" t="n"/>
      <c r="B82" s="41" t="n"/>
      <c r="C82" s="41" t="n"/>
      <c r="D82" s="41" t="n"/>
      <c r="E82" s="41" t="n"/>
      <c r="F82" s="41" t="n"/>
      <c r="G82" s="41" t="n"/>
      <c r="H82" s="41" t="n"/>
      <c r="I82" s="41" t="n"/>
      <c r="J82" s="42" t="n"/>
      <c r="K82" s="41" t="n"/>
    </row>
    <row r="83" ht="15" customHeight="1" s="24">
      <c r="A83" s="41" t="n"/>
      <c r="B83" s="41" t="n"/>
      <c r="C83" s="41" t="n"/>
      <c r="D83" s="41" t="n"/>
      <c r="E83" s="41" t="n"/>
      <c r="F83" s="41" t="n"/>
      <c r="G83" s="41" t="n"/>
      <c r="H83" s="41" t="n"/>
      <c r="I83" s="41" t="n"/>
      <c r="J83" s="42" t="n"/>
      <c r="K83" s="41" t="n"/>
    </row>
    <row r="84" ht="15" customHeight="1" s="24">
      <c r="A84" s="41" t="n"/>
      <c r="B84" s="41" t="n"/>
      <c r="C84" s="41" t="n"/>
      <c r="D84" s="41" t="n"/>
      <c r="E84" s="41" t="n"/>
      <c r="F84" s="41" t="n"/>
      <c r="G84" s="41" t="n"/>
      <c r="H84" s="41" t="n"/>
      <c r="I84" s="41" t="n"/>
      <c r="J84" s="42" t="n"/>
      <c r="K84" s="41" t="n"/>
    </row>
    <row r="85" ht="15" customHeight="1" s="24">
      <c r="A85" s="41" t="n"/>
      <c r="B85" s="41" t="n"/>
      <c r="C85" s="41" t="n"/>
      <c r="D85" s="41" t="n"/>
      <c r="E85" s="41" t="n"/>
      <c r="F85" s="41" t="n"/>
      <c r="G85" s="41" t="n"/>
      <c r="H85" s="41" t="n"/>
      <c r="I85" s="41" t="n"/>
      <c r="J85" s="42" t="n"/>
      <c r="K85" s="41" t="n"/>
    </row>
    <row r="86" ht="15" customHeight="1" s="24">
      <c r="A86" s="41" t="n"/>
      <c r="B86" s="41" t="n"/>
      <c r="C86" s="41" t="n"/>
      <c r="D86" s="41" t="n"/>
      <c r="E86" s="41" t="n"/>
      <c r="F86" s="41" t="n"/>
      <c r="G86" s="41" t="n"/>
      <c r="H86" s="41" t="n"/>
      <c r="I86" s="41" t="n"/>
      <c r="J86" s="42" t="n"/>
      <c r="K86" s="41" t="n"/>
    </row>
    <row r="87" ht="15" customHeight="1" s="24">
      <c r="A87" s="41" t="n"/>
      <c r="B87" s="41" t="n"/>
      <c r="C87" s="41" t="n"/>
      <c r="D87" s="41" t="n"/>
      <c r="E87" s="41" t="n"/>
      <c r="F87" s="41" t="n"/>
      <c r="G87" s="41" t="n"/>
      <c r="H87" s="41" t="n"/>
      <c r="I87" s="41" t="n"/>
      <c r="J87" s="42" t="n"/>
      <c r="K87" s="41" t="n"/>
    </row>
  </sheetData>
  <autoFilter ref="A4:K87"/>
  <conditionalFormatting sqref="G5:G87">
    <cfRule type="cellIs" rank="0" priority="2" equalAverage="0" operator="equal" aboveAverage="0" dxfId="7" text="" percent="0" bottom="0">
      <formula>"Lolos"</formula>
    </cfRule>
    <cfRule type="cellIs" rank="0" priority="3" equalAverage="0" operator="equal" aboveAverage="0" dxfId="8" text="" percent="0" bottom="0">
      <formula>"Gagal"</formula>
    </cfRule>
    <cfRule type="cellIs" rank="0" priority="4" equalAverage="0" operator="equal" aboveAverage="0" dxfId="9" text="" percent="0" bottom="0">
      <formula>"Diblokir"</formula>
    </cfRule>
  </conditionalFormatting>
  <dataValidations count="2">
    <dataValidation sqref="B5:B87" showDropDown="0" showInputMessage="0" showErrorMessage="0" allowBlank="1" type="list" errorStyle="stop" operator="between">
      <formula1>Daftar!$A$2:$A$8</formula1>
      <formula2>0</formula2>
    </dataValidation>
    <dataValidation sqref="G5:G87" showDropDown="0" showInputMessage="0" showErrorMessage="0" allowBlank="1" type="list" errorStyle="stop" operator="between">
      <formula1>Daftar!$B$2:$B$5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I4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Right"/>
      <selection pane="bottomLeft"/>
      <selection pane="bottomRigh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10" customWidth="1" style="23" min="1" max="2"/>
    <col width="13" customWidth="1" style="24" min="2" max="2"/>
    <col width="40" customWidth="1" style="23" min="3" max="3"/>
    <col width="12" customWidth="1" style="23" min="4" max="4"/>
    <col width="14" customWidth="1" style="23" min="5" max="5"/>
    <col width="16" customWidth="1" style="23" min="6" max="6"/>
    <col width="18" customWidth="1" style="23" min="7" max="7"/>
    <col width="12" customWidth="1" style="23" min="8" max="8"/>
    <col width="26" customWidth="1" style="23" min="9" max="9"/>
  </cols>
  <sheetData>
    <row r="1" ht="16.15" customHeight="1" s="24">
      <c r="A1" s="37" t="inlineStr">
        <is>
          <t>Defect log</t>
        </is>
      </c>
    </row>
    <row r="2" ht="15" customHeight="1" s="24">
      <c r="A2" s="26" t="inlineStr">
        <is>
          <t>UAT tertahan selama masih ada defect Kritis atau Tinggi yang berstatus Terbuka atau Diperbaiki.</t>
        </is>
      </c>
    </row>
    <row r="4" ht="31.5" customHeight="1" s="24">
      <c r="A4" s="40" t="inlineStr">
        <is>
          <t>Defect ID</t>
        </is>
      </c>
      <c r="B4" s="40" t="inlineStr">
        <is>
          <t>Kasus uji</t>
        </is>
      </c>
      <c r="C4" s="40" t="inlineStr">
        <is>
          <t>Uraian</t>
        </is>
      </c>
      <c r="D4" s="40" t="inlineStr">
        <is>
          <t>Severity</t>
        </is>
      </c>
      <c r="E4" s="40" t="inlineStr">
        <is>
          <t>Ditemukan</t>
        </is>
      </c>
      <c r="F4" s="40" t="inlineStr">
        <is>
          <t>PIC perbaikan</t>
        </is>
      </c>
      <c r="G4" s="40" t="inlineStr">
        <is>
          <t>Status</t>
        </is>
      </c>
      <c r="H4" s="40" t="inlineStr">
        <is>
          <t>Tanggal retest</t>
        </is>
      </c>
      <c r="I4" s="40" t="inlineStr">
        <is>
          <t>Catatan</t>
        </is>
      </c>
    </row>
    <row r="5" ht="15" customHeight="1" s="24">
      <c r="A5" s="41" t="n"/>
      <c r="B5" s="41" t="n"/>
      <c r="C5" s="41" t="n"/>
      <c r="D5" s="41" t="n"/>
      <c r="E5" s="42" t="n"/>
      <c r="F5" s="41" t="n"/>
      <c r="G5" s="41" t="n"/>
      <c r="H5" s="42" t="n"/>
      <c r="I5" s="41" t="n"/>
    </row>
    <row r="6" ht="15" customHeight="1" s="24">
      <c r="A6" s="41" t="n"/>
      <c r="B6" s="41" t="n"/>
      <c r="C6" s="41" t="n"/>
      <c r="D6" s="41" t="n"/>
      <c r="E6" s="42" t="n"/>
      <c r="F6" s="41" t="n"/>
      <c r="G6" s="41" t="n"/>
      <c r="H6" s="42" t="n"/>
      <c r="I6" s="41" t="n"/>
    </row>
    <row r="7" ht="15" customHeight="1" s="24">
      <c r="A7" s="41" t="n"/>
      <c r="B7" s="41" t="n"/>
      <c r="C7" s="41" t="n"/>
      <c r="D7" s="41" t="n"/>
      <c r="E7" s="42" t="n"/>
      <c r="F7" s="41" t="n"/>
      <c r="G7" s="41" t="n"/>
      <c r="H7" s="42" t="n"/>
      <c r="I7" s="41" t="n"/>
    </row>
    <row r="8" ht="15" customHeight="1" s="24">
      <c r="A8" s="41" t="n"/>
      <c r="B8" s="41" t="n"/>
      <c r="C8" s="41" t="n"/>
      <c r="D8" s="41" t="n"/>
      <c r="E8" s="42" t="n"/>
      <c r="F8" s="41" t="n"/>
      <c r="G8" s="41" t="n"/>
      <c r="H8" s="42" t="n"/>
      <c r="I8" s="41" t="n"/>
    </row>
    <row r="9" ht="15" customHeight="1" s="24">
      <c r="A9" s="41" t="n"/>
      <c r="B9" s="41" t="n"/>
      <c r="C9" s="41" t="n"/>
      <c r="D9" s="41" t="n"/>
      <c r="E9" s="42" t="n"/>
      <c r="F9" s="41" t="n"/>
      <c r="G9" s="41" t="n"/>
      <c r="H9" s="42" t="n"/>
      <c r="I9" s="41" t="n"/>
    </row>
    <row r="10" ht="15" customHeight="1" s="24">
      <c r="A10" s="41" t="n"/>
      <c r="B10" s="41" t="n"/>
      <c r="C10" s="41" t="n"/>
      <c r="D10" s="41" t="n"/>
      <c r="E10" s="42" t="n"/>
      <c r="F10" s="41" t="n"/>
      <c r="G10" s="41" t="n"/>
      <c r="H10" s="42" t="n"/>
      <c r="I10" s="41" t="n"/>
    </row>
    <row r="11" ht="15" customHeight="1" s="24">
      <c r="A11" s="41" t="n"/>
      <c r="B11" s="41" t="n"/>
      <c r="C11" s="41" t="n"/>
      <c r="D11" s="41" t="n"/>
      <c r="E11" s="42" t="n"/>
      <c r="F11" s="41" t="n"/>
      <c r="G11" s="41" t="n"/>
      <c r="H11" s="42" t="n"/>
      <c r="I11" s="41" t="n"/>
    </row>
    <row r="12" ht="15" customHeight="1" s="24">
      <c r="A12" s="41" t="n"/>
      <c r="B12" s="41" t="n"/>
      <c r="C12" s="41" t="n"/>
      <c r="D12" s="41" t="n"/>
      <c r="E12" s="42" t="n"/>
      <c r="F12" s="41" t="n"/>
      <c r="G12" s="41" t="n"/>
      <c r="H12" s="42" t="n"/>
      <c r="I12" s="41" t="n"/>
    </row>
    <row r="13" ht="15" customHeight="1" s="24">
      <c r="A13" s="41" t="n"/>
      <c r="B13" s="41" t="n"/>
      <c r="C13" s="41" t="n"/>
      <c r="D13" s="41" t="n"/>
      <c r="E13" s="42" t="n"/>
      <c r="F13" s="41" t="n"/>
      <c r="G13" s="41" t="n"/>
      <c r="H13" s="42" t="n"/>
      <c r="I13" s="41" t="n"/>
    </row>
    <row r="14" ht="15" customHeight="1" s="24">
      <c r="A14" s="41" t="n"/>
      <c r="B14" s="41" t="n"/>
      <c r="C14" s="41" t="n"/>
      <c r="D14" s="41" t="n"/>
      <c r="E14" s="42" t="n"/>
      <c r="F14" s="41" t="n"/>
      <c r="G14" s="41" t="n"/>
      <c r="H14" s="42" t="n"/>
      <c r="I14" s="41" t="n"/>
    </row>
    <row r="15" ht="15" customHeight="1" s="24">
      <c r="A15" s="41" t="n"/>
      <c r="B15" s="41" t="n"/>
      <c r="C15" s="41" t="n"/>
      <c r="D15" s="41" t="n"/>
      <c r="E15" s="42" t="n"/>
      <c r="F15" s="41" t="n"/>
      <c r="G15" s="41" t="n"/>
      <c r="H15" s="42" t="n"/>
      <c r="I15" s="41" t="n"/>
    </row>
    <row r="16" ht="15" customHeight="1" s="24">
      <c r="A16" s="41" t="n"/>
      <c r="B16" s="41" t="n"/>
      <c r="C16" s="41" t="n"/>
      <c r="D16" s="41" t="n"/>
      <c r="E16" s="42" t="n"/>
      <c r="F16" s="41" t="n"/>
      <c r="G16" s="41" t="n"/>
      <c r="H16" s="42" t="n"/>
      <c r="I16" s="41" t="n"/>
    </row>
    <row r="17" ht="15" customHeight="1" s="24">
      <c r="A17" s="41" t="n"/>
      <c r="B17" s="41" t="n"/>
      <c r="C17" s="41" t="n"/>
      <c r="D17" s="41" t="n"/>
      <c r="E17" s="42" t="n"/>
      <c r="F17" s="41" t="n"/>
      <c r="G17" s="41" t="n"/>
      <c r="H17" s="42" t="n"/>
      <c r="I17" s="41" t="n"/>
    </row>
    <row r="18" ht="15" customHeight="1" s="24">
      <c r="A18" s="41" t="n"/>
      <c r="B18" s="41" t="n"/>
      <c r="C18" s="41" t="n"/>
      <c r="D18" s="41" t="n"/>
      <c r="E18" s="42" t="n"/>
      <c r="F18" s="41" t="n"/>
      <c r="G18" s="41" t="n"/>
      <c r="H18" s="42" t="n"/>
      <c r="I18" s="41" t="n"/>
    </row>
    <row r="19" ht="15" customHeight="1" s="24">
      <c r="A19" s="41" t="n"/>
      <c r="B19" s="41" t="n"/>
      <c r="C19" s="41" t="n"/>
      <c r="D19" s="41" t="n"/>
      <c r="E19" s="42" t="n"/>
      <c r="F19" s="41" t="n"/>
      <c r="G19" s="41" t="n"/>
      <c r="H19" s="42" t="n"/>
      <c r="I19" s="41" t="n"/>
    </row>
    <row r="20" ht="15" customHeight="1" s="24">
      <c r="A20" s="41" t="n"/>
      <c r="B20" s="41" t="n"/>
      <c r="C20" s="41" t="n"/>
      <c r="D20" s="41" t="n"/>
      <c r="E20" s="42" t="n"/>
      <c r="F20" s="41" t="n"/>
      <c r="G20" s="41" t="n"/>
      <c r="H20" s="42" t="n"/>
      <c r="I20" s="41" t="n"/>
    </row>
    <row r="21" ht="15" customHeight="1" s="24">
      <c r="A21" s="41" t="n"/>
      <c r="B21" s="41" t="n"/>
      <c r="C21" s="41" t="n"/>
      <c r="D21" s="41" t="n"/>
      <c r="E21" s="42" t="n"/>
      <c r="F21" s="41" t="n"/>
      <c r="G21" s="41" t="n"/>
      <c r="H21" s="42" t="n"/>
      <c r="I21" s="41" t="n"/>
    </row>
    <row r="22" ht="15" customHeight="1" s="24">
      <c r="A22" s="41" t="n"/>
      <c r="B22" s="41" t="n"/>
      <c r="C22" s="41" t="n"/>
      <c r="D22" s="41" t="n"/>
      <c r="E22" s="42" t="n"/>
      <c r="F22" s="41" t="n"/>
      <c r="G22" s="41" t="n"/>
      <c r="H22" s="42" t="n"/>
      <c r="I22" s="41" t="n"/>
    </row>
    <row r="23" ht="15" customHeight="1" s="24">
      <c r="A23" s="41" t="n"/>
      <c r="B23" s="41" t="n"/>
      <c r="C23" s="41" t="n"/>
      <c r="D23" s="41" t="n"/>
      <c r="E23" s="42" t="n"/>
      <c r="F23" s="41" t="n"/>
      <c r="G23" s="41" t="n"/>
      <c r="H23" s="42" t="n"/>
      <c r="I23" s="41" t="n"/>
    </row>
    <row r="24" ht="15" customHeight="1" s="24">
      <c r="A24" s="41" t="n"/>
      <c r="B24" s="41" t="n"/>
      <c r="C24" s="41" t="n"/>
      <c r="D24" s="41" t="n"/>
      <c r="E24" s="42" t="n"/>
      <c r="F24" s="41" t="n"/>
      <c r="G24" s="41" t="n"/>
      <c r="H24" s="42" t="n"/>
      <c r="I24" s="41" t="n"/>
    </row>
    <row r="25" ht="15" customHeight="1" s="24">
      <c r="A25" s="41" t="n"/>
      <c r="B25" s="41" t="n"/>
      <c r="C25" s="41" t="n"/>
      <c r="D25" s="41" t="n"/>
      <c r="E25" s="42" t="n"/>
      <c r="F25" s="41" t="n"/>
      <c r="G25" s="41" t="n"/>
      <c r="H25" s="42" t="n"/>
      <c r="I25" s="41" t="n"/>
    </row>
    <row r="26" ht="15" customHeight="1" s="24">
      <c r="A26" s="41" t="n"/>
      <c r="B26" s="41" t="n"/>
      <c r="C26" s="41" t="n"/>
      <c r="D26" s="41" t="n"/>
      <c r="E26" s="42" t="n"/>
      <c r="F26" s="41" t="n"/>
      <c r="G26" s="41" t="n"/>
      <c r="H26" s="42" t="n"/>
      <c r="I26" s="41" t="n"/>
    </row>
    <row r="27" ht="15" customHeight="1" s="24">
      <c r="A27" s="41" t="n"/>
      <c r="B27" s="41" t="n"/>
      <c r="C27" s="41" t="n"/>
      <c r="D27" s="41" t="n"/>
      <c r="E27" s="42" t="n"/>
      <c r="F27" s="41" t="n"/>
      <c r="G27" s="41" t="n"/>
      <c r="H27" s="42" t="n"/>
      <c r="I27" s="41" t="n"/>
    </row>
    <row r="28" ht="15" customHeight="1" s="24">
      <c r="A28" s="41" t="n"/>
      <c r="B28" s="41" t="n"/>
      <c r="C28" s="41" t="n"/>
      <c r="D28" s="41" t="n"/>
      <c r="E28" s="42" t="n"/>
      <c r="F28" s="41" t="n"/>
      <c r="G28" s="41" t="n"/>
      <c r="H28" s="42" t="n"/>
      <c r="I28" s="41" t="n"/>
    </row>
    <row r="29" ht="15" customHeight="1" s="24">
      <c r="A29" s="41" t="n"/>
      <c r="B29" s="41" t="n"/>
      <c r="C29" s="41" t="n"/>
      <c r="D29" s="41" t="n"/>
      <c r="E29" s="42" t="n"/>
      <c r="F29" s="41" t="n"/>
      <c r="G29" s="41" t="n"/>
      <c r="H29" s="42" t="n"/>
      <c r="I29" s="41" t="n"/>
    </row>
    <row r="30" ht="15" customHeight="1" s="24">
      <c r="A30" s="41" t="n"/>
      <c r="B30" s="41" t="n"/>
      <c r="C30" s="41" t="n"/>
      <c r="D30" s="41" t="n"/>
      <c r="E30" s="42" t="n"/>
      <c r="F30" s="41" t="n"/>
      <c r="G30" s="41" t="n"/>
      <c r="H30" s="42" t="n"/>
      <c r="I30" s="41" t="n"/>
    </row>
    <row r="31" ht="15" customHeight="1" s="24">
      <c r="A31" s="41" t="n"/>
      <c r="B31" s="41" t="n"/>
      <c r="C31" s="41" t="n"/>
      <c r="D31" s="41" t="n"/>
      <c r="E31" s="42" t="n"/>
      <c r="F31" s="41" t="n"/>
      <c r="G31" s="41" t="n"/>
      <c r="H31" s="42" t="n"/>
      <c r="I31" s="41" t="n"/>
    </row>
    <row r="32" ht="15" customHeight="1" s="24">
      <c r="A32" s="41" t="n"/>
      <c r="B32" s="41" t="n"/>
      <c r="C32" s="41" t="n"/>
      <c r="D32" s="41" t="n"/>
      <c r="E32" s="42" t="n"/>
      <c r="F32" s="41" t="n"/>
      <c r="G32" s="41" t="n"/>
      <c r="H32" s="42" t="n"/>
      <c r="I32" s="41" t="n"/>
    </row>
    <row r="33" ht="15" customHeight="1" s="24">
      <c r="A33" s="41" t="n"/>
      <c r="B33" s="41" t="n"/>
      <c r="C33" s="41" t="n"/>
      <c r="D33" s="41" t="n"/>
      <c r="E33" s="42" t="n"/>
      <c r="F33" s="41" t="n"/>
      <c r="G33" s="41" t="n"/>
      <c r="H33" s="42" t="n"/>
      <c r="I33" s="41" t="n"/>
    </row>
    <row r="34" ht="15" customHeight="1" s="24">
      <c r="A34" s="41" t="n"/>
      <c r="B34" s="41" t="n"/>
      <c r="C34" s="41" t="n"/>
      <c r="D34" s="41" t="n"/>
      <c r="E34" s="42" t="n"/>
      <c r="F34" s="41" t="n"/>
      <c r="G34" s="41" t="n"/>
      <c r="H34" s="42" t="n"/>
      <c r="I34" s="41" t="n"/>
    </row>
    <row r="35" ht="15" customHeight="1" s="24">
      <c r="A35" s="41" t="n"/>
      <c r="B35" s="41" t="n"/>
      <c r="C35" s="41" t="n"/>
      <c r="D35" s="41" t="n"/>
      <c r="E35" s="42" t="n"/>
      <c r="F35" s="41" t="n"/>
      <c r="G35" s="41" t="n"/>
      <c r="H35" s="42" t="n"/>
      <c r="I35" s="41" t="n"/>
    </row>
    <row r="36" ht="15" customHeight="1" s="24">
      <c r="A36" s="41" t="n"/>
      <c r="B36" s="41" t="n"/>
      <c r="C36" s="41" t="n"/>
      <c r="D36" s="41" t="n"/>
      <c r="E36" s="42" t="n"/>
      <c r="F36" s="41" t="n"/>
      <c r="G36" s="41" t="n"/>
      <c r="H36" s="42" t="n"/>
      <c r="I36" s="41" t="n"/>
    </row>
    <row r="37" ht="15" customHeight="1" s="24">
      <c r="A37" s="41" t="n"/>
      <c r="B37" s="41" t="n"/>
      <c r="C37" s="41" t="n"/>
      <c r="D37" s="41" t="n"/>
      <c r="E37" s="42" t="n"/>
      <c r="F37" s="41" t="n"/>
      <c r="G37" s="41" t="n"/>
      <c r="H37" s="42" t="n"/>
      <c r="I37" s="41" t="n"/>
    </row>
    <row r="38" ht="15" customHeight="1" s="24">
      <c r="A38" s="41" t="n"/>
      <c r="B38" s="41" t="n"/>
      <c r="C38" s="41" t="n"/>
      <c r="D38" s="41" t="n"/>
      <c r="E38" s="42" t="n"/>
      <c r="F38" s="41" t="n"/>
      <c r="G38" s="41" t="n"/>
      <c r="H38" s="42" t="n"/>
      <c r="I38" s="41" t="n"/>
    </row>
    <row r="39" ht="15" customHeight="1" s="24">
      <c r="A39" s="41" t="n"/>
      <c r="B39" s="41" t="n"/>
      <c r="C39" s="41" t="n"/>
      <c r="D39" s="41" t="n"/>
      <c r="E39" s="42" t="n"/>
      <c r="F39" s="41" t="n"/>
      <c r="G39" s="41" t="n"/>
      <c r="H39" s="42" t="n"/>
      <c r="I39" s="41" t="n"/>
    </row>
    <row r="40" ht="15" customHeight="1" s="24">
      <c r="A40" s="41" t="n"/>
      <c r="B40" s="41" t="n"/>
      <c r="C40" s="41" t="n"/>
      <c r="D40" s="41" t="n"/>
      <c r="E40" s="42" t="n"/>
      <c r="F40" s="41" t="n"/>
      <c r="G40" s="41" t="n"/>
      <c r="H40" s="42" t="n"/>
      <c r="I40" s="41" t="n"/>
    </row>
    <row r="41" ht="15" customHeight="1" s="24">
      <c r="A41" s="41" t="n"/>
      <c r="B41" s="41" t="n"/>
      <c r="C41" s="41" t="n"/>
      <c r="D41" s="41" t="n"/>
      <c r="E41" s="42" t="n"/>
      <c r="F41" s="41" t="n"/>
      <c r="G41" s="41" t="n"/>
      <c r="H41" s="42" t="n"/>
      <c r="I41" s="41" t="n"/>
    </row>
    <row r="42" ht="15" customHeight="1" s="24">
      <c r="A42" s="41" t="n"/>
      <c r="B42" s="41" t="n"/>
      <c r="C42" s="41" t="n"/>
      <c r="D42" s="41" t="n"/>
      <c r="E42" s="42" t="n"/>
      <c r="F42" s="41" t="n"/>
      <c r="G42" s="41" t="n"/>
      <c r="H42" s="42" t="n"/>
      <c r="I42" s="41" t="n"/>
    </row>
    <row r="43" ht="15" customHeight="1" s="24">
      <c r="A43" s="41" t="n"/>
      <c r="B43" s="41" t="n"/>
      <c r="C43" s="41" t="n"/>
      <c r="D43" s="41" t="n"/>
      <c r="E43" s="42" t="n"/>
      <c r="F43" s="41" t="n"/>
      <c r="G43" s="41" t="n"/>
      <c r="H43" s="42" t="n"/>
      <c r="I43" s="41" t="n"/>
    </row>
    <row r="44" ht="15" customHeight="1" s="24">
      <c r="A44" s="41" t="n"/>
      <c r="B44" s="41" t="n"/>
      <c r="C44" s="41" t="n"/>
      <c r="D44" s="41" t="n"/>
      <c r="E44" s="42" t="n"/>
      <c r="F44" s="41" t="n"/>
      <c r="G44" s="41" t="n"/>
      <c r="H44" s="42" t="n"/>
      <c r="I44" s="41" t="n"/>
    </row>
    <row r="45" ht="15" customHeight="1" s="24">
      <c r="A45" s="41" t="n"/>
      <c r="B45" s="41" t="n"/>
      <c r="C45" s="41" t="n"/>
      <c r="D45" s="41" t="n"/>
      <c r="E45" s="42" t="n"/>
      <c r="F45" s="41" t="n"/>
      <c r="G45" s="41" t="n"/>
      <c r="H45" s="42" t="n"/>
      <c r="I45" s="41" t="n"/>
    </row>
  </sheetData>
  <autoFilter ref="A4:I45"/>
  <dataValidations count="2">
    <dataValidation sqref="D5:D45" showDropDown="0" showInputMessage="0" showErrorMessage="0" allowBlank="1" type="list" errorStyle="stop" operator="between">
      <formula1>Daftar!$C$2:$C$5</formula1>
      <formula2>0</formula2>
    </dataValidation>
    <dataValidation sqref="G5:G45" showDropDown="0" showInputMessage="0" showErrorMessage="0" allowBlank="1" type="list" errorStyle="stop" operator="between">
      <formula1>Daftar!$D$2:$D$5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D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23" min="1" max="1"/>
    <col width="34" customWidth="1" style="23" min="2" max="2"/>
    <col width="24" customWidth="1" style="23" min="3" max="3"/>
    <col width="14" customWidth="1" style="23" min="4" max="4"/>
  </cols>
  <sheetData>
    <row r="1" ht="16.15" customHeight="1" s="24">
      <c r="A1" s="37" t="inlineStr">
        <is>
          <t>Ringkasan hasil uji dan persetujuan UAT</t>
        </is>
      </c>
    </row>
    <row r="3" ht="15" customHeight="1" s="24">
      <c r="A3" s="27" t="inlineStr">
        <is>
          <t>Total kasus uji</t>
        </is>
      </c>
      <c r="B3" s="34">
        <f>COUNTA('Kasus Uji'!$A$5:$A$87)</f>
        <v/>
      </c>
    </row>
    <row r="4" ht="15" customHeight="1" s="24">
      <c r="A4" s="27" t="inlineStr">
        <is>
          <t>Lolos</t>
        </is>
      </c>
      <c r="B4" s="34">
        <f>COUNTIF('Kasus Uji'!$G$5:$G$87,"Lolos")</f>
        <v/>
      </c>
    </row>
    <row r="5" ht="15" customHeight="1" s="24">
      <c r="A5" s="27" t="inlineStr">
        <is>
          <t>Gagal</t>
        </is>
      </c>
      <c r="B5" s="34">
        <f>COUNTIF('Kasus Uji'!$G$5:$G$87,"Gagal")</f>
        <v/>
      </c>
    </row>
    <row r="6" ht="15" customHeight="1" s="24">
      <c r="A6" s="27" t="inlineStr">
        <is>
          <t>Diblokir</t>
        </is>
      </c>
      <c r="B6" s="34">
        <f>COUNTIF('Kasus Uji'!$G$5:$G$87,"Diblokir")</f>
        <v/>
      </c>
    </row>
    <row r="7" ht="15" customHeight="1" s="24">
      <c r="A7" s="27" t="inlineStr">
        <is>
          <t>Belum diuji</t>
        </is>
      </c>
      <c r="B7" s="34">
        <f>COUNTIF('Kasus Uji'!$G$5:$G$87,"Belum")</f>
        <v/>
      </c>
    </row>
    <row r="8" ht="15" customHeight="1" s="24">
      <c r="A8" s="27" t="inlineStr">
        <is>
          <t>Tingkat kelulusan</t>
        </is>
      </c>
      <c r="B8" s="43">
        <f>IF(B3=0,"",B4/B3)</f>
        <v/>
      </c>
    </row>
    <row r="9" ht="15" customHeight="1" s="24">
      <c r="A9" s="27" t="inlineStr">
        <is>
          <t>Defect Kritis atau Tinggi menahan UAT</t>
        </is>
      </c>
      <c r="B9" s="34">
        <f>COUNTIFS(Defect!$D$5:$D$45,"Kritis",Defect!$G$5:$G$45,"Terbuka")+COUNTIFS(Defect!$D$5:$D$45,"Tinggi",Defect!$G$5:$G$45,"Terbuka")+COUNTIFS(Defect!$D$5:$D$45,"Kritis",Defect!$G$5:$G$45,"Diperbaiki")+COUNTIFS(Defect!$D$5:$D$45,"Tinggi",Defect!$G$5:$G$45,"Diperbaiki")</f>
        <v/>
      </c>
    </row>
    <row r="10" ht="15" customHeight="1" s="24">
      <c r="A10" s="27" t="inlineStr">
        <is>
          <t>Rekomendasi otomatis</t>
        </is>
      </c>
      <c r="B10" s="34">
        <f>IF(B3=0,"",IF(AND(B9=0,B7=0,B5=0),"SIAP UAT DITANDATANGANI","BELUM SIAP"))</f>
        <v/>
      </c>
    </row>
    <row r="12" ht="15" customHeight="1" s="24">
      <c r="A12" s="29" t="inlineStr">
        <is>
          <t>Keputusan UAT</t>
        </is>
      </c>
    </row>
    <row r="13" ht="15" customHeight="1" s="24">
      <c r="A13" s="30" t="inlineStr">
        <is>
          <t>[ ] Diterima   [ ] Diterima dengan catatan (isu sisa di Defect)   [ ] Ditolak</t>
        </is>
      </c>
    </row>
    <row r="15" ht="15" customHeight="1" s="24">
      <c r="A15" s="35" t="inlineStr">
        <is>
          <t>Peran</t>
        </is>
      </c>
      <c r="B15" s="35" t="inlineStr">
        <is>
          <t>Nama dan jabatan</t>
        </is>
      </c>
      <c r="C15" s="35" t="inlineStr">
        <is>
          <t>Tanda tangan</t>
        </is>
      </c>
      <c r="D15" s="35" t="inlineStr">
        <is>
          <t>Tanggal</t>
        </is>
      </c>
    </row>
    <row r="16" ht="30" customHeight="1" s="24">
      <c r="A16" s="36" t="inlineStr">
        <is>
          <t>Penguji SINUX (Project Manager)</t>
        </is>
      </c>
      <c r="B16" s="44" t="n"/>
      <c r="C16" s="44" t="n"/>
      <c r="D16" s="44" t="n"/>
    </row>
    <row r="17" ht="30" customHeight="1" s="24">
      <c r="A17" s="36" t="inlineStr">
        <is>
          <t>Perwakilan pelanggan</t>
        </is>
      </c>
      <c r="B17" s="44" t="n"/>
      <c r="C17" s="44" t="n"/>
      <c r="D17" s="44" t="n"/>
    </row>
    <row r="18" ht="30" customHeight="1" s="24">
      <c r="A18" s="36" t="inlineStr">
        <is>
          <t>Service Delivery Manager</t>
        </is>
      </c>
      <c r="B18" s="44" t="n"/>
      <c r="C18" s="44" t="n"/>
      <c r="D18" s="44" t="n"/>
    </row>
  </sheetData>
  <conditionalFormatting sqref="B10">
    <cfRule type="cellIs" rank="0" priority="2" equalAverage="0" operator="equal" aboveAverage="0" dxfId="7" text="" percent="0" bottom="0">
      <formula>"SIAP UAT DITANDATANGANI"</formula>
    </cfRule>
    <cfRule type="cellIs" rank="0" priority="3" equalAverage="0" operator="equal" aboveAverage="0" dxfId="8" text="" percent="0" bottom="0">
      <formula>"BELUM SIAP"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2026-10-13T06:09:06Z</dcterms:created>
  <dcterms:modified xmlns:dcterms="http://purl.org/dc/terms/" xmlns:xsi="http://www.w3.org/2001/XMLSchema-instance" xsi:type="dcterms:W3CDTF">2026-10-15T07:24:58Z</dcterms:modified>
  <cp:revision>0</cp:revision>
</cp:coreProperties>
</file>