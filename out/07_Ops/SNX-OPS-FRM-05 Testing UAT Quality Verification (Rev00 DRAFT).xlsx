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ncana Uji" sheetId="4" state="visible" r:id="rId4"/>
    <sheet xmlns:r="http://schemas.openxmlformats.org/officeDocument/2006/relationships" name="Kasus Uji" sheetId="5" state="visible" r:id="rId5"/>
    <sheet xmlns:r="http://schemas.openxmlformats.org/officeDocument/2006/relationships" name="Defect" sheetId="6" state="visible" r:id="rId6"/>
    <sheet xmlns:r="http://schemas.openxmlformats.org/officeDocument/2006/relationships" name="Ringkasan dan Persetujuan" sheetId="7" state="visible" r:id="rId7"/>
  </sheets>
  <definedNames>
    <definedName name="_xlnm._FilterDatabase" localSheetId="4" hidden="1">'Kasus Uji'!$A$4:$K$87</definedName>
    <definedName name="_xlnm._FilterDatabase" localSheetId="5" hidden="1">'Defect'!$A$4:$I$45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0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165960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3714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70" customWidth="1" style="23" min="2" max="2"/>
    <col width="30" customWidth="1" style="23" min="3" max="3"/>
    <col width="22" customWidth="1" style="23" min="4" max="4"/>
    <col width="14" customWidth="1" style="23" min="5" max="5"/>
  </cols>
  <sheetData>
    <row r="1" ht="18.55" customHeight="1" s="24">
      <c r="A1" s="25" t="inlineStr">
        <is>
          <t>Testing / UAT &amp; Quality Verification Records</t>
        </is>
      </c>
    </row>
    <row r="2" ht="15" customHeight="1" s="24">
      <c r="A2" s="26" t="inlineStr">
        <is>
          <t>PT Strategi Integrasi Nusantara (SINUX) · Divisi Operation</t>
        </is>
      </c>
    </row>
    <row r="4" ht="15" customHeight="1" s="24">
      <c r="A4" s="27" t="inlineStr">
        <is>
          <t>Nomor dokumen</t>
        </is>
      </c>
      <c r="B4" s="28" t="inlineStr">
        <is>
          <t>SNX-OPS-FRM-05</t>
        </is>
      </c>
    </row>
    <row r="5" ht="15" customHeight="1" s="24">
      <c r="A5" s="27" t="inlineStr">
        <is>
          <t>Judul</t>
        </is>
      </c>
      <c r="B5" s="28" t="inlineStr">
        <is>
          <t>Testing / UAT &amp; Quality Verification Records</t>
        </is>
      </c>
    </row>
    <row r="6" ht="15" customHeight="1" s="24">
      <c r="A6" s="27" t="inlineStr">
        <is>
          <t>Revisi</t>
        </is>
      </c>
      <c r="B6" s="28" t="inlineStr">
        <is>
          <t>00 (Draft)</t>
        </is>
      </c>
    </row>
    <row r="7" ht="15" customHeight="1" s="24">
      <c r="A7" s="27" t="inlineStr">
        <is>
          <t>Tanggal draft</t>
        </is>
      </c>
      <c r="B7" s="28" t="inlineStr">
        <is>
          <t>13 Oktober 2026</t>
        </is>
      </c>
    </row>
    <row r="8" ht="15" customHeight="1" s="24">
      <c r="A8" s="27" t="inlineStr">
        <is>
          <t>Tanggal efektif</t>
        </is>
      </c>
      <c r="B8" s="28" t="inlineStr">
        <is>
          <t>Ditetapkan saat pengesahan</t>
        </is>
      </c>
    </row>
    <row r="9" ht="15" customHeight="1" s="24">
      <c r="A9" s="27" t="inlineStr">
        <is>
          <t>Klasifikasi</t>
        </is>
      </c>
      <c r="B9" s="28" t="inlineStr">
        <is>
          <t>RESTRICTED (Internal)</t>
        </is>
      </c>
    </row>
    <row r="10" ht="15" customHeight="1" s="24">
      <c r="A10" s="27" t="inlineStr">
        <is>
          <t>Pemilik dokumen</t>
        </is>
      </c>
      <c r="B10" s="28" t="inlineStr">
        <is>
          <t>Project Manager</t>
        </is>
      </c>
    </row>
    <row r="11" ht="15" customHeight="1" s="24">
      <c r="A11" s="27" t="inlineStr">
        <is>
          <t>Disetujui oleh</t>
        </is>
      </c>
      <c r="B11" s="28" t="inlineStr">
        <is>
          <t>Samuel Kristanto Utomo / President Director</t>
        </is>
      </c>
    </row>
    <row r="12" ht="15" customHeight="1" s="24">
      <c r="A12" s="27" t="inlineStr">
        <is>
          <t>Acuan ISO 9001:2015</t>
        </is>
      </c>
      <c r="B12" s="28" t="inlineStr">
        <is>
          <t>Klausul 8.6, 8.7</t>
        </is>
      </c>
    </row>
    <row r="13" ht="15" customHeight="1" s="24">
      <c r="A13" s="27" t="inlineStr">
        <is>
          <t>Acuan ISO/IEC 27001:2022</t>
        </is>
      </c>
      <c r="B13" s="28" t="inlineStr">
        <is>
          <t>Kontrol Annex A 8.29</t>
        </is>
      </c>
    </row>
    <row r="14" ht="15" customHeight="1" s="24">
      <c r="A14" s="27" t="inlineStr">
        <is>
          <t>Masa simpan record</t>
        </is>
      </c>
      <c r="B14" s="28" t="inlineStr">
        <is>
          <t>Durasi kontrak + 3 tahun</t>
        </is>
      </c>
    </row>
    <row r="15" ht="23.85" customHeight="1" s="24">
      <c r="A15" s="27" t="inlineStr">
        <is>
          <t>Tujuan</t>
        </is>
      </c>
      <c r="B15" s="28" t="inlineStr">
        <is>
          <t>Merekam rencana uji, eksekusi kasus uji, defect, dan persetujuan UAT sebagai dasar BAST (gate G2).</t>
        </is>
      </c>
    </row>
    <row r="17" ht="15" customHeight="1" s="24">
      <c r="A17" s="29" t="inlineStr">
        <is>
          <t>Cara pakai</t>
        </is>
      </c>
    </row>
    <row r="18" ht="15" customHeight="1" s="24">
      <c r="A18" s="30" t="inlineStr">
        <is>
          <t>1.</t>
        </is>
      </c>
      <c r="B18" s="31" t="inlineStr">
        <is>
          <t>Satu file per proyek atau per rilis; ganti nama menjadi FRM-05_&lt;KodeProyek&gt;.xlsx.</t>
        </is>
      </c>
    </row>
    <row r="19" ht="23.85" customHeight="1" s="24">
      <c r="A19" s="30" t="inlineStr">
        <is>
          <t>2.</t>
        </is>
      </c>
      <c r="B19" s="31" t="inlineStr">
        <is>
          <t>Isi Rencana Uji, lalu kasus uji dari kriteria penerimaan di project charter (SNX-OPS-FRM-01).</t>
        </is>
      </c>
    </row>
    <row r="20" ht="15" customHeight="1" s="24">
      <c r="A20" s="30" t="inlineStr">
        <is>
          <t>3.</t>
        </is>
      </c>
      <c r="B20" s="31" t="inlineStr">
        <is>
          <t>Kasus berstatus Gagal wajib punya Defect ID di sheet Defect.</t>
        </is>
      </c>
    </row>
    <row r="21" ht="23.85" customHeight="1" s="24">
      <c r="A21" s="30" t="inlineStr">
        <is>
          <t>4.</t>
        </is>
      </c>
      <c r="B21" s="31" t="inlineStr">
        <is>
          <t>Sheet Ringkasan dan Persetujuan menghitung tingkat kelulusan dan memberi rekomendasi; UAT ditandatangani bila rekomendasinya SIAP.</t>
        </is>
      </c>
    </row>
    <row r="23" ht="15" customHeight="1" s="24">
      <c r="A23" s="29" t="inlineStr">
        <is>
          <t>Legenda warna</t>
        </is>
      </c>
    </row>
    <row r="24" ht="15" customHeight="1" s="24">
      <c r="A24" s="32" t="n"/>
      <c r="B24" s="30" t="inlineStr">
        <is>
          <t>Sel input: diisi pengguna</t>
        </is>
      </c>
    </row>
    <row r="25" ht="15" customHeight="1" s="24">
      <c r="A25" s="33" t="n"/>
      <c r="B25" s="30" t="inlineStr">
        <is>
          <t>Biru muda: warna baris contoh, sudah dikosongkan dan tidak dipakai</t>
        </is>
      </c>
    </row>
    <row r="26" ht="15" customHeight="1" s="24">
      <c r="A26" s="34" t="n"/>
      <c r="B26" s="30" t="inlineStr">
        <is>
          <t>Sel rumus: jangan diubah</t>
        </is>
      </c>
    </row>
    <row r="28" ht="15" customHeight="1" s="24">
      <c r="A28" s="29" t="inlineStr">
        <is>
          <t>Riwayat revisi</t>
        </is>
      </c>
    </row>
    <row r="29" ht="15" customHeight="1" s="24">
      <c r="A29" s="35" t="inlineStr">
        <is>
          <t>Revisi</t>
        </is>
      </c>
      <c r="B29" s="35" t="inlineStr">
        <is>
          <t>Tanggal</t>
        </is>
      </c>
      <c r="C29" s="35" t="inlineStr">
        <is>
          <t>Uraian perubahan</t>
        </is>
      </c>
      <c r="D29" s="35" t="inlineStr">
        <is>
          <t>Disusun</t>
        </is>
      </c>
      <c r="E29" s="35" t="inlineStr">
        <is>
          <t>Disetujui</t>
        </is>
      </c>
    </row>
    <row r="30" ht="23.85" customHeight="1" s="24">
      <c r="A30" s="28" t="inlineStr">
        <is>
          <t>00</t>
        </is>
      </c>
      <c r="B30" s="28" t="inlineStr">
        <is>
          <t>13 Oktober 2026</t>
        </is>
      </c>
      <c r="C30" s="28" t="inlineStr">
        <is>
          <t>Draft awal untuk review dan pengesahan</t>
        </is>
      </c>
      <c r="D30" s="28" t="inlineStr">
        <is>
          <t>Divisi Operation</t>
        </is>
      </c>
      <c r="E30" s="28" t="inlineStr">
        <is>
          <t>Menunggu</t>
        </is>
      </c>
    </row>
    <row r="31" ht="57.45" customHeight="1" s="24">
      <c r="A31" s="28" t="n"/>
      <c r="B31" s="28" t="n"/>
      <c r="C31" s="28" t="n"/>
      <c r="D31" s="28" t="n"/>
      <c r="E31" s="28" t="n"/>
    </row>
    <row r="33" ht="15" customHeight="1" s="24">
      <c r="A33" s="29" t="inlineStr">
        <is>
          <t>Pengesahan</t>
        </is>
      </c>
    </row>
    <row r="34" ht="15" customHeight="1" s="24">
      <c r="A34" s="35" t="inlineStr">
        <is>
          <t>Peran</t>
        </is>
      </c>
      <c r="B34" s="35" t="inlineStr">
        <is>
          <t>Nama dan jabatan</t>
        </is>
      </c>
      <c r="C34" s="35" t="inlineStr">
        <is>
          <t>Tanda tangan</t>
        </is>
      </c>
      <c r="D34" s="35" t="inlineStr">
        <is>
          <t>Tanggal</t>
        </is>
      </c>
    </row>
    <row r="35" ht="27.75" customHeight="1" s="24">
      <c r="A35" s="36" t="inlineStr">
        <is>
          <t>Disusun oleh</t>
        </is>
      </c>
      <c r="B35" s="36" t="inlineStr">
        <is>
          <t>Erik Dwi Yanto / Technical/Operation Engineer L1</t>
        </is>
      </c>
      <c r="C35" s="36" t="n"/>
      <c r="D35" s="36" t="n"/>
    </row>
    <row r="36" ht="27.75" customHeight="1" s="24">
      <c r="A36" s="36" t="inlineStr">
        <is>
          <t>Diperiksa oleh</t>
        </is>
      </c>
      <c r="B36" s="36" t="inlineStr">
        <is>
          <t>Fani Fatullah / VP Tech Operation and Services</t>
        </is>
      </c>
      <c r="C36" s="36" t="n"/>
      <c r="D36" s="36" t="n"/>
    </row>
    <row r="37" ht="27.75" customHeight="1" s="24">
      <c r="A37" s="36" t="inlineStr">
        <is>
          <t>Disetujui oleh</t>
        </is>
      </c>
      <c r="B37" s="36" t="inlineStr">
        <is>
          <t>Samuel Kristanto Utomo / President Director</t>
        </is>
      </c>
      <c r="C37" s="36" t="n"/>
      <c r="D37" s="3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4">
      <c r="A1" s="37" t="inlineStr">
        <is>
          <t>Diagram alur proses</t>
        </is>
      </c>
    </row>
    <row r="2" ht="15" customHeight="1" s="24">
      <c r="A2" s="26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16" customWidth="1" style="23" min="2" max="2"/>
    <col width="17" customWidth="1" style="23" min="3" max="3"/>
    <col width="27" customWidth="1" style="23" min="4" max="4"/>
  </cols>
  <sheetData>
    <row r="1" ht="15" customHeight="1" s="24">
      <c r="A1" s="38" t="inlineStr">
        <is>
          <t>Kategori</t>
        </is>
      </c>
      <c r="B1" s="38" t="inlineStr">
        <is>
          <t>Status uji</t>
        </is>
      </c>
      <c r="C1" s="38" t="inlineStr">
        <is>
          <t>Severity defect</t>
        </is>
      </c>
      <c r="D1" s="38" t="inlineStr">
        <is>
          <t>Status defect</t>
        </is>
      </c>
    </row>
    <row r="2" ht="15" customHeight="1" s="24">
      <c r="A2" s="30" t="inlineStr">
        <is>
          <t>Fungsional</t>
        </is>
      </c>
      <c r="B2" s="30" t="inlineStr">
        <is>
          <t>Belum</t>
        </is>
      </c>
      <c r="C2" s="30" t="inlineStr">
        <is>
          <t>Kritis</t>
        </is>
      </c>
      <c r="D2" s="30" t="inlineStr">
        <is>
          <t>Terbuka</t>
        </is>
      </c>
    </row>
    <row r="3" ht="15" customHeight="1" s="24">
      <c r="A3" s="30" t="inlineStr">
        <is>
          <t>Kinerja</t>
        </is>
      </c>
      <c r="B3" s="30" t="inlineStr">
        <is>
          <t>Lolos</t>
        </is>
      </c>
      <c r="C3" s="30" t="inlineStr">
        <is>
          <t>Tinggi</t>
        </is>
      </c>
      <c r="D3" s="30" t="inlineStr">
        <is>
          <t>Diperbaiki</t>
        </is>
      </c>
    </row>
    <row r="4" ht="15" customHeight="1" s="24">
      <c r="A4" s="30" t="inlineStr">
        <is>
          <t>Keamanan</t>
        </is>
      </c>
      <c r="B4" s="30" t="inlineStr">
        <is>
          <t>Gagal</t>
        </is>
      </c>
      <c r="C4" s="30" t="inlineStr">
        <is>
          <t>Sedang</t>
        </is>
      </c>
      <c r="D4" s="30" t="inlineStr">
        <is>
          <t>Lolos retest</t>
        </is>
      </c>
    </row>
    <row r="5" ht="15" customHeight="1" s="24">
      <c r="A5" s="30" t="inlineStr">
        <is>
          <t>Backup dan restore</t>
        </is>
      </c>
      <c r="B5" s="30" t="inlineStr">
        <is>
          <t>Diblokir</t>
        </is>
      </c>
      <c r="C5" s="30" t="inlineStr">
        <is>
          <t>Rendah</t>
        </is>
      </c>
      <c r="D5" s="30" t="inlineStr">
        <is>
          <t>Diterima sebagai isu sisa</t>
        </is>
      </c>
    </row>
    <row r="6" ht="15" customHeight="1" s="24">
      <c r="A6" s="30" t="inlineStr">
        <is>
          <t>Monitoring</t>
        </is>
      </c>
    </row>
    <row r="7" ht="15" customHeight="1" s="24">
      <c r="A7" s="30" t="inlineStr">
        <is>
          <t>Akses</t>
        </is>
      </c>
    </row>
    <row r="8" ht="15" customHeight="1" s="24">
      <c r="A8" s="30" t="inlineStr">
        <is>
          <t>Dokumentasi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23" min="1" max="1"/>
    <col width="90" customWidth="1" style="23" min="2" max="2"/>
  </cols>
  <sheetData>
    <row r="1" ht="16.15" customHeight="1" s="24">
      <c r="A1" s="37" t="inlineStr">
        <is>
          <t>Rencana uji dan verifikasi mutu</t>
        </is>
      </c>
    </row>
    <row r="3" ht="15" customHeight="1" s="24">
      <c r="A3" s="27" t="inlineStr">
        <is>
          <t>Nama dan kode proyek</t>
        </is>
      </c>
      <c r="B3" s="39" t="n"/>
    </row>
    <row r="4" ht="15" customHeight="1" s="24">
      <c r="A4" s="27" t="inlineStr">
        <is>
          <t>Pelanggan</t>
        </is>
      </c>
      <c r="B4" s="39" t="n"/>
    </row>
    <row r="5" ht="15" customHeight="1" s="24">
      <c r="A5" s="27" t="inlineStr">
        <is>
          <t>Objek uji (layanan, sistem, versi)</t>
        </is>
      </c>
      <c r="B5" s="39" t="n"/>
    </row>
    <row r="6" ht="15" customHeight="1" s="24">
      <c r="A6" s="27" t="inlineStr">
        <is>
          <t>Test environment</t>
        </is>
      </c>
      <c r="B6" s="39" t="n"/>
    </row>
    <row r="7" ht="15" customHeight="1" s="24">
      <c r="A7" s="27" t="inlineStr">
        <is>
          <t>Periode uji</t>
        </is>
      </c>
      <c r="B7" s="39" t="n"/>
    </row>
    <row r="8" ht="15" customHeight="1" s="24">
      <c r="A8" s="27" t="inlineStr">
        <is>
          <t>Kriteria lulus</t>
        </is>
      </c>
      <c r="B8" s="39" t="n"/>
    </row>
    <row r="9" ht="15" customHeight="1" s="24">
      <c r="A9" s="27" t="inlineStr">
        <is>
          <t>Penguji SINUX</t>
        </is>
      </c>
      <c r="B9" s="39" t="n"/>
    </row>
    <row r="10" ht="15" customHeight="1" s="24">
      <c r="A10" s="27" t="inlineStr">
        <is>
          <t>Penguji pelanggan</t>
        </is>
      </c>
      <c r="B10" s="39" t="n"/>
    </row>
    <row r="11" ht="15" customHeight="1" s="24">
      <c r="A11" s="27" t="inlineStr">
        <is>
          <t>Referensi kriteria penerimaan</t>
        </is>
      </c>
      <c r="B11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6" customWidth="1" style="23" min="2" max="2"/>
    <col width="34" customWidth="1" style="23" min="3" max="3"/>
    <col width="30" customWidth="1" style="23" min="4" max="4"/>
    <col width="28" customWidth="1" style="23" min="5" max="6"/>
    <col width="10" customWidth="1" style="23" min="7" max="8"/>
    <col width="14" customWidth="1" style="23" min="9" max="9"/>
    <col width="12" customWidth="1" style="23" min="10" max="10"/>
    <col width="24" customWidth="1" style="23" min="11" max="11"/>
  </cols>
  <sheetData>
    <row r="1" ht="16.15" customHeight="1" s="24">
      <c r="A1" s="37" t="inlineStr">
        <is>
          <t>Kasus uji</t>
        </is>
      </c>
    </row>
    <row r="2" ht="15" customHeight="1" s="24">
      <c r="A2" s="26" t="inlineStr">
        <is>
          <t>Kasus berstatus Gagal wajib punya Defect ID di sheet Defect. Rekomendasi SIAP mensyaratkan tidak ada kasus Gagal atau Belum. Kasus yang lolos retest diubah menjadi Lolos (USULAN).</t>
        </is>
      </c>
    </row>
    <row r="4" ht="31.5" customHeight="1" s="24">
      <c r="A4" s="40" t="inlineStr">
        <is>
          <t>ID</t>
        </is>
      </c>
      <c r="B4" s="40" t="inlineStr">
        <is>
          <t>Kategori</t>
        </is>
      </c>
      <c r="C4" s="40" t="inlineStr">
        <is>
          <t>Skenario</t>
        </is>
      </c>
      <c r="D4" s="40" t="inlineStr">
        <is>
          <t>Langkah</t>
        </is>
      </c>
      <c r="E4" s="40" t="inlineStr">
        <is>
          <t>Hasil diharapkan</t>
        </is>
      </c>
      <c r="F4" s="40" t="inlineStr">
        <is>
          <t>Hasil aktual</t>
        </is>
      </c>
      <c r="G4" s="40" t="inlineStr">
        <is>
          <t>Status</t>
        </is>
      </c>
      <c r="H4" s="40" t="inlineStr">
        <is>
          <t>Defect ID</t>
        </is>
      </c>
      <c r="I4" s="40" t="inlineStr">
        <is>
          <t>Penguji</t>
        </is>
      </c>
      <c r="J4" s="40" t="inlineStr">
        <is>
          <t>Tanggal</t>
        </is>
      </c>
      <c r="K4" s="40" t="inlineStr">
        <is>
          <t>Bukti</t>
        </is>
      </c>
    </row>
    <row r="5" ht="23.85" customHeight="1" s="24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2" t="n"/>
      <c r="K5" s="41" t="n"/>
    </row>
    <row r="6" ht="23.85" customHeight="1" s="24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  <c r="J6" s="42" t="n"/>
      <c r="K6" s="41" t="n"/>
    </row>
    <row r="7" ht="15" customHeight="1" s="24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2" t="n"/>
      <c r="K7" s="41" t="n"/>
    </row>
    <row r="8" ht="15" customHeight="1" s="24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2" t="n"/>
      <c r="K8" s="41" t="n"/>
    </row>
    <row r="9" ht="15" customHeight="1" s="24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  <c r="J9" s="42" t="n"/>
      <c r="K9" s="41" t="n"/>
    </row>
    <row r="10" ht="15" customHeight="1" s="24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  <c r="J10" s="42" t="n"/>
      <c r="K10" s="41" t="n"/>
    </row>
    <row r="11" ht="15" customHeight="1" s="24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2" t="n"/>
      <c r="K11" s="41" t="n"/>
    </row>
    <row r="12" ht="15" customHeight="1" s="24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  <c r="J12" s="42" t="n"/>
      <c r="K12" s="41" t="n"/>
    </row>
    <row r="13" ht="15" customHeight="1" s="24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2" t="n"/>
      <c r="K13" s="41" t="n"/>
    </row>
    <row r="14" ht="15" customHeight="1" s="2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  <c r="J14" s="42" t="n"/>
      <c r="K14" s="41" t="n"/>
    </row>
    <row r="15" ht="15" customHeight="1" s="24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2" t="n"/>
      <c r="K15" s="41" t="n"/>
    </row>
    <row r="16" ht="15" customHeight="1" s="24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  <c r="J16" s="42" t="n"/>
      <c r="K16" s="41" t="n"/>
    </row>
    <row r="17" ht="15" customHeight="1" s="24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2" t="n"/>
      <c r="K17" s="41" t="n"/>
    </row>
    <row r="18" ht="15" customHeight="1" s="24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2" t="n"/>
      <c r="K18" s="41" t="n"/>
    </row>
    <row r="19" ht="15" customHeight="1" s="24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2" t="n"/>
      <c r="K19" s="41" t="n"/>
    </row>
    <row r="20" ht="15" customHeight="1" s="24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2" t="n"/>
      <c r="K20" s="41" t="n"/>
    </row>
    <row r="21" ht="15" customHeight="1" s="24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2" t="n"/>
      <c r="K21" s="41" t="n"/>
    </row>
    <row r="22" ht="15" customHeight="1" s="24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  <c r="J22" s="42" t="n"/>
      <c r="K22" s="41" t="n"/>
    </row>
    <row r="23" ht="15" customHeight="1" s="24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2" t="n"/>
      <c r="K23" s="41" t="n"/>
    </row>
    <row r="24" ht="15" customHeight="1" s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  <c r="J24" s="42" t="n"/>
      <c r="K24" s="41" t="n"/>
    </row>
    <row r="25" ht="15" customHeight="1" s="24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  <c r="J25" s="42" t="n"/>
      <c r="K25" s="41" t="n"/>
    </row>
    <row r="26" ht="15" customHeight="1" s="24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  <c r="J26" s="42" t="n"/>
      <c r="K26" s="41" t="n"/>
    </row>
    <row r="27" ht="15" customHeight="1" s="24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  <c r="J27" s="42" t="n"/>
      <c r="K27" s="41" t="n"/>
    </row>
    <row r="28" ht="15" customHeight="1" s="24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  <c r="J28" s="42" t="n"/>
      <c r="K28" s="41" t="n"/>
    </row>
    <row r="29" ht="15" customHeight="1" s="24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2" t="n"/>
      <c r="K29" s="41" t="n"/>
    </row>
    <row r="30" ht="15" customHeight="1" s="24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2" t="n"/>
      <c r="K30" s="41" t="n"/>
    </row>
    <row r="31" ht="15" customHeight="1" s="24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2" t="n"/>
      <c r="K31" s="41" t="n"/>
    </row>
    <row r="32" ht="15" customHeight="1" s="24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2" t="n"/>
      <c r="K32" s="41" t="n"/>
    </row>
    <row r="33" ht="15" customHeight="1" s="24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2" t="n"/>
      <c r="K33" s="41" t="n"/>
    </row>
    <row r="34" ht="15" customHeight="1" s="2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2" t="n"/>
      <c r="K34" s="41" t="n"/>
    </row>
    <row r="35" ht="15" customHeight="1" s="24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2" t="n"/>
      <c r="K35" s="41" t="n"/>
    </row>
    <row r="36" ht="15" customHeight="1" s="24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2" t="n"/>
      <c r="K36" s="41" t="n"/>
    </row>
    <row r="37" ht="15" customHeight="1" s="24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2" t="n"/>
      <c r="K37" s="41" t="n"/>
    </row>
    <row r="38" ht="15" customHeight="1" s="24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2" t="n"/>
      <c r="K38" s="41" t="n"/>
    </row>
    <row r="39" ht="15" customHeight="1" s="24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2" t="n"/>
      <c r="K39" s="41" t="n"/>
    </row>
    <row r="40" ht="15" customHeight="1" s="24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2" t="n"/>
      <c r="K40" s="41" t="n"/>
    </row>
    <row r="41" ht="15" customHeight="1" s="24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2" t="n"/>
      <c r="K41" s="41" t="n"/>
    </row>
    <row r="42" ht="15" customHeight="1" s="24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2" t="n"/>
      <c r="K42" s="41" t="n"/>
    </row>
    <row r="43" ht="15" customHeight="1" s="24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2" t="n"/>
      <c r="K43" s="41" t="n"/>
    </row>
    <row r="44" ht="15" customHeight="1" s="2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2" t="n"/>
      <c r="K44" s="41" t="n"/>
    </row>
    <row r="45" ht="15" customHeight="1" s="24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2" t="n"/>
      <c r="K45" s="41" t="n"/>
    </row>
    <row r="46" ht="15" customHeight="1" s="24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2" t="n"/>
      <c r="K46" s="41" t="n"/>
    </row>
    <row r="47" ht="15" customHeight="1" s="24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2" t="n"/>
      <c r="K47" s="41" t="n"/>
    </row>
    <row r="48" ht="15" customHeight="1" s="24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2" t="n"/>
      <c r="K48" s="41" t="n"/>
    </row>
    <row r="49" ht="15" customHeight="1" s="24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2" t="n"/>
      <c r="K49" s="41" t="n"/>
    </row>
    <row r="50" ht="15" customHeight="1" s="24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2" t="n"/>
      <c r="K50" s="41" t="n"/>
    </row>
    <row r="51" ht="15" customHeight="1" s="24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2" t="n"/>
      <c r="K51" s="41" t="n"/>
    </row>
    <row r="52" ht="15" customHeight="1" s="24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2" t="n"/>
      <c r="K52" s="41" t="n"/>
    </row>
    <row r="53" ht="15" customHeight="1" s="24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2" t="n"/>
      <c r="K53" s="41" t="n"/>
    </row>
    <row r="54" ht="15" customHeight="1" s="2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2" t="n"/>
      <c r="K54" s="41" t="n"/>
    </row>
    <row r="55" ht="15" customHeight="1" s="24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2" t="n"/>
      <c r="K55" s="41" t="n"/>
    </row>
    <row r="56" ht="15" customHeight="1" s="24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2" t="n"/>
      <c r="K56" s="41" t="n"/>
    </row>
    <row r="57" ht="15" customHeight="1" s="24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2" t="n"/>
      <c r="K57" s="41" t="n"/>
    </row>
    <row r="58" ht="15" customHeight="1" s="24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2" t="n"/>
      <c r="K58" s="41" t="n"/>
    </row>
    <row r="59" ht="15" customHeight="1" s="24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2" t="n"/>
      <c r="K59" s="41" t="n"/>
    </row>
    <row r="60" ht="15" customHeight="1" s="24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2" t="n"/>
      <c r="K60" s="41" t="n"/>
    </row>
    <row r="61" ht="15" customHeight="1" s="24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2" t="n"/>
      <c r="K61" s="41" t="n"/>
    </row>
    <row r="62" ht="15" customHeight="1" s="24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2" t="n"/>
      <c r="K62" s="41" t="n"/>
    </row>
    <row r="63" ht="15" customHeight="1" s="24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2" t="n"/>
      <c r="K63" s="41" t="n"/>
    </row>
    <row r="64" ht="15" customHeight="1" s="24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2" t="n"/>
      <c r="K64" s="41" t="n"/>
    </row>
    <row r="65" ht="15" customHeight="1" s="24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2" t="n"/>
      <c r="K65" s="41" t="n"/>
    </row>
    <row r="66" ht="15" customHeight="1" s="24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2" t="n"/>
      <c r="K66" s="41" t="n"/>
    </row>
    <row r="67" ht="15" customHeight="1" s="24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2" t="n"/>
      <c r="K67" s="41" t="n"/>
    </row>
    <row r="68" ht="15" customHeight="1" s="24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2" t="n"/>
      <c r="K68" s="41" t="n"/>
    </row>
    <row r="69" ht="15" customHeight="1" s="24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2" t="n"/>
      <c r="K69" s="41" t="n"/>
    </row>
    <row r="70" ht="15" customHeight="1" s="24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2" t="n"/>
      <c r="K70" s="41" t="n"/>
    </row>
    <row r="71" ht="15" customHeight="1" s="24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2" t="n"/>
      <c r="K71" s="41" t="n"/>
    </row>
    <row r="72" ht="15" customHeight="1" s="24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2" t="n"/>
      <c r="K72" s="41" t="n"/>
    </row>
    <row r="73" ht="15" customHeight="1" s="24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2" t="n"/>
      <c r="K73" s="41" t="n"/>
    </row>
    <row r="74" ht="15" customHeight="1" s="24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2" t="n"/>
      <c r="K74" s="41" t="n"/>
    </row>
    <row r="75" ht="15" customHeight="1" s="24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2" t="n"/>
      <c r="K75" s="41" t="n"/>
    </row>
    <row r="76" ht="15" customHeight="1" s="24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2" t="n"/>
      <c r="K76" s="41" t="n"/>
    </row>
    <row r="77" ht="15" customHeight="1" s="24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2" t="n"/>
      <c r="K77" s="41" t="n"/>
    </row>
    <row r="78" ht="15" customHeight="1" s="24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2" t="n"/>
      <c r="K78" s="41" t="n"/>
    </row>
    <row r="79" ht="15" customHeight="1" s="24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2" t="n"/>
      <c r="K79" s="41" t="n"/>
    </row>
    <row r="80" ht="15" customHeight="1" s="24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2" t="n"/>
      <c r="K80" s="41" t="n"/>
    </row>
    <row r="81" ht="15" customHeight="1" s="24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2" t="n"/>
      <c r="K81" s="41" t="n"/>
    </row>
    <row r="82" ht="15" customHeight="1" s="24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2" t="n"/>
      <c r="K82" s="41" t="n"/>
    </row>
    <row r="83" ht="15" customHeight="1" s="24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2" t="n"/>
      <c r="K83" s="41" t="n"/>
    </row>
    <row r="84" ht="15" customHeight="1" s="24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2" t="n"/>
      <c r="K84" s="41" t="n"/>
    </row>
    <row r="85" ht="15" customHeight="1" s="24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2" t="n"/>
      <c r="K85" s="41" t="n"/>
    </row>
    <row r="86" ht="15" customHeight="1" s="24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2" t="n"/>
      <c r="K86" s="41" t="n"/>
    </row>
    <row r="87" ht="15" customHeight="1" s="24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2" t="n"/>
      <c r="K87" s="41" t="n"/>
    </row>
  </sheetData>
  <autoFilter ref="A4:K87"/>
  <conditionalFormatting sqref="G5:G87">
    <cfRule type="cellIs" rank="0" priority="2" equalAverage="0" operator="equal" aboveAverage="0" dxfId="7" text="" percent="0" bottom="0">
      <formula>"Lolos"</formula>
    </cfRule>
    <cfRule type="cellIs" rank="0" priority="3" equalAverage="0" operator="equal" aboveAverage="0" dxfId="8" text="" percent="0" bottom="0">
      <formula>"Gagal"</formula>
    </cfRule>
    <cfRule type="cellIs" rank="0" priority="4" equalAverage="0" operator="equal" aboveAverage="0" dxfId="9" text="" percent="0" bottom="0">
      <formula>"Diblokir"</formula>
    </cfRule>
  </conditionalFormatting>
  <dataValidations count="2">
    <dataValidation sqref="B5:B87" showDropDown="0" showInputMessage="0" showErrorMessage="0" allowBlank="1" type="list" errorStyle="stop" operator="between">
      <formula1>Daftar!$A$2:$A$8</formula1>
      <formula2>0</formula2>
    </dataValidation>
    <dataValidation sqref="G5:G87" showDropDown="0" showInputMessage="0" showErrorMessage="0" allowBlank="1" type="list" errorStyle="stop" operator="between">
      <formula1>Daftar!$B$2:$B$5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I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3" min="1" max="2"/>
    <col width="40" customWidth="1" style="23" min="3" max="3"/>
    <col width="10" customWidth="1" style="23" min="4" max="4"/>
    <col width="12" customWidth="1" style="23" min="5" max="5"/>
    <col width="16" customWidth="1" style="23" min="6" max="6"/>
    <col width="18" customWidth="1" style="23" min="7" max="7"/>
    <col width="12" customWidth="1" style="23" min="8" max="8"/>
    <col width="26" customWidth="1" style="23" min="9" max="9"/>
  </cols>
  <sheetData>
    <row r="1" ht="16.15" customHeight="1" s="24">
      <c r="A1" s="37" t="inlineStr">
        <is>
          <t>Defect log</t>
        </is>
      </c>
    </row>
    <row r="2" ht="15" customHeight="1" s="24">
      <c r="A2" s="26" t="inlineStr">
        <is>
          <t>Defect Kritis atau Tinggi berstatus Terbuka atau Diperbaiki menahan UAT.</t>
        </is>
      </c>
    </row>
    <row r="4" ht="31.5" customHeight="1" s="24">
      <c r="A4" s="40" t="inlineStr">
        <is>
          <t>Defect ID</t>
        </is>
      </c>
      <c r="B4" s="40" t="inlineStr">
        <is>
          <t>Kasus uji</t>
        </is>
      </c>
      <c r="C4" s="40" t="inlineStr">
        <is>
          <t>Uraian</t>
        </is>
      </c>
      <c r="D4" s="40" t="inlineStr">
        <is>
          <t>Severity</t>
        </is>
      </c>
      <c r="E4" s="40" t="inlineStr">
        <is>
          <t>Ditemukan</t>
        </is>
      </c>
      <c r="F4" s="40" t="inlineStr">
        <is>
          <t>PIC perbaikan</t>
        </is>
      </c>
      <c r="G4" s="40" t="inlineStr">
        <is>
          <t>Status</t>
        </is>
      </c>
      <c r="H4" s="40" t="inlineStr">
        <is>
          <t>Tanggal retest</t>
        </is>
      </c>
      <c r="I4" s="40" t="inlineStr">
        <is>
          <t>Catatan</t>
        </is>
      </c>
    </row>
    <row r="5" ht="15" customHeight="1" s="24">
      <c r="A5" s="41" t="n"/>
      <c r="B5" s="41" t="n"/>
      <c r="C5" s="41" t="n"/>
      <c r="D5" s="41" t="n"/>
      <c r="E5" s="42" t="n"/>
      <c r="F5" s="41" t="n"/>
      <c r="G5" s="41" t="n"/>
      <c r="H5" s="42" t="n"/>
      <c r="I5" s="41" t="n"/>
    </row>
    <row r="6" ht="15" customHeight="1" s="24">
      <c r="A6" s="41" t="n"/>
      <c r="B6" s="41" t="n"/>
      <c r="C6" s="41" t="n"/>
      <c r="D6" s="41" t="n"/>
      <c r="E6" s="42" t="n"/>
      <c r="F6" s="41" t="n"/>
      <c r="G6" s="41" t="n"/>
      <c r="H6" s="42" t="n"/>
      <c r="I6" s="41" t="n"/>
    </row>
    <row r="7" ht="15" customHeight="1" s="24">
      <c r="A7" s="41" t="n"/>
      <c r="B7" s="41" t="n"/>
      <c r="C7" s="41" t="n"/>
      <c r="D7" s="41" t="n"/>
      <c r="E7" s="42" t="n"/>
      <c r="F7" s="41" t="n"/>
      <c r="G7" s="41" t="n"/>
      <c r="H7" s="42" t="n"/>
      <c r="I7" s="41" t="n"/>
    </row>
    <row r="8" ht="15" customHeight="1" s="24">
      <c r="A8" s="41" t="n"/>
      <c r="B8" s="41" t="n"/>
      <c r="C8" s="41" t="n"/>
      <c r="D8" s="41" t="n"/>
      <c r="E8" s="42" t="n"/>
      <c r="F8" s="41" t="n"/>
      <c r="G8" s="41" t="n"/>
      <c r="H8" s="42" t="n"/>
      <c r="I8" s="41" t="n"/>
    </row>
    <row r="9" ht="15" customHeight="1" s="24">
      <c r="A9" s="41" t="n"/>
      <c r="B9" s="41" t="n"/>
      <c r="C9" s="41" t="n"/>
      <c r="D9" s="41" t="n"/>
      <c r="E9" s="42" t="n"/>
      <c r="F9" s="41" t="n"/>
      <c r="G9" s="41" t="n"/>
      <c r="H9" s="42" t="n"/>
      <c r="I9" s="41" t="n"/>
    </row>
    <row r="10" ht="15" customHeight="1" s="24">
      <c r="A10" s="41" t="n"/>
      <c r="B10" s="41" t="n"/>
      <c r="C10" s="41" t="n"/>
      <c r="D10" s="41" t="n"/>
      <c r="E10" s="42" t="n"/>
      <c r="F10" s="41" t="n"/>
      <c r="G10" s="41" t="n"/>
      <c r="H10" s="42" t="n"/>
      <c r="I10" s="41" t="n"/>
    </row>
    <row r="11" ht="15" customHeight="1" s="24">
      <c r="A11" s="41" t="n"/>
      <c r="B11" s="41" t="n"/>
      <c r="C11" s="41" t="n"/>
      <c r="D11" s="41" t="n"/>
      <c r="E11" s="42" t="n"/>
      <c r="F11" s="41" t="n"/>
      <c r="G11" s="41" t="n"/>
      <c r="H11" s="42" t="n"/>
      <c r="I11" s="41" t="n"/>
    </row>
    <row r="12" ht="15" customHeight="1" s="24">
      <c r="A12" s="41" t="n"/>
      <c r="B12" s="41" t="n"/>
      <c r="C12" s="41" t="n"/>
      <c r="D12" s="41" t="n"/>
      <c r="E12" s="42" t="n"/>
      <c r="F12" s="41" t="n"/>
      <c r="G12" s="41" t="n"/>
      <c r="H12" s="42" t="n"/>
      <c r="I12" s="41" t="n"/>
    </row>
    <row r="13" ht="15" customHeight="1" s="24">
      <c r="A13" s="41" t="n"/>
      <c r="B13" s="41" t="n"/>
      <c r="C13" s="41" t="n"/>
      <c r="D13" s="41" t="n"/>
      <c r="E13" s="42" t="n"/>
      <c r="F13" s="41" t="n"/>
      <c r="G13" s="41" t="n"/>
      <c r="H13" s="42" t="n"/>
      <c r="I13" s="41" t="n"/>
    </row>
    <row r="14" ht="15" customHeight="1" s="24">
      <c r="A14" s="41" t="n"/>
      <c r="B14" s="41" t="n"/>
      <c r="C14" s="41" t="n"/>
      <c r="D14" s="41" t="n"/>
      <c r="E14" s="42" t="n"/>
      <c r="F14" s="41" t="n"/>
      <c r="G14" s="41" t="n"/>
      <c r="H14" s="42" t="n"/>
      <c r="I14" s="41" t="n"/>
    </row>
    <row r="15" ht="15" customHeight="1" s="24">
      <c r="A15" s="41" t="n"/>
      <c r="B15" s="41" t="n"/>
      <c r="C15" s="41" t="n"/>
      <c r="D15" s="41" t="n"/>
      <c r="E15" s="42" t="n"/>
      <c r="F15" s="41" t="n"/>
      <c r="G15" s="41" t="n"/>
      <c r="H15" s="42" t="n"/>
      <c r="I15" s="41" t="n"/>
    </row>
    <row r="16" ht="15" customHeight="1" s="24">
      <c r="A16" s="41" t="n"/>
      <c r="B16" s="41" t="n"/>
      <c r="C16" s="41" t="n"/>
      <c r="D16" s="41" t="n"/>
      <c r="E16" s="42" t="n"/>
      <c r="F16" s="41" t="n"/>
      <c r="G16" s="41" t="n"/>
      <c r="H16" s="42" t="n"/>
      <c r="I16" s="41" t="n"/>
    </row>
    <row r="17" ht="15" customHeight="1" s="24">
      <c r="A17" s="41" t="n"/>
      <c r="B17" s="41" t="n"/>
      <c r="C17" s="41" t="n"/>
      <c r="D17" s="41" t="n"/>
      <c r="E17" s="42" t="n"/>
      <c r="F17" s="41" t="n"/>
      <c r="G17" s="41" t="n"/>
      <c r="H17" s="42" t="n"/>
      <c r="I17" s="41" t="n"/>
    </row>
    <row r="18" ht="15" customHeight="1" s="24">
      <c r="A18" s="41" t="n"/>
      <c r="B18" s="41" t="n"/>
      <c r="C18" s="41" t="n"/>
      <c r="D18" s="41" t="n"/>
      <c r="E18" s="42" t="n"/>
      <c r="F18" s="41" t="n"/>
      <c r="G18" s="41" t="n"/>
      <c r="H18" s="42" t="n"/>
      <c r="I18" s="41" t="n"/>
    </row>
    <row r="19" ht="15" customHeight="1" s="24">
      <c r="A19" s="41" t="n"/>
      <c r="B19" s="41" t="n"/>
      <c r="C19" s="41" t="n"/>
      <c r="D19" s="41" t="n"/>
      <c r="E19" s="42" t="n"/>
      <c r="F19" s="41" t="n"/>
      <c r="G19" s="41" t="n"/>
      <c r="H19" s="42" t="n"/>
      <c r="I19" s="41" t="n"/>
    </row>
    <row r="20" ht="15" customHeight="1" s="24">
      <c r="A20" s="41" t="n"/>
      <c r="B20" s="41" t="n"/>
      <c r="C20" s="41" t="n"/>
      <c r="D20" s="41" t="n"/>
      <c r="E20" s="42" t="n"/>
      <c r="F20" s="41" t="n"/>
      <c r="G20" s="41" t="n"/>
      <c r="H20" s="42" t="n"/>
      <c r="I20" s="41" t="n"/>
    </row>
    <row r="21" ht="15" customHeight="1" s="24">
      <c r="A21" s="41" t="n"/>
      <c r="B21" s="41" t="n"/>
      <c r="C21" s="41" t="n"/>
      <c r="D21" s="41" t="n"/>
      <c r="E21" s="42" t="n"/>
      <c r="F21" s="41" t="n"/>
      <c r="G21" s="41" t="n"/>
      <c r="H21" s="42" t="n"/>
      <c r="I21" s="41" t="n"/>
    </row>
    <row r="22" ht="15" customHeight="1" s="24">
      <c r="A22" s="41" t="n"/>
      <c r="B22" s="41" t="n"/>
      <c r="C22" s="41" t="n"/>
      <c r="D22" s="41" t="n"/>
      <c r="E22" s="42" t="n"/>
      <c r="F22" s="41" t="n"/>
      <c r="G22" s="41" t="n"/>
      <c r="H22" s="42" t="n"/>
      <c r="I22" s="41" t="n"/>
    </row>
    <row r="23" ht="15" customHeight="1" s="24">
      <c r="A23" s="41" t="n"/>
      <c r="B23" s="41" t="n"/>
      <c r="C23" s="41" t="n"/>
      <c r="D23" s="41" t="n"/>
      <c r="E23" s="42" t="n"/>
      <c r="F23" s="41" t="n"/>
      <c r="G23" s="41" t="n"/>
      <c r="H23" s="42" t="n"/>
      <c r="I23" s="41" t="n"/>
    </row>
    <row r="24" ht="15" customHeight="1" s="24">
      <c r="A24" s="41" t="n"/>
      <c r="B24" s="41" t="n"/>
      <c r="C24" s="41" t="n"/>
      <c r="D24" s="41" t="n"/>
      <c r="E24" s="42" t="n"/>
      <c r="F24" s="41" t="n"/>
      <c r="G24" s="41" t="n"/>
      <c r="H24" s="42" t="n"/>
      <c r="I24" s="41" t="n"/>
    </row>
    <row r="25" ht="15" customHeight="1" s="24">
      <c r="A25" s="41" t="n"/>
      <c r="B25" s="41" t="n"/>
      <c r="C25" s="41" t="n"/>
      <c r="D25" s="41" t="n"/>
      <c r="E25" s="42" t="n"/>
      <c r="F25" s="41" t="n"/>
      <c r="G25" s="41" t="n"/>
      <c r="H25" s="42" t="n"/>
      <c r="I25" s="41" t="n"/>
    </row>
    <row r="26" ht="15" customHeight="1" s="24">
      <c r="A26" s="41" t="n"/>
      <c r="B26" s="41" t="n"/>
      <c r="C26" s="41" t="n"/>
      <c r="D26" s="41" t="n"/>
      <c r="E26" s="42" t="n"/>
      <c r="F26" s="41" t="n"/>
      <c r="G26" s="41" t="n"/>
      <c r="H26" s="42" t="n"/>
      <c r="I26" s="41" t="n"/>
    </row>
    <row r="27" ht="15" customHeight="1" s="24">
      <c r="A27" s="41" t="n"/>
      <c r="B27" s="41" t="n"/>
      <c r="C27" s="41" t="n"/>
      <c r="D27" s="41" t="n"/>
      <c r="E27" s="42" t="n"/>
      <c r="F27" s="41" t="n"/>
      <c r="G27" s="41" t="n"/>
      <c r="H27" s="42" t="n"/>
      <c r="I27" s="41" t="n"/>
    </row>
    <row r="28" ht="15" customHeight="1" s="24">
      <c r="A28" s="41" t="n"/>
      <c r="B28" s="41" t="n"/>
      <c r="C28" s="41" t="n"/>
      <c r="D28" s="41" t="n"/>
      <c r="E28" s="42" t="n"/>
      <c r="F28" s="41" t="n"/>
      <c r="G28" s="41" t="n"/>
      <c r="H28" s="42" t="n"/>
      <c r="I28" s="41" t="n"/>
    </row>
    <row r="29" ht="15" customHeight="1" s="24">
      <c r="A29" s="41" t="n"/>
      <c r="B29" s="41" t="n"/>
      <c r="C29" s="41" t="n"/>
      <c r="D29" s="41" t="n"/>
      <c r="E29" s="42" t="n"/>
      <c r="F29" s="41" t="n"/>
      <c r="G29" s="41" t="n"/>
      <c r="H29" s="42" t="n"/>
      <c r="I29" s="41" t="n"/>
    </row>
    <row r="30" ht="15" customHeight="1" s="24">
      <c r="A30" s="41" t="n"/>
      <c r="B30" s="41" t="n"/>
      <c r="C30" s="41" t="n"/>
      <c r="D30" s="41" t="n"/>
      <c r="E30" s="42" t="n"/>
      <c r="F30" s="41" t="n"/>
      <c r="G30" s="41" t="n"/>
      <c r="H30" s="42" t="n"/>
      <c r="I30" s="41" t="n"/>
    </row>
    <row r="31" ht="15" customHeight="1" s="24">
      <c r="A31" s="41" t="n"/>
      <c r="B31" s="41" t="n"/>
      <c r="C31" s="41" t="n"/>
      <c r="D31" s="41" t="n"/>
      <c r="E31" s="42" t="n"/>
      <c r="F31" s="41" t="n"/>
      <c r="G31" s="41" t="n"/>
      <c r="H31" s="42" t="n"/>
      <c r="I31" s="41" t="n"/>
    </row>
    <row r="32" ht="15" customHeight="1" s="24">
      <c r="A32" s="41" t="n"/>
      <c r="B32" s="41" t="n"/>
      <c r="C32" s="41" t="n"/>
      <c r="D32" s="41" t="n"/>
      <c r="E32" s="42" t="n"/>
      <c r="F32" s="41" t="n"/>
      <c r="G32" s="41" t="n"/>
      <c r="H32" s="42" t="n"/>
      <c r="I32" s="41" t="n"/>
    </row>
    <row r="33" ht="15" customHeight="1" s="24">
      <c r="A33" s="41" t="n"/>
      <c r="B33" s="41" t="n"/>
      <c r="C33" s="41" t="n"/>
      <c r="D33" s="41" t="n"/>
      <c r="E33" s="42" t="n"/>
      <c r="F33" s="41" t="n"/>
      <c r="G33" s="41" t="n"/>
      <c r="H33" s="42" t="n"/>
      <c r="I33" s="41" t="n"/>
    </row>
    <row r="34" ht="15" customHeight="1" s="24">
      <c r="A34" s="41" t="n"/>
      <c r="B34" s="41" t="n"/>
      <c r="C34" s="41" t="n"/>
      <c r="D34" s="41" t="n"/>
      <c r="E34" s="42" t="n"/>
      <c r="F34" s="41" t="n"/>
      <c r="G34" s="41" t="n"/>
      <c r="H34" s="42" t="n"/>
      <c r="I34" s="41" t="n"/>
    </row>
    <row r="35" ht="15" customHeight="1" s="24">
      <c r="A35" s="41" t="n"/>
      <c r="B35" s="41" t="n"/>
      <c r="C35" s="41" t="n"/>
      <c r="D35" s="41" t="n"/>
      <c r="E35" s="42" t="n"/>
      <c r="F35" s="41" t="n"/>
      <c r="G35" s="41" t="n"/>
      <c r="H35" s="42" t="n"/>
      <c r="I35" s="41" t="n"/>
    </row>
    <row r="36" ht="15" customHeight="1" s="24">
      <c r="A36" s="41" t="n"/>
      <c r="B36" s="41" t="n"/>
      <c r="C36" s="41" t="n"/>
      <c r="D36" s="41" t="n"/>
      <c r="E36" s="42" t="n"/>
      <c r="F36" s="41" t="n"/>
      <c r="G36" s="41" t="n"/>
      <c r="H36" s="42" t="n"/>
      <c r="I36" s="41" t="n"/>
    </row>
    <row r="37" ht="15" customHeight="1" s="24">
      <c r="A37" s="41" t="n"/>
      <c r="B37" s="41" t="n"/>
      <c r="C37" s="41" t="n"/>
      <c r="D37" s="41" t="n"/>
      <c r="E37" s="42" t="n"/>
      <c r="F37" s="41" t="n"/>
      <c r="G37" s="41" t="n"/>
      <c r="H37" s="42" t="n"/>
      <c r="I37" s="41" t="n"/>
    </row>
    <row r="38" ht="15" customHeight="1" s="24">
      <c r="A38" s="41" t="n"/>
      <c r="B38" s="41" t="n"/>
      <c r="C38" s="41" t="n"/>
      <c r="D38" s="41" t="n"/>
      <c r="E38" s="42" t="n"/>
      <c r="F38" s="41" t="n"/>
      <c r="G38" s="41" t="n"/>
      <c r="H38" s="42" t="n"/>
      <c r="I38" s="41" t="n"/>
    </row>
    <row r="39" ht="15" customHeight="1" s="24">
      <c r="A39" s="41" t="n"/>
      <c r="B39" s="41" t="n"/>
      <c r="C39" s="41" t="n"/>
      <c r="D39" s="41" t="n"/>
      <c r="E39" s="42" t="n"/>
      <c r="F39" s="41" t="n"/>
      <c r="G39" s="41" t="n"/>
      <c r="H39" s="42" t="n"/>
      <c r="I39" s="41" t="n"/>
    </row>
    <row r="40" ht="15" customHeight="1" s="24">
      <c r="A40" s="41" t="n"/>
      <c r="B40" s="41" t="n"/>
      <c r="C40" s="41" t="n"/>
      <c r="D40" s="41" t="n"/>
      <c r="E40" s="42" t="n"/>
      <c r="F40" s="41" t="n"/>
      <c r="G40" s="41" t="n"/>
      <c r="H40" s="42" t="n"/>
      <c r="I40" s="41" t="n"/>
    </row>
    <row r="41" ht="15" customHeight="1" s="24">
      <c r="A41" s="41" t="n"/>
      <c r="B41" s="41" t="n"/>
      <c r="C41" s="41" t="n"/>
      <c r="D41" s="41" t="n"/>
      <c r="E41" s="42" t="n"/>
      <c r="F41" s="41" t="n"/>
      <c r="G41" s="41" t="n"/>
      <c r="H41" s="42" t="n"/>
      <c r="I41" s="41" t="n"/>
    </row>
    <row r="42" ht="15" customHeight="1" s="24">
      <c r="A42" s="41" t="n"/>
      <c r="B42" s="41" t="n"/>
      <c r="C42" s="41" t="n"/>
      <c r="D42" s="41" t="n"/>
      <c r="E42" s="42" t="n"/>
      <c r="F42" s="41" t="n"/>
      <c r="G42" s="41" t="n"/>
      <c r="H42" s="42" t="n"/>
      <c r="I42" s="41" t="n"/>
    </row>
    <row r="43" ht="15" customHeight="1" s="24">
      <c r="A43" s="41" t="n"/>
      <c r="B43" s="41" t="n"/>
      <c r="C43" s="41" t="n"/>
      <c r="D43" s="41" t="n"/>
      <c r="E43" s="42" t="n"/>
      <c r="F43" s="41" t="n"/>
      <c r="G43" s="41" t="n"/>
      <c r="H43" s="42" t="n"/>
      <c r="I43" s="41" t="n"/>
    </row>
    <row r="44" ht="15" customHeight="1" s="24">
      <c r="A44" s="41" t="n"/>
      <c r="B44" s="41" t="n"/>
      <c r="C44" s="41" t="n"/>
      <c r="D44" s="41" t="n"/>
      <c r="E44" s="42" t="n"/>
      <c r="F44" s="41" t="n"/>
      <c r="G44" s="41" t="n"/>
      <c r="H44" s="42" t="n"/>
      <c r="I44" s="41" t="n"/>
    </row>
    <row r="45" ht="15" customHeight="1" s="24">
      <c r="A45" s="41" t="n"/>
      <c r="B45" s="41" t="n"/>
      <c r="C45" s="41" t="n"/>
      <c r="D45" s="41" t="n"/>
      <c r="E45" s="42" t="n"/>
      <c r="F45" s="41" t="n"/>
      <c r="G45" s="41" t="n"/>
      <c r="H45" s="42" t="n"/>
      <c r="I45" s="41" t="n"/>
    </row>
  </sheetData>
  <autoFilter ref="A4:I45"/>
  <dataValidations count="2">
    <dataValidation sqref="D5:D45" showDropDown="0" showInputMessage="0" showErrorMessage="0" allowBlank="1" type="list" errorStyle="stop" operator="between">
      <formula1>Daftar!$C$2:$C$5</formula1>
      <formula2>0</formula2>
    </dataValidation>
    <dataValidation sqref="G5:G45" showDropDown="0" showInputMessage="0" showErrorMessage="0" allowBlank="1" type="list" errorStyle="stop" operator="between">
      <formula1>Daftar!$D$2:$D$5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3" min="1" max="1"/>
    <col width="34" customWidth="1" style="23" min="2" max="2"/>
    <col width="24" customWidth="1" style="23" min="3" max="3"/>
    <col width="14" customWidth="1" style="23" min="4" max="4"/>
  </cols>
  <sheetData>
    <row r="1" ht="16.15" customHeight="1" s="24">
      <c r="A1" s="37" t="inlineStr">
        <is>
          <t>Ringkasan hasil uji dan persetujuan UAT</t>
        </is>
      </c>
    </row>
    <row r="3" ht="15" customHeight="1" s="24">
      <c r="A3" s="27" t="inlineStr">
        <is>
          <t>Total kasus uji</t>
        </is>
      </c>
      <c r="B3" s="34">
        <f>COUNTA('Kasus Uji'!$A$5:$A$87)</f>
        <v/>
      </c>
    </row>
    <row r="4" ht="15" customHeight="1" s="24">
      <c r="A4" s="27" t="inlineStr">
        <is>
          <t>Lolos</t>
        </is>
      </c>
      <c r="B4" s="34">
        <f>COUNTIF('Kasus Uji'!$G$5:$G$87,"Lolos")</f>
        <v/>
      </c>
    </row>
    <row r="5" ht="15" customHeight="1" s="24">
      <c r="A5" s="27" t="inlineStr">
        <is>
          <t>Gagal</t>
        </is>
      </c>
      <c r="B5" s="34">
        <f>COUNTIF('Kasus Uji'!$G$5:$G$87,"Gagal")</f>
        <v/>
      </c>
    </row>
    <row r="6" ht="15" customHeight="1" s="24">
      <c r="A6" s="27" t="inlineStr">
        <is>
          <t>Diblokir</t>
        </is>
      </c>
      <c r="B6" s="34">
        <f>COUNTIF('Kasus Uji'!$G$5:$G$87,"Diblokir")</f>
        <v/>
      </c>
    </row>
    <row r="7" ht="15" customHeight="1" s="24">
      <c r="A7" s="27" t="inlineStr">
        <is>
          <t>Belum diuji</t>
        </is>
      </c>
      <c r="B7" s="34">
        <f>COUNTIF('Kasus Uji'!$G$5:$G$87,"Belum")</f>
        <v/>
      </c>
    </row>
    <row r="8" ht="15" customHeight="1" s="24">
      <c r="A8" s="27" t="inlineStr">
        <is>
          <t>Tingkat kelulusan</t>
        </is>
      </c>
      <c r="B8" s="43">
        <f>IF(B3=0,"",B4/B3)</f>
        <v/>
      </c>
    </row>
    <row r="9" ht="15" customHeight="1" s="24">
      <c r="A9" s="27" t="inlineStr">
        <is>
          <t>Defect Kritis atau Tinggi menahan UAT</t>
        </is>
      </c>
      <c r="B9" s="34">
        <f>COUNTIFS(Defect!$D$5:$D$45,"Kritis",Defect!$G$5:$G$45,"Terbuka")+COUNTIFS(Defect!$D$5:$D$45,"Tinggi",Defect!$G$5:$G$45,"Terbuka")+COUNTIFS(Defect!$D$5:$D$45,"Kritis",Defect!$G$5:$G$45,"Diperbaiki")+COUNTIFS(Defect!$D$5:$D$45,"Tinggi",Defect!$G$5:$G$45,"Diperbaiki")</f>
        <v/>
      </c>
    </row>
    <row r="10" ht="15" customHeight="1" s="24">
      <c r="A10" s="27" t="inlineStr">
        <is>
          <t>Rekomendasi otomatis</t>
        </is>
      </c>
      <c r="B10" s="34">
        <f>IF(B3=0,"",IF(AND(B9=0,B7=0,B5=0),"SIAP UAT DITANDATANGANI","BELUM SIAP"))</f>
        <v/>
      </c>
    </row>
    <row r="12" ht="15" customHeight="1" s="24">
      <c r="A12" s="29" t="inlineStr">
        <is>
          <t>Keputusan UAT</t>
        </is>
      </c>
    </row>
    <row r="13" ht="15" customHeight="1" s="24">
      <c r="A13" s="30" t="inlineStr">
        <is>
          <t>[ ] Diterima   [ ] Diterima dengan catatan (isu sisa di Defect)   [ ] Ditolak</t>
        </is>
      </c>
    </row>
    <row r="15" ht="15" customHeight="1" s="24">
      <c r="A15" s="35" t="inlineStr">
        <is>
          <t>Peran</t>
        </is>
      </c>
      <c r="B15" s="35" t="inlineStr">
        <is>
          <t>Nama dan jabatan</t>
        </is>
      </c>
      <c r="C15" s="35" t="inlineStr">
        <is>
          <t>Tanda tangan</t>
        </is>
      </c>
      <c r="D15" s="35" t="inlineStr">
        <is>
          <t>Tanggal</t>
        </is>
      </c>
    </row>
    <row r="16" ht="30" customHeight="1" s="24">
      <c r="A16" s="36" t="inlineStr">
        <is>
          <t>Penguji SINUX (Project Manager)</t>
        </is>
      </c>
      <c r="B16" s="44" t="n"/>
      <c r="C16" s="44" t="n"/>
      <c r="D16" s="44" t="n"/>
    </row>
    <row r="17" ht="30" customHeight="1" s="24">
      <c r="A17" s="36" t="inlineStr">
        <is>
          <t>Perwakilan pelanggan</t>
        </is>
      </c>
      <c r="B17" s="44" t="n"/>
      <c r="C17" s="44" t="n"/>
      <c r="D17" s="44" t="n"/>
    </row>
    <row r="18" ht="30" customHeight="1" s="24">
      <c r="A18" s="36" t="inlineStr">
        <is>
          <t>Service Delivery Manager</t>
        </is>
      </c>
      <c r="B18" s="44" t="n"/>
      <c r="C18" s="44" t="n"/>
      <c r="D18" s="44" t="n"/>
    </row>
  </sheetData>
  <conditionalFormatting sqref="B10">
    <cfRule type="cellIs" rank="0" priority="2" equalAverage="0" operator="equal" aboveAverage="0" dxfId="7" text="" percent="0" bottom="0">
      <formula>"SIAP UAT DITANDATANGANI"</formula>
    </cfRule>
    <cfRule type="cellIs" rank="0" priority="3" equalAverage="0" operator="equal" aboveAverage="0" dxfId="8" text="" percent="0" bottom="0">
      <formula>"BELUM SIAP"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2026-10-14T22:02:06Z</dcterms:modified>
  <cp:revision>0</cp:revision>
</cp:coreProperties>
</file>