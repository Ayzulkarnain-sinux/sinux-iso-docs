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Jadwal PM" sheetId="4" state="visible" r:id="rId4"/>
    <sheet xmlns:r="http://schemas.openxmlformats.org/officeDocument/2006/relationships" name="Service Report" sheetId="5" state="visible" r:id="rId5"/>
  </sheets>
  <definedNames>
    <definedName name="_xlnm._FilterDatabase" localSheetId="4" hidden="1">'Service Report'!$A$4:$P$155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dd\-mmm\-yyyy"/>
    <numFmt numFmtId="166" formatCode="dd\-mmm\-yyyy\ hh:mm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top" wrapText="1"/>
    </xf>
    <xf numFmtId="9" fontId="0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166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166" fontId="7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top" wrapText="1"/>
    </xf>
    <xf numFmtId="9" fontId="0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166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2" min="1" max="1"/>
    <col width="70" customWidth="1" style="32" min="2" max="2"/>
    <col width="30" customWidth="1" style="32" min="3" max="3"/>
    <col width="22" customWidth="1" style="32" min="4" max="4"/>
    <col width="14" customWidth="1" style="32" min="5" max="5"/>
  </cols>
  <sheetData>
    <row r="1" ht="18.55" customHeight="1" s="33">
      <c r="A1" s="34" t="inlineStr">
        <is>
          <t>Maintenance Schedule &amp; Service Report</t>
        </is>
      </c>
    </row>
    <row r="2" ht="15" customHeight="1" s="33">
      <c r="A2" s="35" t="inlineStr">
        <is>
          <t>PT Strategi Integrasi Nusantara (SINUX) · Divisi Operation</t>
        </is>
      </c>
    </row>
    <row r="4" ht="15" customHeight="1" s="33">
      <c r="A4" s="36" t="inlineStr">
        <is>
          <t>Nomor dokumen</t>
        </is>
      </c>
      <c r="B4" s="37" t="inlineStr">
        <is>
          <t>SNX-OPS-FRM-07</t>
        </is>
      </c>
    </row>
    <row r="5" ht="15" customHeight="1" s="33">
      <c r="A5" s="36" t="inlineStr">
        <is>
          <t>Judul</t>
        </is>
      </c>
      <c r="B5" s="37" t="inlineStr">
        <is>
          <t>Maintenance Schedule &amp; Service Report</t>
        </is>
      </c>
    </row>
    <row r="6" ht="15" customHeight="1" s="33">
      <c r="A6" s="36" t="inlineStr">
        <is>
          <t>Revisi</t>
        </is>
      </c>
      <c r="B6" s="37" t="inlineStr">
        <is>
          <t>00 (Draft)</t>
        </is>
      </c>
    </row>
    <row r="7" ht="15" customHeight="1" s="33">
      <c r="A7" s="36" t="inlineStr">
        <is>
          <t>Tanggal draft</t>
        </is>
      </c>
      <c r="B7" s="37" t="inlineStr">
        <is>
          <t>13 Oktober 2026</t>
        </is>
      </c>
    </row>
    <row r="8" ht="15" customHeight="1" s="33">
      <c r="A8" s="36" t="inlineStr">
        <is>
          <t>Tanggal efektif</t>
        </is>
      </c>
      <c r="B8" s="37" t="inlineStr">
        <is>
          <t>Ditetapkan saat pengesahan</t>
        </is>
      </c>
    </row>
    <row r="9" ht="15" customHeight="1" s="33">
      <c r="A9" s="36" t="inlineStr">
        <is>
          <t>Klasifikasi</t>
        </is>
      </c>
      <c r="B9" s="37" t="inlineStr">
        <is>
          <t>RESTRICTED (Internal)</t>
        </is>
      </c>
    </row>
    <row r="10" ht="15" customHeight="1" s="33">
      <c r="A10" s="36" t="inlineStr">
        <is>
          <t>Pemilik dokumen</t>
        </is>
      </c>
      <c r="B10" s="37" t="inlineStr">
        <is>
          <t>Lead NOC</t>
        </is>
      </c>
    </row>
    <row r="11" ht="15" customHeight="1" s="33">
      <c r="A11" s="36" t="inlineStr">
        <is>
          <t>Disetujui oleh</t>
        </is>
      </c>
      <c r="B11" s="37" t="inlineStr">
        <is>
          <t>Samuel Kristanto Utomo / President Director</t>
        </is>
      </c>
    </row>
    <row r="12" ht="15" customHeight="1" s="33">
      <c r="A12" s="36" t="inlineStr">
        <is>
          <t>Acuan ISO 9001:2015</t>
        </is>
      </c>
      <c r="B12" s="37" t="inlineStr">
        <is>
          <t>Klausul 7.1.3, 8.5.1</t>
        </is>
      </c>
    </row>
    <row r="13" ht="15" customHeight="1" s="33">
      <c r="A13" s="36" t="inlineStr">
        <is>
          <t>Acuan ISO/IEC 27001:2022</t>
        </is>
      </c>
      <c r="B13" s="37" t="inlineStr">
        <is>
          <t>Kontrol Annex A 7.13</t>
        </is>
      </c>
    </row>
    <row r="14" ht="15" customHeight="1" s="33">
      <c r="A14" s="36" t="inlineStr">
        <is>
          <t>Masa simpan record</t>
        </is>
      </c>
      <c r="B14" s="37" t="inlineStr">
        <is>
          <t>3 tahun</t>
        </is>
      </c>
    </row>
    <row r="15" ht="23.85" customHeight="1" s="33">
      <c r="A15" s="36" t="inlineStr">
        <is>
          <t>Tujuan</t>
        </is>
      </c>
      <c r="B15" s="37" t="inlineStr">
        <is>
          <t>Jadwal preventive maintenance tahunan dan service report untuk preventive maupun corrective maintenance sesuai SNX-OPS-SOP-03.</t>
        </is>
      </c>
    </row>
    <row r="17" ht="15" customHeight="1" s="33">
      <c r="A17" s="38" t="inlineStr">
        <is>
          <t>Cara pakai</t>
        </is>
      </c>
    </row>
    <row r="18" ht="15" customHeight="1" s="33">
      <c r="A18" s="39" t="inlineStr">
        <is>
          <t>1.</t>
        </is>
      </c>
      <c r="B18" s="40" t="inlineStr">
        <is>
          <t>Isi tahun di sheet Jadwal PM sel B3.</t>
        </is>
      </c>
    </row>
    <row r="19" ht="23.85" customHeight="1" s="33">
      <c r="A19" s="39" t="inlineStr">
        <is>
          <t>2.</t>
        </is>
      </c>
      <c r="B19" s="40" t="inlineStr">
        <is>
          <t>Per aktivitas, isi bulan dengan kode: R = rencana, S = selesai, T = tertunda. Kepatuhan dihitung otomatis (S dibagi R+S+T).</t>
        </is>
      </c>
    </row>
    <row r="20" ht="23.85" customHeight="1" s="33">
      <c r="A20" s="39" t="inlineStr">
        <is>
          <t>3.</t>
        </is>
      </c>
      <c r="B20" s="40" t="inlineStr">
        <is>
          <t>Setiap pelaksanaan PM atau CM yang mengubah sistem dicatat di Service Report beserta nomor tiket Zammad atau CR.</t>
        </is>
      </c>
    </row>
    <row r="21" ht="15" customHeight="1" s="33">
      <c r="A21" s="39" t="inlineStr">
        <is>
          <t>4.</t>
        </is>
      </c>
      <c r="B21" s="40" t="inlineStr">
        <is>
          <t>Lead NOC meninjau kepatuhan bulanan dan menandatangani kolom verifikasi.</t>
        </is>
      </c>
    </row>
    <row r="23" ht="15" customHeight="1" s="33">
      <c r="A23" s="38" t="inlineStr">
        <is>
          <t>Legenda warna</t>
        </is>
      </c>
    </row>
    <row r="24" ht="15" customHeight="1" s="33">
      <c r="A24" s="41" t="n"/>
      <c r="B24" s="39" t="inlineStr">
        <is>
          <t>Sel input: diisi pengguna</t>
        </is>
      </c>
    </row>
    <row r="25" ht="15" customHeight="1" s="33">
      <c r="A25" s="42" t="n"/>
      <c r="B25" s="39" t="inlineStr">
        <is>
          <t>Biru muda: warna baris contoh, sudah dikosongkan dan tidak dipakai</t>
        </is>
      </c>
    </row>
    <row r="26" ht="15" customHeight="1" s="33">
      <c r="A26" s="43" t="n"/>
      <c r="B26" s="39" t="inlineStr">
        <is>
          <t>Sel rumus: jangan diubah</t>
        </is>
      </c>
    </row>
    <row r="28" ht="15" customHeight="1" s="33">
      <c r="A28" s="38" t="inlineStr">
        <is>
          <t>Riwayat revisi</t>
        </is>
      </c>
    </row>
    <row r="29" ht="15" customHeight="1" s="33">
      <c r="A29" s="44" t="inlineStr">
        <is>
          <t>Revisi</t>
        </is>
      </c>
      <c r="B29" s="44" t="inlineStr">
        <is>
          <t>Tanggal</t>
        </is>
      </c>
      <c r="C29" s="44" t="inlineStr">
        <is>
          <t>Uraian perubahan</t>
        </is>
      </c>
      <c r="D29" s="44" t="inlineStr">
        <is>
          <t>Disusun</t>
        </is>
      </c>
      <c r="E29" s="44" t="inlineStr">
        <is>
          <t>Disetujui</t>
        </is>
      </c>
    </row>
    <row r="30" ht="23.85" customHeight="1" s="33">
      <c r="A30" s="37" t="inlineStr">
        <is>
          <t>00</t>
        </is>
      </c>
      <c r="B30" s="37" t="inlineStr">
        <is>
          <t>13 Oktober 2026</t>
        </is>
      </c>
      <c r="C30" s="37" t="inlineStr">
        <is>
          <t>Draft awal untuk review dan pengesahan</t>
        </is>
      </c>
      <c r="D30" s="37" t="inlineStr">
        <is>
          <t>Divisi Operation</t>
        </is>
      </c>
      <c r="E30" s="37" t="inlineStr">
        <is>
          <t>Menunggu</t>
        </is>
      </c>
    </row>
    <row r="31" ht="57.45" customHeight="1" s="33">
      <c r="A31" s="37" t="n"/>
      <c r="B31" s="37" t="n"/>
      <c r="C31" s="37" t="n"/>
      <c r="D31" s="37" t="n"/>
      <c r="E31" s="37" t="n"/>
    </row>
    <row r="33" ht="15" customHeight="1" s="33">
      <c r="A33" s="38" t="inlineStr">
        <is>
          <t>Pengesahan</t>
        </is>
      </c>
    </row>
    <row r="34" ht="15" customHeight="1" s="33">
      <c r="A34" s="44" t="inlineStr">
        <is>
          <t>Peran</t>
        </is>
      </c>
      <c r="B34" s="44" t="inlineStr">
        <is>
          <t>Nama dan jabatan</t>
        </is>
      </c>
      <c r="C34" s="44" t="inlineStr">
        <is>
          <t>Tanda tangan</t>
        </is>
      </c>
      <c r="D34" s="44" t="inlineStr">
        <is>
          <t>Tanggal</t>
        </is>
      </c>
    </row>
    <row r="35" ht="27.75" customHeight="1" s="33">
      <c r="A35" s="45" t="inlineStr">
        <is>
          <t>Disusun oleh</t>
        </is>
      </c>
      <c r="B35" s="45" t="inlineStr">
        <is>
          <t>Erik Dwi Yanto / Technical/Operation Engineer L1</t>
        </is>
      </c>
      <c r="C35" s="45" t="n"/>
      <c r="D35" s="45" t="n"/>
    </row>
    <row r="36" ht="27.75" customHeight="1" s="33">
      <c r="A36" s="45" t="inlineStr">
        <is>
          <t>Diperiksa oleh</t>
        </is>
      </c>
      <c r="B36" s="45" t="inlineStr">
        <is>
          <t>Fani Fatullah / VP Tech Operation and Services</t>
        </is>
      </c>
      <c r="C36" s="45" t="n"/>
      <c r="D36" s="45" t="n"/>
    </row>
    <row r="37" ht="27.75" customHeight="1" s="33">
      <c r="A37" s="45" t="inlineStr">
        <is>
          <t>Disetujui oleh</t>
        </is>
      </c>
      <c r="B37" s="45" t="inlineStr">
        <is>
          <t>Samuel Kristanto Utomo / President Director</t>
        </is>
      </c>
      <c r="C37" s="45" t="n"/>
      <c r="D37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33">
      <c r="A1" s="46" t="inlineStr">
        <is>
          <t>Diagram alur proses</t>
        </is>
      </c>
    </row>
    <row r="2" ht="15" customHeight="1" s="33">
      <c r="A2" s="35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2" min="1" max="3"/>
  </cols>
  <sheetData>
    <row r="1" ht="15" customHeight="1" s="33">
      <c r="A1" s="47" t="inlineStr">
        <is>
          <t>Kode bulan</t>
        </is>
      </c>
      <c r="B1" s="47" t="inlineStr">
        <is>
          <t>Jenis</t>
        </is>
      </c>
      <c r="C1" s="47" t="inlineStr">
        <is>
          <t>Status SR</t>
        </is>
      </c>
    </row>
    <row r="2" ht="15" customHeight="1" s="33">
      <c r="A2" s="39" t="inlineStr">
        <is>
          <t>R</t>
        </is>
      </c>
      <c r="B2" s="39" t="inlineStr">
        <is>
          <t>PM</t>
        </is>
      </c>
      <c r="C2" s="39" t="inlineStr">
        <is>
          <t>Selesai</t>
        </is>
      </c>
    </row>
    <row r="3" ht="15" customHeight="1" s="33">
      <c r="A3" s="39" t="inlineStr">
        <is>
          <t>S</t>
        </is>
      </c>
      <c r="B3" s="39" t="inlineStr">
        <is>
          <t>CM</t>
        </is>
      </c>
      <c r="C3" s="39" t="inlineStr">
        <is>
          <t>Tindak lanjut</t>
        </is>
      </c>
    </row>
    <row r="4" ht="15" customHeight="1" s="33">
      <c r="A4" s="39" t="inlineStr">
        <is>
          <t>T</t>
        </is>
      </c>
      <c r="C4" s="39" t="inlineStr">
        <is>
          <t>Eskalasi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2" min="1" max="1"/>
    <col width="28" customWidth="1" style="32" min="2" max="2"/>
    <col width="34" customWidth="1" style="32" min="3" max="3"/>
    <col width="14" customWidth="1" style="32" min="4" max="4"/>
    <col width="15" customWidth="1" style="32" min="5" max="5"/>
    <col width="5" customWidth="1" style="32" min="6" max="17"/>
    <col width="10" customWidth="1" style="32" min="18" max="20"/>
  </cols>
  <sheetData>
    <row r="1" ht="16.15" customHeight="1" s="33">
      <c r="A1" s="46" t="inlineStr">
        <is>
          <t>Jadwal preventive maintenance</t>
        </is>
      </c>
    </row>
    <row r="2" ht="15" customHeight="1" s="33">
      <c r="A2" s="48" t="inlineStr">
        <is>
          <t>R = rencana, S = selesai, T = tertunda. Aktivitas harian dan mingguan dicatat per bulan sebagai satu siklus terpenuhi.</t>
        </is>
      </c>
    </row>
    <row r="3" ht="15" customHeight="1" s="33">
      <c r="A3" s="32" t="inlineStr">
        <is>
          <t>Tahun</t>
        </is>
      </c>
      <c r="B3" s="49" t="n">
        <v>2027</v>
      </c>
    </row>
    <row r="5" ht="15" customHeight="1" s="33">
      <c r="A5" s="50" t="inlineStr">
        <is>
          <t>No</t>
        </is>
      </c>
      <c r="B5" s="50" t="inlineStr">
        <is>
          <t>Aset atau layanan</t>
        </is>
      </c>
      <c r="C5" s="50" t="inlineStr">
        <is>
          <t>Aktivitas</t>
        </is>
      </c>
      <c r="D5" s="50" t="inlineStr">
        <is>
          <t>Frekuensi</t>
        </is>
      </c>
      <c r="E5" s="50" t="inlineStr">
        <is>
          <t>PIC</t>
        </is>
      </c>
      <c r="F5" s="50" t="inlineStr">
        <is>
          <t>Jan</t>
        </is>
      </c>
      <c r="G5" s="50" t="inlineStr">
        <is>
          <t>Feb</t>
        </is>
      </c>
      <c r="H5" s="50" t="inlineStr">
        <is>
          <t>Mar</t>
        </is>
      </c>
      <c r="I5" s="50" t="inlineStr">
        <is>
          <t>Apr</t>
        </is>
      </c>
      <c r="J5" s="50" t="inlineStr">
        <is>
          <t>Mei</t>
        </is>
      </c>
      <c r="K5" s="50" t="inlineStr">
        <is>
          <t>Jun</t>
        </is>
      </c>
      <c r="L5" s="50" t="inlineStr">
        <is>
          <t>Jul</t>
        </is>
      </c>
      <c r="M5" s="50" t="inlineStr">
        <is>
          <t>Agu</t>
        </is>
      </c>
      <c r="N5" s="50" t="inlineStr">
        <is>
          <t>Sep</t>
        </is>
      </c>
      <c r="O5" s="50" t="inlineStr">
        <is>
          <t>Okt</t>
        </is>
      </c>
      <c r="P5" s="50" t="inlineStr">
        <is>
          <t>Nov</t>
        </is>
      </c>
      <c r="Q5" s="50" t="inlineStr">
        <is>
          <t>Des</t>
        </is>
      </c>
      <c r="R5" s="50" t="inlineStr">
        <is>
          <t>Rencana</t>
        </is>
      </c>
      <c r="S5" s="50" t="inlineStr">
        <is>
          <t>Selesai</t>
        </is>
      </c>
      <c r="T5" s="50" t="inlineStr">
        <is>
          <t>Kepatuhan</t>
        </is>
      </c>
    </row>
    <row r="6" ht="15" customHeight="1" s="33">
      <c r="A6" s="51" t="n">
        <v>1</v>
      </c>
      <c r="B6" s="52" t="inlineStr">
        <is>
          <t>Semua layanan kritis</t>
        </is>
      </c>
      <c r="C6" s="52" t="inlineStr">
        <is>
          <t>Health check layanan kritis</t>
        </is>
      </c>
      <c r="D6" s="52" t="inlineStr">
        <is>
          <t>Tiap awal shift</t>
        </is>
      </c>
      <c r="E6" s="52" t="inlineStr">
        <is>
          <t>NOC Engineer</t>
        </is>
      </c>
      <c r="F6" s="53" t="inlineStr">
        <is>
          <t>R</t>
        </is>
      </c>
      <c r="G6" s="53" t="inlineStr">
        <is>
          <t>R</t>
        </is>
      </c>
      <c r="H6" s="53" t="inlineStr">
        <is>
          <t>R</t>
        </is>
      </c>
      <c r="I6" s="53" t="inlineStr">
        <is>
          <t>R</t>
        </is>
      </c>
      <c r="J6" s="53" t="inlineStr">
        <is>
          <t>R</t>
        </is>
      </c>
      <c r="K6" s="53" t="inlineStr">
        <is>
          <t>R</t>
        </is>
      </c>
      <c r="L6" s="53" t="inlineStr">
        <is>
          <t>R</t>
        </is>
      </c>
      <c r="M6" s="53" t="inlineStr">
        <is>
          <t>R</t>
        </is>
      </c>
      <c r="N6" s="53" t="inlineStr">
        <is>
          <t>R</t>
        </is>
      </c>
      <c r="O6" s="53" t="inlineStr">
        <is>
          <t>R</t>
        </is>
      </c>
      <c r="P6" s="53" t="inlineStr">
        <is>
          <t>R</t>
        </is>
      </c>
      <c r="Q6" s="53" t="inlineStr">
        <is>
          <t>R</t>
        </is>
      </c>
      <c r="R6" s="43">
        <f>COUNTIF(F6:Q6,"R")+COUNTIF(F6:Q6,"S")+COUNTIF(F6:Q6,"T")</f>
        <v/>
      </c>
      <c r="S6" s="43">
        <f>COUNTIF(F6:Q6,"S")</f>
        <v/>
      </c>
      <c r="T6" s="54">
        <f>IF(R6=0,"",S6/R6)</f>
        <v/>
      </c>
    </row>
    <row r="7" ht="15" customHeight="1" s="33">
      <c r="A7" s="51" t="n">
        <v>2</v>
      </c>
      <c r="B7" s="52" t="inlineStr">
        <is>
          <t>Acronis, semua pelanggan backup</t>
        </is>
      </c>
      <c r="C7" s="52" t="inlineStr">
        <is>
          <t>Pemeriksaan status backup job</t>
        </is>
      </c>
      <c r="D7" s="52" t="inlineStr">
        <is>
          <t>Tiap shift malam</t>
        </is>
      </c>
      <c r="E7" s="52" t="inlineStr">
        <is>
          <t>NOC Engineer</t>
        </is>
      </c>
      <c r="F7" s="53" t="inlineStr">
        <is>
          <t>R</t>
        </is>
      </c>
      <c r="G7" s="53" t="inlineStr">
        <is>
          <t>R</t>
        </is>
      </c>
      <c r="H7" s="53" t="inlineStr">
        <is>
          <t>R</t>
        </is>
      </c>
      <c r="I7" s="53" t="inlineStr">
        <is>
          <t>R</t>
        </is>
      </c>
      <c r="J7" s="53" t="inlineStr">
        <is>
          <t>R</t>
        </is>
      </c>
      <c r="K7" s="53" t="inlineStr">
        <is>
          <t>R</t>
        </is>
      </c>
      <c r="L7" s="53" t="inlineStr">
        <is>
          <t>R</t>
        </is>
      </c>
      <c r="M7" s="53" t="inlineStr">
        <is>
          <t>R</t>
        </is>
      </c>
      <c r="N7" s="53" t="inlineStr">
        <is>
          <t>R</t>
        </is>
      </c>
      <c r="O7" s="53" t="inlineStr">
        <is>
          <t>R</t>
        </is>
      </c>
      <c r="P7" s="53" t="inlineStr">
        <is>
          <t>R</t>
        </is>
      </c>
      <c r="Q7" s="53" t="inlineStr">
        <is>
          <t>R</t>
        </is>
      </c>
      <c r="R7" s="43">
        <f>COUNTIF(F7:Q7,"R")+COUNTIF(F7:Q7,"S")+COUNTIF(F7:Q7,"T")</f>
        <v/>
      </c>
      <c r="S7" s="43">
        <f>COUNTIF(F7:Q7,"S")</f>
        <v/>
      </c>
      <c r="T7" s="54">
        <f>IF(R7=0,"",S7/R7)</f>
        <v/>
      </c>
    </row>
    <row r="8" ht="15" customHeight="1" s="33">
      <c r="A8" s="51" t="n">
        <v>3</v>
      </c>
      <c r="B8" s="52" t="inlineStr">
        <is>
          <t>VM dan server dikelola</t>
        </is>
      </c>
      <c r="C8" s="52" t="inlineStr">
        <is>
          <t>Kapasitas disk, CPU, memori, tren</t>
        </is>
      </c>
      <c r="D8" s="52" t="inlineStr">
        <is>
          <t>Mingguan</t>
        </is>
      </c>
      <c r="E8" s="52" t="inlineStr">
        <is>
          <t>NOC Engineer</t>
        </is>
      </c>
      <c r="F8" s="53" t="inlineStr">
        <is>
          <t>R</t>
        </is>
      </c>
      <c r="G8" s="53" t="inlineStr">
        <is>
          <t>R</t>
        </is>
      </c>
      <c r="H8" s="53" t="inlineStr">
        <is>
          <t>R</t>
        </is>
      </c>
      <c r="I8" s="53" t="inlineStr">
        <is>
          <t>R</t>
        </is>
      </c>
      <c r="J8" s="53" t="inlineStr">
        <is>
          <t>R</t>
        </is>
      </c>
      <c r="K8" s="53" t="inlineStr">
        <is>
          <t>R</t>
        </is>
      </c>
      <c r="L8" s="53" t="inlineStr">
        <is>
          <t>R</t>
        </is>
      </c>
      <c r="M8" s="53" t="inlineStr">
        <is>
          <t>R</t>
        </is>
      </c>
      <c r="N8" s="53" t="inlineStr">
        <is>
          <t>R</t>
        </is>
      </c>
      <c r="O8" s="53" t="inlineStr">
        <is>
          <t>R</t>
        </is>
      </c>
      <c r="P8" s="53" t="inlineStr">
        <is>
          <t>R</t>
        </is>
      </c>
      <c r="Q8" s="53" t="inlineStr">
        <is>
          <t>R</t>
        </is>
      </c>
      <c r="R8" s="43">
        <f>COUNTIF(F8:Q8,"R")+COUNTIF(F8:Q8,"S")+COUNTIF(F8:Q8,"T")</f>
        <v/>
      </c>
      <c r="S8" s="43">
        <f>COUNTIF(F8:Q8,"S")</f>
        <v/>
      </c>
      <c r="T8" s="54">
        <f>IF(R8=0,"",S8/R8)</f>
        <v/>
      </c>
    </row>
    <row r="9" ht="15" customHeight="1" s="33">
      <c r="A9" s="51" t="n">
        <v>4</v>
      </c>
      <c r="B9" s="52" t="inlineStr">
        <is>
          <t>Sertifikat SSL dikelola</t>
        </is>
      </c>
      <c r="C9" s="52" t="inlineStr">
        <is>
          <t>Masa berlaku 30 hari ke depan</t>
        </is>
      </c>
      <c r="D9" s="52" t="inlineStr">
        <is>
          <t>Mingguan</t>
        </is>
      </c>
      <c r="E9" s="52" t="inlineStr">
        <is>
          <t>NOC Engineer</t>
        </is>
      </c>
      <c r="F9" s="53" t="inlineStr">
        <is>
          <t>R</t>
        </is>
      </c>
      <c r="G9" s="53" t="inlineStr">
        <is>
          <t>R</t>
        </is>
      </c>
      <c r="H9" s="53" t="inlineStr">
        <is>
          <t>R</t>
        </is>
      </c>
      <c r="I9" s="53" t="inlineStr">
        <is>
          <t>R</t>
        </is>
      </c>
      <c r="J9" s="53" t="inlineStr">
        <is>
          <t>R</t>
        </is>
      </c>
      <c r="K9" s="53" t="inlineStr">
        <is>
          <t>R</t>
        </is>
      </c>
      <c r="L9" s="53" t="inlineStr">
        <is>
          <t>R</t>
        </is>
      </c>
      <c r="M9" s="53" t="inlineStr">
        <is>
          <t>R</t>
        </is>
      </c>
      <c r="N9" s="53" t="inlineStr">
        <is>
          <t>R</t>
        </is>
      </c>
      <c r="O9" s="53" t="inlineStr">
        <is>
          <t>R</t>
        </is>
      </c>
      <c r="P9" s="53" t="inlineStr">
        <is>
          <t>R</t>
        </is>
      </c>
      <c r="Q9" s="53" t="inlineStr">
        <is>
          <t>R</t>
        </is>
      </c>
      <c r="R9" s="43">
        <f>COUNTIF(F9:Q9,"R")+COUNTIF(F9:Q9,"S")+COUNTIF(F9:Q9,"T")</f>
        <v/>
      </c>
      <c r="S9" s="43">
        <f>COUNTIF(F9:Q9,"S")</f>
        <v/>
      </c>
      <c r="T9" s="54">
        <f>IF(R9=0,"",S9/R9)</f>
        <v/>
      </c>
    </row>
    <row r="10" ht="15" customHeight="1" s="33">
      <c r="A10" s="51" t="n">
        <v>5</v>
      </c>
      <c r="B10" s="52" t="inlineStr">
        <is>
          <t>Perangkat internal (Overseer)</t>
        </is>
      </c>
      <c r="C10" s="52" t="inlineStr">
        <is>
          <t>Pemeriksaan perangkat internal</t>
        </is>
      </c>
      <c r="D10" s="52" t="inlineStr">
        <is>
          <t>Mingguan</t>
        </is>
      </c>
      <c r="E10" s="52" t="inlineStr">
        <is>
          <t>NOC Engineer</t>
        </is>
      </c>
      <c r="F10" s="53" t="inlineStr">
        <is>
          <t>R</t>
        </is>
      </c>
      <c r="G10" s="53" t="inlineStr">
        <is>
          <t>R</t>
        </is>
      </c>
      <c r="H10" s="53" t="inlineStr">
        <is>
          <t>R</t>
        </is>
      </c>
      <c r="I10" s="53" t="inlineStr">
        <is>
          <t>R</t>
        </is>
      </c>
      <c r="J10" s="53" t="inlineStr">
        <is>
          <t>R</t>
        </is>
      </c>
      <c r="K10" s="53" t="inlineStr">
        <is>
          <t>R</t>
        </is>
      </c>
      <c r="L10" s="53" t="inlineStr">
        <is>
          <t>R</t>
        </is>
      </c>
      <c r="M10" s="53" t="inlineStr">
        <is>
          <t>R</t>
        </is>
      </c>
      <c r="N10" s="53" t="inlineStr">
        <is>
          <t>R</t>
        </is>
      </c>
      <c r="O10" s="53" t="inlineStr">
        <is>
          <t>R</t>
        </is>
      </c>
      <c r="P10" s="53" t="inlineStr">
        <is>
          <t>R</t>
        </is>
      </c>
      <c r="Q10" s="53" t="inlineStr">
        <is>
          <t>R</t>
        </is>
      </c>
      <c r="R10" s="43">
        <f>COUNTIF(F10:Q10,"R")+COUNTIF(F10:Q10,"S")+COUNTIF(F10:Q10,"T")</f>
        <v/>
      </c>
      <c r="S10" s="43">
        <f>COUNTIF(F10:Q10,"S")</f>
        <v/>
      </c>
      <c r="T10" s="54">
        <f>IF(R10=0,"",S10/R10)</f>
        <v/>
      </c>
    </row>
    <row r="11" ht="22.35" customHeight="1" s="33">
      <c r="A11" s="51" t="n">
        <v>6</v>
      </c>
      <c r="B11" s="52" t="inlineStr">
        <is>
          <t>Server dan OS dikelola</t>
        </is>
      </c>
      <c r="C11" s="52" t="inlineStr">
        <is>
          <t>Patch keamanan dan update OS (SNX-ISMS-SOP-05)</t>
        </is>
      </c>
      <c r="D11" s="52" t="inlineStr">
        <is>
          <t>Bulanan</t>
        </is>
      </c>
      <c r="E11" s="52" t="inlineStr">
        <is>
          <t>NOC Engineer</t>
        </is>
      </c>
      <c r="F11" s="53" t="inlineStr">
        <is>
          <t>R</t>
        </is>
      </c>
      <c r="G11" s="53" t="inlineStr">
        <is>
          <t>R</t>
        </is>
      </c>
      <c r="H11" s="53" t="inlineStr">
        <is>
          <t>R</t>
        </is>
      </c>
      <c r="I11" s="53" t="inlineStr">
        <is>
          <t>R</t>
        </is>
      </c>
      <c r="J11" s="53" t="inlineStr">
        <is>
          <t>R</t>
        </is>
      </c>
      <c r="K11" s="53" t="inlineStr">
        <is>
          <t>R</t>
        </is>
      </c>
      <c r="L11" s="53" t="inlineStr">
        <is>
          <t>R</t>
        </is>
      </c>
      <c r="M11" s="53" t="inlineStr">
        <is>
          <t>R</t>
        </is>
      </c>
      <c r="N11" s="53" t="inlineStr">
        <is>
          <t>R</t>
        </is>
      </c>
      <c r="O11" s="53" t="inlineStr">
        <is>
          <t>R</t>
        </is>
      </c>
      <c r="P11" s="53" t="inlineStr">
        <is>
          <t>R</t>
        </is>
      </c>
      <c r="Q11" s="53" t="inlineStr">
        <is>
          <t>R</t>
        </is>
      </c>
      <c r="R11" s="43">
        <f>COUNTIF(F11:Q11,"R")+COUNTIF(F11:Q11,"S")+COUNTIF(F11:Q11,"T")</f>
        <v/>
      </c>
      <c r="S11" s="43">
        <f>COUNTIF(F11:Q11,"S")</f>
        <v/>
      </c>
      <c r="T11" s="54">
        <f>IF(R11=0,"",S11/R11)</f>
        <v/>
      </c>
    </row>
    <row r="12" ht="15" customHeight="1" s="33">
      <c r="A12" s="51" t="n">
        <v>7</v>
      </c>
      <c r="B12" s="52" t="inlineStr">
        <is>
          <t>Pelanggan berlayanan backup</t>
        </is>
      </c>
      <c r="C12" s="52" t="inlineStr">
        <is>
          <t>Uji restore</t>
        </is>
      </c>
      <c r="D12" s="52" t="inlineStr">
        <is>
          <t>Bulanan</t>
        </is>
      </c>
      <c r="E12" s="52" t="inlineStr">
        <is>
          <t>NOC Engineer</t>
        </is>
      </c>
      <c r="F12" s="53" t="inlineStr">
        <is>
          <t>R</t>
        </is>
      </c>
      <c r="G12" s="53" t="inlineStr">
        <is>
          <t>R</t>
        </is>
      </c>
      <c r="H12" s="53" t="inlineStr">
        <is>
          <t>R</t>
        </is>
      </c>
      <c r="I12" s="53" t="inlineStr">
        <is>
          <t>R</t>
        </is>
      </c>
      <c r="J12" s="53" t="inlineStr">
        <is>
          <t>R</t>
        </is>
      </c>
      <c r="K12" s="53" t="inlineStr">
        <is>
          <t>R</t>
        </is>
      </c>
      <c r="L12" s="53" t="inlineStr">
        <is>
          <t>R</t>
        </is>
      </c>
      <c r="M12" s="53" t="inlineStr">
        <is>
          <t>R</t>
        </is>
      </c>
      <c r="N12" s="53" t="inlineStr">
        <is>
          <t>R</t>
        </is>
      </c>
      <c r="O12" s="53" t="inlineStr">
        <is>
          <t>R</t>
        </is>
      </c>
      <c r="P12" s="53" t="inlineStr">
        <is>
          <t>R</t>
        </is>
      </c>
      <c r="Q12" s="53" t="inlineStr">
        <is>
          <t>R</t>
        </is>
      </c>
      <c r="R12" s="43">
        <f>COUNTIF(F12:Q12,"R")+COUNTIF(F12:Q12,"S")+COUNTIF(F12:Q12,"T")</f>
        <v/>
      </c>
      <c r="S12" s="43">
        <f>COUNTIF(F12:Q12,"S")</f>
        <v/>
      </c>
      <c r="T12" s="54">
        <f>IF(R12=0,"",S12/R12)</f>
        <v/>
      </c>
    </row>
    <row r="13" ht="15" customHeight="1" s="33">
      <c r="A13" s="51" t="n">
        <v>8</v>
      </c>
      <c r="B13" s="52" t="inlineStr">
        <is>
          <t>Firewall, WAF, akun</t>
        </is>
      </c>
      <c r="C13" s="52" t="inlineStr">
        <is>
          <t>Review rule dan akun tidak terpakai</t>
        </is>
      </c>
      <c r="D13" s="52" t="inlineStr">
        <is>
          <t>Triwulanan</t>
        </is>
      </c>
      <c r="E13" s="52" t="inlineStr">
        <is>
          <t>Lead SOC</t>
        </is>
      </c>
      <c r="F13" s="53" t="n"/>
      <c r="G13" s="53" t="n"/>
      <c r="H13" s="53" t="inlineStr">
        <is>
          <t>R</t>
        </is>
      </c>
      <c r="I13" s="53" t="n"/>
      <c r="J13" s="53" t="n"/>
      <c r="K13" s="53" t="inlineStr">
        <is>
          <t>R</t>
        </is>
      </c>
      <c r="L13" s="53" t="n"/>
      <c r="M13" s="53" t="n"/>
      <c r="N13" s="53" t="inlineStr">
        <is>
          <t>R</t>
        </is>
      </c>
      <c r="O13" s="53" t="n"/>
      <c r="P13" s="53" t="n"/>
      <c r="Q13" s="53" t="inlineStr">
        <is>
          <t>R</t>
        </is>
      </c>
      <c r="R13" s="43">
        <f>COUNTIF(F13:Q13,"R")+COUNTIF(F13:Q13,"S")+COUNTIF(F13:Q13,"T")</f>
        <v/>
      </c>
      <c r="S13" s="43">
        <f>COUNTIF(F13:Q13,"S")</f>
        <v/>
      </c>
      <c r="T13" s="54">
        <f>IF(R13=0,"",S13/R13)</f>
        <v/>
      </c>
    </row>
    <row r="14" ht="15" customHeight="1" s="33">
      <c r="A14" s="51" t="n">
        <v>9</v>
      </c>
      <c r="B14" s="52" t="inlineStr">
        <is>
          <t>Layanan kritis</t>
        </is>
      </c>
      <c r="C14" s="52" t="inlineStr">
        <is>
          <t>Uji pemulihan SNX-ISMS-PLN-01</t>
        </is>
      </c>
      <c r="D14" s="52" t="inlineStr">
        <is>
          <t>Tahunan</t>
        </is>
      </c>
      <c r="E14" s="52" t="inlineStr">
        <is>
          <t>Head of Operation</t>
        </is>
      </c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inlineStr">
        <is>
          <t>R</t>
        </is>
      </c>
      <c r="Q14" s="53" t="n"/>
      <c r="R14" s="43">
        <f>COUNTIF(F14:Q14,"R")+COUNTIF(F14:Q14,"S")+COUNTIF(F14:Q14,"T")</f>
        <v/>
      </c>
      <c r="S14" s="43">
        <f>COUNTIF(F14:Q14,"S")</f>
        <v/>
      </c>
      <c r="T14" s="54">
        <f>IF(R14=0,"",S14/R14)</f>
        <v/>
      </c>
    </row>
    <row r="15" ht="15" customHeight="1" s="33">
      <c r="A15" s="51" t="n"/>
      <c r="B15" s="52" t="n"/>
      <c r="C15" s="52" t="n"/>
      <c r="D15" s="52" t="n"/>
      <c r="E15" s="52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43">
        <f>COUNTIF(F15:Q15,"R")+COUNTIF(F15:Q15,"S")+COUNTIF(F15:Q15,"T")</f>
        <v/>
      </c>
      <c r="S15" s="43">
        <f>COUNTIF(F15:Q15,"S")</f>
        <v/>
      </c>
      <c r="T15" s="54">
        <f>IF(R15=0,"",S15/R15)</f>
        <v/>
      </c>
    </row>
    <row r="16" ht="15" customHeight="1" s="33">
      <c r="A16" s="51" t="n"/>
      <c r="B16" s="52" t="n"/>
      <c r="C16" s="52" t="n"/>
      <c r="D16" s="52" t="n"/>
      <c r="E16" s="52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43">
        <f>COUNTIF(F16:Q16,"R")+COUNTIF(F16:Q16,"S")+COUNTIF(F16:Q16,"T")</f>
        <v/>
      </c>
      <c r="S16" s="43">
        <f>COUNTIF(F16:Q16,"S")</f>
        <v/>
      </c>
      <c r="T16" s="54">
        <f>IF(R16=0,"",S16/R16)</f>
        <v/>
      </c>
    </row>
    <row r="17" ht="15" customHeight="1" s="33">
      <c r="A17" s="51" t="n"/>
      <c r="B17" s="52" t="n"/>
      <c r="C17" s="52" t="n"/>
      <c r="D17" s="52" t="n"/>
      <c r="E17" s="52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43">
        <f>COUNTIF(F17:Q17,"R")+COUNTIF(F17:Q17,"S")+COUNTIF(F17:Q17,"T")</f>
        <v/>
      </c>
      <c r="S17" s="43">
        <f>COUNTIF(F17:Q17,"S")</f>
        <v/>
      </c>
      <c r="T17" s="54">
        <f>IF(R17=0,"",S17/R17)</f>
        <v/>
      </c>
    </row>
    <row r="18" ht="15" customHeight="1" s="33">
      <c r="A18" s="51" t="n"/>
      <c r="B18" s="52" t="n"/>
      <c r="C18" s="52" t="n"/>
      <c r="D18" s="52" t="n"/>
      <c r="E18" s="52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43">
        <f>COUNTIF(F18:Q18,"R")+COUNTIF(F18:Q18,"S")+COUNTIF(F18:Q18,"T")</f>
        <v/>
      </c>
      <c r="S18" s="43">
        <f>COUNTIF(F18:Q18,"S")</f>
        <v/>
      </c>
      <c r="T18" s="54">
        <f>IF(R18=0,"",S18/R18)</f>
        <v/>
      </c>
    </row>
    <row r="19" ht="15" customHeight="1" s="33">
      <c r="A19" s="51" t="n"/>
      <c r="B19" s="52" t="n"/>
      <c r="C19" s="52" t="n"/>
      <c r="D19" s="52" t="n"/>
      <c r="E19" s="52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43">
        <f>COUNTIF(F19:Q19,"R")+COUNTIF(F19:Q19,"S")+COUNTIF(F19:Q19,"T")</f>
        <v/>
      </c>
      <c r="S19" s="43">
        <f>COUNTIF(F19:Q19,"S")</f>
        <v/>
      </c>
      <c r="T19" s="54">
        <f>IF(R19=0,"",S19/R19)</f>
        <v/>
      </c>
    </row>
    <row r="20" ht="15" customHeight="1" s="33">
      <c r="A20" s="51" t="n"/>
      <c r="B20" s="52" t="n"/>
      <c r="C20" s="52" t="n"/>
      <c r="D20" s="52" t="n"/>
      <c r="E20" s="52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43">
        <f>COUNTIF(F20:Q20,"R")+COUNTIF(F20:Q20,"S")+COUNTIF(F20:Q20,"T")</f>
        <v/>
      </c>
      <c r="S20" s="43">
        <f>COUNTIF(F20:Q20,"S")</f>
        <v/>
      </c>
      <c r="T20" s="54">
        <f>IF(R20=0,"",S20/R20)</f>
        <v/>
      </c>
    </row>
    <row r="21" ht="15" customHeight="1" s="33">
      <c r="A21" s="51" t="n"/>
      <c r="B21" s="52" t="n"/>
      <c r="C21" s="52" t="n"/>
      <c r="D21" s="52" t="n"/>
      <c r="E21" s="52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43">
        <f>COUNTIF(F21:Q21,"R")+COUNTIF(F21:Q21,"S")+COUNTIF(F21:Q21,"T")</f>
        <v/>
      </c>
      <c r="S21" s="43">
        <f>COUNTIF(F21:Q21,"S")</f>
        <v/>
      </c>
      <c r="T21" s="54">
        <f>IF(R21=0,"",S21/R21)</f>
        <v/>
      </c>
    </row>
    <row r="22" ht="15" customHeight="1" s="33">
      <c r="A22" s="51" t="n"/>
      <c r="B22" s="52" t="n"/>
      <c r="C22" s="52" t="n"/>
      <c r="D22" s="52" t="n"/>
      <c r="E22" s="52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43">
        <f>COUNTIF(F22:Q22,"R")+COUNTIF(F22:Q22,"S")+COUNTIF(F22:Q22,"T")</f>
        <v/>
      </c>
      <c r="S22" s="43">
        <f>COUNTIF(F22:Q22,"S")</f>
        <v/>
      </c>
      <c r="T22" s="54">
        <f>IF(R22=0,"",S22/R22)</f>
        <v/>
      </c>
    </row>
    <row r="23" ht="15" customHeight="1" s="33">
      <c r="A23" s="51" t="n"/>
      <c r="B23" s="52" t="n"/>
      <c r="C23" s="52" t="n"/>
      <c r="D23" s="52" t="n"/>
      <c r="E23" s="52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43">
        <f>COUNTIF(F23:Q23,"R")+COUNTIF(F23:Q23,"S")+COUNTIF(F23:Q23,"T")</f>
        <v/>
      </c>
      <c r="S23" s="43">
        <f>COUNTIF(F23:Q23,"S")</f>
        <v/>
      </c>
      <c r="T23" s="54">
        <f>IF(R23=0,"",S23/R23)</f>
        <v/>
      </c>
    </row>
    <row r="24" ht="15" customHeight="1" s="33">
      <c r="A24" s="51" t="n"/>
      <c r="B24" s="52" t="n"/>
      <c r="C24" s="52" t="n"/>
      <c r="D24" s="52" t="n"/>
      <c r="E24" s="52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43">
        <f>COUNTIF(F24:Q24,"R")+COUNTIF(F24:Q24,"S")+COUNTIF(F24:Q24,"T")</f>
        <v/>
      </c>
      <c r="S24" s="43">
        <f>COUNTIF(F24:Q24,"S")</f>
        <v/>
      </c>
      <c r="T24" s="54">
        <f>IF(R24=0,"",S24/R24)</f>
        <v/>
      </c>
    </row>
    <row r="25" ht="15" customHeight="1" s="33">
      <c r="A25" s="51" t="n"/>
      <c r="B25" s="52" t="n"/>
      <c r="C25" s="52" t="n"/>
      <c r="D25" s="52" t="n"/>
      <c r="E25" s="52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43">
        <f>COUNTIF(F25:Q25,"R")+COUNTIF(F25:Q25,"S")+COUNTIF(F25:Q25,"T")</f>
        <v/>
      </c>
      <c r="S25" s="43">
        <f>COUNTIF(F25:Q25,"S")</f>
        <v/>
      </c>
      <c r="T25" s="54">
        <f>IF(R25=0,"",S25/R25)</f>
        <v/>
      </c>
    </row>
    <row r="26" ht="15" customHeight="1" s="33">
      <c r="A26" s="51" t="n"/>
      <c r="B26" s="52" t="n"/>
      <c r="C26" s="52" t="n"/>
      <c r="D26" s="52" t="n"/>
      <c r="E26" s="52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43">
        <f>COUNTIF(F26:Q26,"R")+COUNTIF(F26:Q26,"S")+COUNTIF(F26:Q26,"T")</f>
        <v/>
      </c>
      <c r="S26" s="43">
        <f>COUNTIF(F26:Q26,"S")</f>
        <v/>
      </c>
      <c r="T26" s="54">
        <f>IF(R26=0,"",S26/R26)</f>
        <v/>
      </c>
    </row>
    <row r="27" ht="15" customHeight="1" s="33">
      <c r="A27" s="51" t="n"/>
      <c r="B27" s="52" t="n"/>
      <c r="C27" s="52" t="n"/>
      <c r="D27" s="52" t="n"/>
      <c r="E27" s="52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43">
        <f>COUNTIF(F27:Q27,"R")+COUNTIF(F27:Q27,"S")+COUNTIF(F27:Q27,"T")</f>
        <v/>
      </c>
      <c r="S27" s="43">
        <f>COUNTIF(F27:Q27,"S")</f>
        <v/>
      </c>
      <c r="T27" s="54">
        <f>IF(R27=0,"",S27/R27)</f>
        <v/>
      </c>
    </row>
    <row r="28" ht="15" customHeight="1" s="33">
      <c r="A28" s="51" t="n"/>
      <c r="B28" s="52" t="n"/>
      <c r="C28" s="52" t="n"/>
      <c r="D28" s="52" t="n"/>
      <c r="E28" s="52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43">
        <f>COUNTIF(F28:Q28,"R")+COUNTIF(F28:Q28,"S")+COUNTIF(F28:Q28,"T")</f>
        <v/>
      </c>
      <c r="S28" s="43">
        <f>COUNTIF(F28:Q28,"S")</f>
        <v/>
      </c>
      <c r="T28" s="54">
        <f>IF(R28=0,"",S28/R28)</f>
        <v/>
      </c>
    </row>
    <row r="29" ht="15" customHeight="1" s="33">
      <c r="A29" s="51" t="n"/>
      <c r="B29" s="52" t="n"/>
      <c r="C29" s="52" t="n"/>
      <c r="D29" s="52" t="n"/>
      <c r="E29" s="52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43">
        <f>COUNTIF(F29:Q29,"R")+COUNTIF(F29:Q29,"S")+COUNTIF(F29:Q29,"T")</f>
        <v/>
      </c>
      <c r="S29" s="43">
        <f>COUNTIF(F29:Q29,"S")</f>
        <v/>
      </c>
      <c r="T29" s="54">
        <f>IF(R29=0,"",S29/R29)</f>
        <v/>
      </c>
    </row>
    <row r="30" ht="15" customHeight="1" s="33">
      <c r="A30" s="51" t="n"/>
      <c r="B30" s="52" t="n"/>
      <c r="C30" s="52" t="n"/>
      <c r="D30" s="52" t="n"/>
      <c r="E30" s="52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43">
        <f>COUNTIF(F30:Q30,"R")+COUNTIF(F30:Q30,"S")+COUNTIF(F30:Q30,"T")</f>
        <v/>
      </c>
      <c r="S30" s="43">
        <f>COUNTIF(F30:Q30,"S")</f>
        <v/>
      </c>
      <c r="T30" s="54">
        <f>IF(R30=0,"",S30/R30)</f>
        <v/>
      </c>
    </row>
    <row r="31" ht="15" customHeight="1" s="33">
      <c r="A31" s="51" t="n"/>
      <c r="B31" s="52" t="n"/>
      <c r="C31" s="52" t="n"/>
      <c r="D31" s="52" t="n"/>
      <c r="E31" s="52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43">
        <f>COUNTIF(F31:Q31,"R")+COUNTIF(F31:Q31,"S")+COUNTIF(F31:Q31,"T")</f>
        <v/>
      </c>
      <c r="S31" s="43">
        <f>COUNTIF(F31:Q31,"S")</f>
        <v/>
      </c>
      <c r="T31" s="54">
        <f>IF(R31=0,"",S31/R31)</f>
        <v/>
      </c>
    </row>
    <row r="32" ht="15" customHeight="1" s="33">
      <c r="A32" s="51" t="n"/>
      <c r="B32" s="52" t="n"/>
      <c r="C32" s="52" t="n"/>
      <c r="D32" s="52" t="n"/>
      <c r="E32" s="52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43">
        <f>COUNTIF(F32:Q32,"R")+COUNTIF(F32:Q32,"S")+COUNTIF(F32:Q32,"T")</f>
        <v/>
      </c>
      <c r="S32" s="43">
        <f>COUNTIF(F32:Q32,"S")</f>
        <v/>
      </c>
      <c r="T32" s="54">
        <f>IF(R32=0,"",S32/R32)</f>
        <v/>
      </c>
    </row>
    <row r="33" ht="15" customHeight="1" s="33">
      <c r="A33" s="51" t="n"/>
      <c r="B33" s="52" t="n"/>
      <c r="C33" s="52" t="n"/>
      <c r="D33" s="52" t="n"/>
      <c r="E33" s="52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43">
        <f>COUNTIF(F33:Q33,"R")+COUNTIF(F33:Q33,"S")+COUNTIF(F33:Q33,"T")</f>
        <v/>
      </c>
      <c r="S33" s="43">
        <f>COUNTIF(F33:Q33,"S")</f>
        <v/>
      </c>
      <c r="T33" s="54">
        <f>IF(R33=0,"",S33/R33)</f>
        <v/>
      </c>
    </row>
    <row r="34" ht="15" customHeight="1" s="33">
      <c r="A34" s="51" t="n"/>
      <c r="B34" s="52" t="n"/>
      <c r="C34" s="52" t="n"/>
      <c r="D34" s="52" t="n"/>
      <c r="E34" s="52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43">
        <f>COUNTIF(F34:Q34,"R")+COUNTIF(F34:Q34,"S")+COUNTIF(F34:Q34,"T")</f>
        <v/>
      </c>
      <c r="S34" s="43">
        <f>COUNTIF(F34:Q34,"S")</f>
        <v/>
      </c>
      <c r="T34" s="54">
        <f>IF(R34=0,"",S34/R34)</f>
        <v/>
      </c>
    </row>
    <row r="35" ht="15" customHeight="1" s="33">
      <c r="A35" s="51" t="n"/>
      <c r="B35" s="52" t="n"/>
      <c r="C35" s="52" t="n"/>
      <c r="D35" s="52" t="n"/>
      <c r="E35" s="52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43">
        <f>COUNTIF(F35:Q35,"R")+COUNTIF(F35:Q35,"S")+COUNTIF(F35:Q35,"T")</f>
        <v/>
      </c>
      <c r="S35" s="43">
        <f>COUNTIF(F35:Q35,"S")</f>
        <v/>
      </c>
      <c r="T35" s="54">
        <f>IF(R35=0,"",S35/R35)</f>
        <v/>
      </c>
    </row>
    <row r="36" ht="15" customHeight="1" s="33">
      <c r="A36" s="51" t="n"/>
      <c r="B36" s="52" t="n"/>
      <c r="C36" s="52" t="n"/>
      <c r="D36" s="52" t="n"/>
      <c r="E36" s="52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43">
        <f>COUNTIF(F36:Q36,"R")+COUNTIF(F36:Q36,"S")+COUNTIF(F36:Q36,"T")</f>
        <v/>
      </c>
      <c r="S36" s="43">
        <f>COUNTIF(F36:Q36,"S")</f>
        <v/>
      </c>
      <c r="T36" s="54">
        <f>IF(R36=0,"",S36/R36)</f>
        <v/>
      </c>
    </row>
    <row r="37" ht="15" customHeight="1" s="33">
      <c r="A37" s="51" t="n"/>
      <c r="B37" s="52" t="n"/>
      <c r="C37" s="52" t="n"/>
      <c r="D37" s="52" t="n"/>
      <c r="E37" s="52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43">
        <f>COUNTIF(F37:Q37,"R")+COUNTIF(F37:Q37,"S")+COUNTIF(F37:Q37,"T")</f>
        <v/>
      </c>
      <c r="S37" s="43">
        <f>COUNTIF(F37:Q37,"S")</f>
        <v/>
      </c>
      <c r="T37" s="54">
        <f>IF(R37=0,"",S37/R37)</f>
        <v/>
      </c>
    </row>
    <row r="38" ht="15" customHeight="1" s="33">
      <c r="A38" s="51" t="n"/>
      <c r="B38" s="52" t="n"/>
      <c r="C38" s="52" t="n"/>
      <c r="D38" s="52" t="n"/>
      <c r="E38" s="52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43">
        <f>COUNTIF(F38:Q38,"R")+COUNTIF(F38:Q38,"S")+COUNTIF(F38:Q38,"T")</f>
        <v/>
      </c>
      <c r="S38" s="43">
        <f>COUNTIF(F38:Q38,"S")</f>
        <v/>
      </c>
      <c r="T38" s="54">
        <f>IF(R38=0,"",S38/R38)</f>
        <v/>
      </c>
    </row>
    <row r="39" ht="15" customHeight="1" s="33">
      <c r="A39" s="51" t="n"/>
      <c r="B39" s="52" t="n"/>
      <c r="C39" s="52" t="n"/>
      <c r="D39" s="52" t="n"/>
      <c r="E39" s="52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43">
        <f>COUNTIF(F39:Q39,"R")+COUNTIF(F39:Q39,"S")+COUNTIF(F39:Q39,"T")</f>
        <v/>
      </c>
      <c r="S39" s="43">
        <f>COUNTIF(F39:Q39,"S")</f>
        <v/>
      </c>
      <c r="T39" s="54">
        <f>IF(R39=0,"",S39/R39)</f>
        <v/>
      </c>
    </row>
    <row r="40" ht="15" customHeight="1" s="33">
      <c r="A40" s="51" t="n"/>
      <c r="B40" s="52" t="n"/>
      <c r="C40" s="52" t="n"/>
      <c r="D40" s="52" t="n"/>
      <c r="E40" s="52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43">
        <f>COUNTIF(F40:Q40,"R")+COUNTIF(F40:Q40,"S")+COUNTIF(F40:Q40,"T")</f>
        <v/>
      </c>
      <c r="S40" s="43">
        <f>COUNTIF(F40:Q40,"S")</f>
        <v/>
      </c>
      <c r="T40" s="54">
        <f>IF(R40=0,"",S40/R40)</f>
        <v/>
      </c>
    </row>
    <row r="41" ht="15" customHeight="1" s="33">
      <c r="A41" s="51" t="n"/>
      <c r="B41" s="52" t="n"/>
      <c r="C41" s="52" t="n"/>
      <c r="D41" s="52" t="n"/>
      <c r="E41" s="52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43">
        <f>COUNTIF(F41:Q41,"R")+COUNTIF(F41:Q41,"S")+COUNTIF(F41:Q41,"T")</f>
        <v/>
      </c>
      <c r="S41" s="43">
        <f>COUNTIF(F41:Q41,"S")</f>
        <v/>
      </c>
      <c r="T41" s="54">
        <f>IF(R41=0,"",S41/R41)</f>
        <v/>
      </c>
    </row>
    <row r="42" ht="15" customHeight="1" s="33">
      <c r="A42" s="51" t="n"/>
      <c r="B42" s="52" t="n"/>
      <c r="C42" s="52" t="n"/>
      <c r="D42" s="52" t="n"/>
      <c r="E42" s="52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43">
        <f>COUNTIF(F42:Q42,"R")+COUNTIF(F42:Q42,"S")+COUNTIF(F42:Q42,"T")</f>
        <v/>
      </c>
      <c r="S42" s="43">
        <f>COUNTIF(F42:Q42,"S")</f>
        <v/>
      </c>
      <c r="T42" s="54">
        <f>IF(R42=0,"",S42/R42)</f>
        <v/>
      </c>
    </row>
    <row r="43" ht="15" customHeight="1" s="33">
      <c r="A43" s="51" t="n"/>
      <c r="B43" s="52" t="n"/>
      <c r="C43" s="52" t="n"/>
      <c r="D43" s="52" t="n"/>
      <c r="E43" s="52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43">
        <f>COUNTIF(F43:Q43,"R")+COUNTIF(F43:Q43,"S")+COUNTIF(F43:Q43,"T")</f>
        <v/>
      </c>
      <c r="S43" s="43">
        <f>COUNTIF(F43:Q43,"S")</f>
        <v/>
      </c>
      <c r="T43" s="54">
        <f>IF(R43=0,"",S43/R43)</f>
        <v/>
      </c>
    </row>
    <row r="44" ht="15" customHeight="1" s="33">
      <c r="A44" s="51" t="n"/>
      <c r="B44" s="52" t="n"/>
      <c r="C44" s="52" t="n"/>
      <c r="D44" s="52" t="n"/>
      <c r="E44" s="52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43">
        <f>COUNTIF(F44:Q44,"R")+COUNTIF(F44:Q44,"S")+COUNTIF(F44:Q44,"T")</f>
        <v/>
      </c>
      <c r="S44" s="43">
        <f>COUNTIF(F44:Q44,"S")</f>
        <v/>
      </c>
      <c r="T44" s="54">
        <f>IF(R44=0,"",S44/R44)</f>
        <v/>
      </c>
    </row>
    <row r="45" ht="15" customHeight="1" s="33">
      <c r="A45" s="51" t="n"/>
      <c r="B45" s="52" t="n"/>
      <c r="C45" s="52" t="n"/>
      <c r="D45" s="52" t="n"/>
      <c r="E45" s="52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43">
        <f>COUNTIF(F45:Q45,"R")+COUNTIF(F45:Q45,"S")+COUNTIF(F45:Q45,"T")</f>
        <v/>
      </c>
      <c r="S45" s="43">
        <f>COUNTIF(F45:Q45,"S")</f>
        <v/>
      </c>
      <c r="T45" s="54">
        <f>IF(R45=0,"",S45/R45)</f>
        <v/>
      </c>
    </row>
    <row r="47" ht="15" customHeight="1" s="33">
      <c r="B47" s="55" t="inlineStr">
        <is>
          <t>Kepatuhan PM keseluruhan</t>
        </is>
      </c>
      <c r="T47" s="56">
        <f>IF(SUM(R6:R45)=0,"",SUM(S6:S45)/SUM(R6:R45))</f>
        <v/>
      </c>
    </row>
  </sheetData>
  <conditionalFormatting sqref="F6:Q45">
    <cfRule type="cellIs" rank="0" priority="2" equalAverage="0" operator="equal" aboveAverage="0" dxfId="0" text="" percent="0" bottom="0">
      <formula>"S"</formula>
    </cfRule>
    <cfRule type="cellIs" rank="0" priority="3" equalAverage="0" operator="equal" aboveAverage="0" dxfId="1" text="" percent="0" bottom="0">
      <formula>"T"</formula>
    </cfRule>
  </conditionalFormatting>
  <dataValidations count="1">
    <dataValidation sqref="F6:Q45" showDropDown="0" showInputMessage="0" showErrorMessage="0" allowBlank="1" type="list" errorStyle="stop" operator="between">
      <formula1>"R,S,T"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P1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2" min="1" max="1"/>
    <col width="11" customWidth="1" style="32" min="2" max="2"/>
    <col width="7" customWidth="1" style="32" min="3" max="3"/>
    <col width="20" customWidth="1" style="32" min="4" max="4"/>
    <col width="14" customWidth="1" style="32" min="5" max="6"/>
    <col width="30" customWidth="1" style="32" min="7" max="7"/>
    <col width="26" customWidth="1" style="32" min="8" max="9"/>
    <col width="12" customWidth="1" style="32" min="10" max="10"/>
    <col width="15" customWidth="1" style="32" min="11" max="12"/>
    <col width="9" customWidth="1" style="32" min="13" max="13"/>
    <col width="14" customWidth="1" style="32" min="14" max="15"/>
    <col width="18" customWidth="1" style="32" min="16" max="16"/>
  </cols>
  <sheetData>
    <row r="1" ht="16.15" customHeight="1" s="33">
      <c r="A1" s="46" t="inlineStr">
        <is>
          <t>Service report preventive dan corrective maintenance</t>
        </is>
      </c>
    </row>
    <row r="2" ht="15" customHeight="1" s="33">
      <c r="A2" s="35" t="inlineStr">
        <is>
          <t>Durasi dihitung otomatis dalam menit.</t>
        </is>
      </c>
    </row>
    <row r="4" ht="31.5" customHeight="1" s="33">
      <c r="A4" s="57" t="inlineStr">
        <is>
          <t>No SR</t>
        </is>
      </c>
      <c r="B4" s="57" t="inlineStr">
        <is>
          <t>Tanggal</t>
        </is>
      </c>
      <c r="C4" s="57" t="inlineStr">
        <is>
          <t>Jenis</t>
        </is>
      </c>
      <c r="D4" s="57" t="inlineStr">
        <is>
          <t>Aset atau layanan</t>
        </is>
      </c>
      <c r="E4" s="57" t="inlineStr">
        <is>
          <t>Pelanggan</t>
        </is>
      </c>
      <c r="F4" s="57" t="inlineStr">
        <is>
          <t>Ref tiket atau CR</t>
        </is>
      </c>
      <c r="G4" s="57" t="inlineStr">
        <is>
          <t>Aktivitas</t>
        </is>
      </c>
      <c r="H4" s="57" t="inlineStr">
        <is>
          <t>Temuan</t>
        </is>
      </c>
      <c r="I4" s="57" t="inlineStr">
        <is>
          <t>Tindakan</t>
        </is>
      </c>
      <c r="J4" s="57" t="inlineStr">
        <is>
          <t>Status</t>
        </is>
      </c>
      <c r="K4" s="57" t="inlineStr">
        <is>
          <t>Mulai</t>
        </is>
      </c>
      <c r="L4" s="57" t="inlineStr">
        <is>
          <t>Selesai</t>
        </is>
      </c>
      <c r="M4" s="57" t="inlineStr">
        <is>
          <t>Durasi (menit)</t>
        </is>
      </c>
      <c r="N4" s="57" t="inlineStr">
        <is>
          <t>Pelaksana</t>
        </is>
      </c>
      <c r="O4" s="57" t="inlineStr">
        <is>
          <t>Diverifikasi</t>
        </is>
      </c>
      <c r="P4" s="57" t="inlineStr">
        <is>
          <t>Catatan</t>
        </is>
      </c>
    </row>
    <row r="5" ht="23.85" customHeight="1" s="33">
      <c r="A5" s="58" t="n"/>
      <c r="B5" s="59" t="n"/>
      <c r="C5" s="58" t="n"/>
      <c r="D5" s="58" t="n"/>
      <c r="E5" s="58" t="n"/>
      <c r="F5" s="58" t="n"/>
      <c r="G5" s="58" t="n"/>
      <c r="H5" s="58" t="n"/>
      <c r="I5" s="58" t="n"/>
      <c r="J5" s="58" t="n"/>
      <c r="K5" s="60" t="n"/>
      <c r="L5" s="60" t="n"/>
      <c r="M5" s="61">
        <f>IF(OR(K5="",L5=""),"",ROUND((L5-K5)*1440,0))</f>
        <v/>
      </c>
      <c r="N5" s="58" t="n"/>
      <c r="O5" s="58" t="n"/>
      <c r="P5" s="58" t="n"/>
    </row>
    <row r="6" ht="15" customHeight="1" s="33">
      <c r="A6" s="58" t="n"/>
      <c r="B6" s="59" t="n"/>
      <c r="C6" s="58" t="n"/>
      <c r="D6" s="58" t="n"/>
      <c r="E6" s="58" t="n"/>
      <c r="F6" s="58" t="n"/>
      <c r="G6" s="58" t="n"/>
      <c r="H6" s="58" t="n"/>
      <c r="I6" s="58" t="n"/>
      <c r="J6" s="58" t="n"/>
      <c r="K6" s="60" t="n"/>
      <c r="L6" s="60" t="n"/>
      <c r="M6" s="61">
        <f>IF(OR(K6="",L6=""),"",ROUND((L6-K6)*1440,0))</f>
        <v/>
      </c>
      <c r="N6" s="58" t="n"/>
      <c r="O6" s="58" t="n"/>
      <c r="P6" s="58" t="n"/>
    </row>
    <row r="7" ht="15" customHeight="1" s="33">
      <c r="A7" s="58" t="n"/>
      <c r="B7" s="59" t="n"/>
      <c r="C7" s="58" t="n"/>
      <c r="D7" s="58" t="n"/>
      <c r="E7" s="58" t="n"/>
      <c r="F7" s="58" t="n"/>
      <c r="G7" s="58" t="n"/>
      <c r="H7" s="58" t="n"/>
      <c r="I7" s="58" t="n"/>
      <c r="J7" s="58" t="n"/>
      <c r="K7" s="60" t="n"/>
      <c r="L7" s="60" t="n"/>
      <c r="M7" s="61">
        <f>IF(OR(K7="",L7=""),"",ROUND((L7-K7)*1440,0))</f>
        <v/>
      </c>
      <c r="N7" s="58" t="n"/>
      <c r="O7" s="58" t="n"/>
      <c r="P7" s="58" t="n"/>
    </row>
    <row r="8" ht="15" customHeight="1" s="33">
      <c r="A8" s="58" t="n"/>
      <c r="B8" s="59" t="n"/>
      <c r="C8" s="58" t="n"/>
      <c r="D8" s="58" t="n"/>
      <c r="E8" s="58" t="n"/>
      <c r="F8" s="58" t="n"/>
      <c r="G8" s="58" t="n"/>
      <c r="H8" s="58" t="n"/>
      <c r="I8" s="58" t="n"/>
      <c r="J8" s="58" t="n"/>
      <c r="K8" s="60" t="n"/>
      <c r="L8" s="60" t="n"/>
      <c r="M8" s="61">
        <f>IF(OR(K8="",L8=""),"",ROUND((L8-K8)*1440,0))</f>
        <v/>
      </c>
      <c r="N8" s="58" t="n"/>
      <c r="O8" s="58" t="n"/>
      <c r="P8" s="58" t="n"/>
    </row>
    <row r="9" ht="15" customHeight="1" s="33">
      <c r="A9" s="58" t="n"/>
      <c r="B9" s="59" t="n"/>
      <c r="C9" s="58" t="n"/>
      <c r="D9" s="58" t="n"/>
      <c r="E9" s="58" t="n"/>
      <c r="F9" s="58" t="n"/>
      <c r="G9" s="58" t="n"/>
      <c r="H9" s="58" t="n"/>
      <c r="I9" s="58" t="n"/>
      <c r="J9" s="58" t="n"/>
      <c r="K9" s="60" t="n"/>
      <c r="L9" s="60" t="n"/>
      <c r="M9" s="61">
        <f>IF(OR(K9="",L9=""),"",ROUND((L9-K9)*1440,0))</f>
        <v/>
      </c>
      <c r="N9" s="58" t="n"/>
      <c r="O9" s="58" t="n"/>
      <c r="P9" s="58" t="n"/>
    </row>
    <row r="10" ht="15" customHeight="1" s="33">
      <c r="A10" s="58" t="n"/>
      <c r="B10" s="59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60" t="n"/>
      <c r="L10" s="60" t="n"/>
      <c r="M10" s="61">
        <f>IF(OR(K10="",L10=""),"",ROUND((L10-K10)*1440,0))</f>
        <v/>
      </c>
      <c r="N10" s="58" t="n"/>
      <c r="O10" s="58" t="n"/>
      <c r="P10" s="58" t="n"/>
    </row>
    <row r="11" ht="15" customHeight="1" s="33">
      <c r="A11" s="58" t="n"/>
      <c r="B11" s="59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60" t="n"/>
      <c r="L11" s="60" t="n"/>
      <c r="M11" s="61">
        <f>IF(OR(K11="",L11=""),"",ROUND((L11-K11)*1440,0))</f>
        <v/>
      </c>
      <c r="N11" s="58" t="n"/>
      <c r="O11" s="58" t="n"/>
      <c r="P11" s="58" t="n"/>
    </row>
    <row r="12" ht="15" customHeight="1" s="33">
      <c r="A12" s="58" t="n"/>
      <c r="B12" s="59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60" t="n"/>
      <c r="L12" s="60" t="n"/>
      <c r="M12" s="61">
        <f>IF(OR(K12="",L12=""),"",ROUND((L12-K12)*1440,0))</f>
        <v/>
      </c>
      <c r="N12" s="58" t="n"/>
      <c r="O12" s="58" t="n"/>
      <c r="P12" s="58" t="n"/>
    </row>
    <row r="13" ht="15" customHeight="1" s="33">
      <c r="A13" s="58" t="n"/>
      <c r="B13" s="59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60" t="n"/>
      <c r="L13" s="60" t="n"/>
      <c r="M13" s="61">
        <f>IF(OR(K13="",L13=""),"",ROUND((L13-K13)*1440,0))</f>
        <v/>
      </c>
      <c r="N13" s="58" t="n"/>
      <c r="O13" s="58" t="n"/>
      <c r="P13" s="58" t="n"/>
    </row>
    <row r="14" ht="15" customHeight="1" s="33">
      <c r="A14" s="58" t="n"/>
      <c r="B14" s="59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60" t="n"/>
      <c r="L14" s="60" t="n"/>
      <c r="M14" s="61">
        <f>IF(OR(K14="",L14=""),"",ROUND((L14-K14)*1440,0))</f>
        <v/>
      </c>
      <c r="N14" s="58" t="n"/>
      <c r="O14" s="58" t="n"/>
      <c r="P14" s="58" t="n"/>
    </row>
    <row r="15" ht="15" customHeight="1" s="33">
      <c r="A15" s="58" t="n"/>
      <c r="B15" s="59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60" t="n"/>
      <c r="L15" s="60" t="n"/>
      <c r="M15" s="61">
        <f>IF(OR(K15="",L15=""),"",ROUND((L15-K15)*1440,0))</f>
        <v/>
      </c>
      <c r="N15" s="58" t="n"/>
      <c r="O15" s="58" t="n"/>
      <c r="P15" s="58" t="n"/>
    </row>
    <row r="16" ht="15" customHeight="1" s="33">
      <c r="A16" s="58" t="n"/>
      <c r="B16" s="59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60" t="n"/>
      <c r="L16" s="60" t="n"/>
      <c r="M16" s="61">
        <f>IF(OR(K16="",L16=""),"",ROUND((L16-K16)*1440,0))</f>
        <v/>
      </c>
      <c r="N16" s="58" t="n"/>
      <c r="O16" s="58" t="n"/>
      <c r="P16" s="58" t="n"/>
    </row>
    <row r="17" ht="15" customHeight="1" s="33">
      <c r="A17" s="58" t="n"/>
      <c r="B17" s="59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60" t="n"/>
      <c r="L17" s="60" t="n"/>
      <c r="M17" s="61">
        <f>IF(OR(K17="",L17=""),"",ROUND((L17-K17)*1440,0))</f>
        <v/>
      </c>
      <c r="N17" s="58" t="n"/>
      <c r="O17" s="58" t="n"/>
      <c r="P17" s="58" t="n"/>
    </row>
    <row r="18" ht="15" customHeight="1" s="33">
      <c r="A18" s="58" t="n"/>
      <c r="B18" s="59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60" t="n"/>
      <c r="L18" s="60" t="n"/>
      <c r="M18" s="61">
        <f>IF(OR(K18="",L18=""),"",ROUND((L18-K18)*1440,0))</f>
        <v/>
      </c>
      <c r="N18" s="58" t="n"/>
      <c r="O18" s="58" t="n"/>
      <c r="P18" s="58" t="n"/>
    </row>
    <row r="19" ht="15" customHeight="1" s="33">
      <c r="A19" s="58" t="n"/>
      <c r="B19" s="59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60" t="n"/>
      <c r="L19" s="60" t="n"/>
      <c r="M19" s="61">
        <f>IF(OR(K19="",L19=""),"",ROUND((L19-K19)*1440,0))</f>
        <v/>
      </c>
      <c r="N19" s="58" t="n"/>
      <c r="O19" s="58" t="n"/>
      <c r="P19" s="58" t="n"/>
    </row>
    <row r="20" ht="15" customHeight="1" s="33">
      <c r="A20" s="58" t="n"/>
      <c r="B20" s="59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60" t="n"/>
      <c r="L20" s="60" t="n"/>
      <c r="M20" s="61">
        <f>IF(OR(K20="",L20=""),"",ROUND((L20-K20)*1440,0))</f>
        <v/>
      </c>
      <c r="N20" s="58" t="n"/>
      <c r="O20" s="58" t="n"/>
      <c r="P20" s="58" t="n"/>
    </row>
    <row r="21" ht="15" customHeight="1" s="33">
      <c r="A21" s="58" t="n"/>
      <c r="B21" s="59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60" t="n"/>
      <c r="L21" s="60" t="n"/>
      <c r="M21" s="61">
        <f>IF(OR(K21="",L21=""),"",ROUND((L21-K21)*1440,0))</f>
        <v/>
      </c>
      <c r="N21" s="58" t="n"/>
      <c r="O21" s="58" t="n"/>
      <c r="P21" s="58" t="n"/>
    </row>
    <row r="22" ht="15" customHeight="1" s="33">
      <c r="A22" s="58" t="n"/>
      <c r="B22" s="59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60" t="n"/>
      <c r="L22" s="60" t="n"/>
      <c r="M22" s="61">
        <f>IF(OR(K22="",L22=""),"",ROUND((L22-K22)*1440,0))</f>
        <v/>
      </c>
      <c r="N22" s="58" t="n"/>
      <c r="O22" s="58" t="n"/>
      <c r="P22" s="58" t="n"/>
    </row>
    <row r="23" ht="15" customHeight="1" s="33">
      <c r="A23" s="58" t="n"/>
      <c r="B23" s="59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60" t="n"/>
      <c r="L23" s="60" t="n"/>
      <c r="M23" s="61">
        <f>IF(OR(K23="",L23=""),"",ROUND((L23-K23)*1440,0))</f>
        <v/>
      </c>
      <c r="N23" s="58" t="n"/>
      <c r="O23" s="58" t="n"/>
      <c r="P23" s="58" t="n"/>
    </row>
    <row r="24" ht="15" customHeight="1" s="33">
      <c r="A24" s="58" t="n"/>
      <c r="B24" s="59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60" t="n"/>
      <c r="L24" s="60" t="n"/>
      <c r="M24" s="61">
        <f>IF(OR(K24="",L24=""),"",ROUND((L24-K24)*1440,0))</f>
        <v/>
      </c>
      <c r="N24" s="58" t="n"/>
      <c r="O24" s="58" t="n"/>
      <c r="P24" s="58" t="n"/>
    </row>
    <row r="25" ht="15" customHeight="1" s="33">
      <c r="A25" s="58" t="n"/>
      <c r="B25" s="59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60" t="n"/>
      <c r="L25" s="60" t="n"/>
      <c r="M25" s="61">
        <f>IF(OR(K25="",L25=""),"",ROUND((L25-K25)*1440,0))</f>
        <v/>
      </c>
      <c r="N25" s="58" t="n"/>
      <c r="O25" s="58" t="n"/>
      <c r="P25" s="58" t="n"/>
    </row>
    <row r="26" ht="15" customHeight="1" s="33">
      <c r="A26" s="58" t="n"/>
      <c r="B26" s="59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60" t="n"/>
      <c r="L26" s="60" t="n"/>
      <c r="M26" s="61">
        <f>IF(OR(K26="",L26=""),"",ROUND((L26-K26)*1440,0))</f>
        <v/>
      </c>
      <c r="N26" s="58" t="n"/>
      <c r="O26" s="58" t="n"/>
      <c r="P26" s="58" t="n"/>
    </row>
    <row r="27" ht="15" customHeight="1" s="33">
      <c r="A27" s="58" t="n"/>
      <c r="B27" s="59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60" t="n"/>
      <c r="L27" s="60" t="n"/>
      <c r="M27" s="61">
        <f>IF(OR(K27="",L27=""),"",ROUND((L27-K27)*1440,0))</f>
        <v/>
      </c>
      <c r="N27" s="58" t="n"/>
      <c r="O27" s="58" t="n"/>
      <c r="P27" s="58" t="n"/>
    </row>
    <row r="28" ht="15" customHeight="1" s="33">
      <c r="A28" s="58" t="n"/>
      <c r="B28" s="59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60" t="n"/>
      <c r="L28" s="60" t="n"/>
      <c r="M28" s="61">
        <f>IF(OR(K28="",L28=""),"",ROUND((L28-K28)*1440,0))</f>
        <v/>
      </c>
      <c r="N28" s="58" t="n"/>
      <c r="O28" s="58" t="n"/>
      <c r="P28" s="58" t="n"/>
    </row>
    <row r="29" ht="15" customHeight="1" s="33">
      <c r="A29" s="58" t="n"/>
      <c r="B29" s="59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60" t="n"/>
      <c r="L29" s="60" t="n"/>
      <c r="M29" s="61">
        <f>IF(OR(K29="",L29=""),"",ROUND((L29-K29)*1440,0))</f>
        <v/>
      </c>
      <c r="N29" s="58" t="n"/>
      <c r="O29" s="58" t="n"/>
      <c r="P29" s="58" t="n"/>
    </row>
    <row r="30" ht="15" customHeight="1" s="33">
      <c r="A30" s="58" t="n"/>
      <c r="B30" s="59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60" t="n"/>
      <c r="L30" s="60" t="n"/>
      <c r="M30" s="61">
        <f>IF(OR(K30="",L30=""),"",ROUND((L30-K30)*1440,0))</f>
        <v/>
      </c>
      <c r="N30" s="58" t="n"/>
      <c r="O30" s="58" t="n"/>
      <c r="P30" s="58" t="n"/>
    </row>
    <row r="31" ht="15" customHeight="1" s="33">
      <c r="A31" s="58" t="n"/>
      <c r="B31" s="59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60" t="n"/>
      <c r="L31" s="60" t="n"/>
      <c r="M31" s="61">
        <f>IF(OR(K31="",L31=""),"",ROUND((L31-K31)*1440,0))</f>
        <v/>
      </c>
      <c r="N31" s="58" t="n"/>
      <c r="O31" s="58" t="n"/>
      <c r="P31" s="58" t="n"/>
    </row>
    <row r="32" ht="15" customHeight="1" s="33">
      <c r="A32" s="58" t="n"/>
      <c r="B32" s="59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60" t="n"/>
      <c r="L32" s="60" t="n"/>
      <c r="M32" s="61">
        <f>IF(OR(K32="",L32=""),"",ROUND((L32-K32)*1440,0))</f>
        <v/>
      </c>
      <c r="N32" s="58" t="n"/>
      <c r="O32" s="58" t="n"/>
      <c r="P32" s="58" t="n"/>
    </row>
    <row r="33" ht="15" customHeight="1" s="33">
      <c r="A33" s="58" t="n"/>
      <c r="B33" s="59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60" t="n"/>
      <c r="L33" s="60" t="n"/>
      <c r="M33" s="61">
        <f>IF(OR(K33="",L33=""),"",ROUND((L33-K33)*1440,0))</f>
        <v/>
      </c>
      <c r="N33" s="58" t="n"/>
      <c r="O33" s="58" t="n"/>
      <c r="P33" s="58" t="n"/>
    </row>
    <row r="34" ht="15" customHeight="1" s="33">
      <c r="A34" s="58" t="n"/>
      <c r="B34" s="59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60" t="n"/>
      <c r="L34" s="60" t="n"/>
      <c r="M34" s="61">
        <f>IF(OR(K34="",L34=""),"",ROUND((L34-K34)*1440,0))</f>
        <v/>
      </c>
      <c r="N34" s="58" t="n"/>
      <c r="O34" s="58" t="n"/>
      <c r="P34" s="58" t="n"/>
    </row>
    <row r="35" ht="15" customHeight="1" s="33">
      <c r="A35" s="58" t="n"/>
      <c r="B35" s="59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60" t="n"/>
      <c r="L35" s="60" t="n"/>
      <c r="M35" s="61">
        <f>IF(OR(K35="",L35=""),"",ROUND((L35-K35)*1440,0))</f>
        <v/>
      </c>
      <c r="N35" s="58" t="n"/>
      <c r="O35" s="58" t="n"/>
      <c r="P35" s="58" t="n"/>
    </row>
    <row r="36" ht="15" customHeight="1" s="33">
      <c r="A36" s="58" t="n"/>
      <c r="B36" s="59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60" t="n"/>
      <c r="L36" s="60" t="n"/>
      <c r="M36" s="61">
        <f>IF(OR(K36="",L36=""),"",ROUND((L36-K36)*1440,0))</f>
        <v/>
      </c>
      <c r="N36" s="58" t="n"/>
      <c r="O36" s="58" t="n"/>
      <c r="P36" s="58" t="n"/>
    </row>
    <row r="37" ht="15" customHeight="1" s="33">
      <c r="A37" s="58" t="n"/>
      <c r="B37" s="59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60" t="n"/>
      <c r="L37" s="60" t="n"/>
      <c r="M37" s="61">
        <f>IF(OR(K37="",L37=""),"",ROUND((L37-K37)*1440,0))</f>
        <v/>
      </c>
      <c r="N37" s="58" t="n"/>
      <c r="O37" s="58" t="n"/>
      <c r="P37" s="58" t="n"/>
    </row>
    <row r="38" ht="15" customHeight="1" s="33">
      <c r="A38" s="58" t="n"/>
      <c r="B38" s="59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60" t="n"/>
      <c r="L38" s="60" t="n"/>
      <c r="M38" s="61">
        <f>IF(OR(K38="",L38=""),"",ROUND((L38-K38)*1440,0))</f>
        <v/>
      </c>
      <c r="N38" s="58" t="n"/>
      <c r="O38" s="58" t="n"/>
      <c r="P38" s="58" t="n"/>
    </row>
    <row r="39" ht="15" customHeight="1" s="33">
      <c r="A39" s="58" t="n"/>
      <c r="B39" s="59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60" t="n"/>
      <c r="L39" s="60" t="n"/>
      <c r="M39" s="61">
        <f>IF(OR(K39="",L39=""),"",ROUND((L39-K39)*1440,0))</f>
        <v/>
      </c>
      <c r="N39" s="58" t="n"/>
      <c r="O39" s="58" t="n"/>
      <c r="P39" s="58" t="n"/>
    </row>
    <row r="40" ht="15" customHeight="1" s="33">
      <c r="A40" s="58" t="n"/>
      <c r="B40" s="59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60" t="n"/>
      <c r="L40" s="60" t="n"/>
      <c r="M40" s="61">
        <f>IF(OR(K40="",L40=""),"",ROUND((L40-K40)*1440,0))</f>
        <v/>
      </c>
      <c r="N40" s="58" t="n"/>
      <c r="O40" s="58" t="n"/>
      <c r="P40" s="58" t="n"/>
    </row>
    <row r="41" ht="15" customHeight="1" s="33">
      <c r="A41" s="58" t="n"/>
      <c r="B41" s="59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60" t="n"/>
      <c r="L41" s="60" t="n"/>
      <c r="M41" s="61">
        <f>IF(OR(K41="",L41=""),"",ROUND((L41-K41)*1440,0))</f>
        <v/>
      </c>
      <c r="N41" s="58" t="n"/>
      <c r="O41" s="58" t="n"/>
      <c r="P41" s="58" t="n"/>
    </row>
    <row r="42" ht="15" customHeight="1" s="33">
      <c r="A42" s="58" t="n"/>
      <c r="B42" s="59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60" t="n"/>
      <c r="L42" s="60" t="n"/>
      <c r="M42" s="61">
        <f>IF(OR(K42="",L42=""),"",ROUND((L42-K42)*1440,0))</f>
        <v/>
      </c>
      <c r="N42" s="58" t="n"/>
      <c r="O42" s="58" t="n"/>
      <c r="P42" s="58" t="n"/>
    </row>
    <row r="43" ht="15" customHeight="1" s="33">
      <c r="A43" s="58" t="n"/>
      <c r="B43" s="59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60" t="n"/>
      <c r="L43" s="60" t="n"/>
      <c r="M43" s="61">
        <f>IF(OR(K43="",L43=""),"",ROUND((L43-K43)*1440,0))</f>
        <v/>
      </c>
      <c r="N43" s="58" t="n"/>
      <c r="O43" s="58" t="n"/>
      <c r="P43" s="58" t="n"/>
    </row>
    <row r="44" ht="15" customHeight="1" s="33">
      <c r="A44" s="58" t="n"/>
      <c r="B44" s="59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60" t="n"/>
      <c r="L44" s="60" t="n"/>
      <c r="M44" s="61">
        <f>IF(OR(K44="",L44=""),"",ROUND((L44-K44)*1440,0))</f>
        <v/>
      </c>
      <c r="N44" s="58" t="n"/>
      <c r="O44" s="58" t="n"/>
      <c r="P44" s="58" t="n"/>
    </row>
    <row r="45" ht="15" customHeight="1" s="33">
      <c r="A45" s="58" t="n"/>
      <c r="B45" s="59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60" t="n"/>
      <c r="L45" s="60" t="n"/>
      <c r="M45" s="61">
        <f>IF(OR(K45="",L45=""),"",ROUND((L45-K45)*1440,0))</f>
        <v/>
      </c>
      <c r="N45" s="58" t="n"/>
      <c r="O45" s="58" t="n"/>
      <c r="P45" s="58" t="n"/>
    </row>
    <row r="46" ht="15" customHeight="1" s="33">
      <c r="A46" s="58" t="n"/>
      <c r="B46" s="59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60" t="n"/>
      <c r="L46" s="60" t="n"/>
      <c r="M46" s="61">
        <f>IF(OR(K46="",L46=""),"",ROUND((L46-K46)*1440,0))</f>
        <v/>
      </c>
      <c r="N46" s="58" t="n"/>
      <c r="O46" s="58" t="n"/>
      <c r="P46" s="58" t="n"/>
    </row>
    <row r="47" ht="15" customHeight="1" s="33">
      <c r="A47" s="58" t="n"/>
      <c r="B47" s="59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60" t="n"/>
      <c r="L47" s="60" t="n"/>
      <c r="M47" s="61">
        <f>IF(OR(K47="",L47=""),"",ROUND((L47-K47)*1440,0))</f>
        <v/>
      </c>
      <c r="N47" s="58" t="n"/>
      <c r="O47" s="58" t="n"/>
      <c r="P47" s="58" t="n"/>
    </row>
    <row r="48" ht="15" customHeight="1" s="33">
      <c r="A48" s="58" t="n"/>
      <c r="B48" s="59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60" t="n"/>
      <c r="L48" s="60" t="n"/>
      <c r="M48" s="61">
        <f>IF(OR(K48="",L48=""),"",ROUND((L48-K48)*1440,0))</f>
        <v/>
      </c>
      <c r="N48" s="58" t="n"/>
      <c r="O48" s="58" t="n"/>
      <c r="P48" s="58" t="n"/>
    </row>
    <row r="49" ht="15" customHeight="1" s="33">
      <c r="A49" s="58" t="n"/>
      <c r="B49" s="59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60" t="n"/>
      <c r="L49" s="60" t="n"/>
      <c r="M49" s="61">
        <f>IF(OR(K49="",L49=""),"",ROUND((L49-K49)*1440,0))</f>
        <v/>
      </c>
      <c r="N49" s="58" t="n"/>
      <c r="O49" s="58" t="n"/>
      <c r="P49" s="58" t="n"/>
    </row>
    <row r="50" ht="15" customHeight="1" s="33">
      <c r="A50" s="58" t="n"/>
      <c r="B50" s="59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60" t="n"/>
      <c r="L50" s="60" t="n"/>
      <c r="M50" s="61">
        <f>IF(OR(K50="",L50=""),"",ROUND((L50-K50)*1440,0))</f>
        <v/>
      </c>
      <c r="N50" s="58" t="n"/>
      <c r="O50" s="58" t="n"/>
      <c r="P50" s="58" t="n"/>
    </row>
    <row r="51" ht="15" customHeight="1" s="33">
      <c r="A51" s="58" t="n"/>
      <c r="B51" s="59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60" t="n"/>
      <c r="L51" s="60" t="n"/>
      <c r="M51" s="61">
        <f>IF(OR(K51="",L51=""),"",ROUND((L51-K51)*1440,0))</f>
        <v/>
      </c>
      <c r="N51" s="58" t="n"/>
      <c r="O51" s="58" t="n"/>
      <c r="P51" s="58" t="n"/>
    </row>
    <row r="52" ht="15" customHeight="1" s="33">
      <c r="A52" s="58" t="n"/>
      <c r="B52" s="59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60" t="n"/>
      <c r="L52" s="60" t="n"/>
      <c r="M52" s="61">
        <f>IF(OR(K52="",L52=""),"",ROUND((L52-K52)*1440,0))</f>
        <v/>
      </c>
      <c r="N52" s="58" t="n"/>
      <c r="O52" s="58" t="n"/>
      <c r="P52" s="58" t="n"/>
    </row>
    <row r="53" ht="15" customHeight="1" s="33">
      <c r="A53" s="58" t="n"/>
      <c r="B53" s="59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60" t="n"/>
      <c r="L53" s="60" t="n"/>
      <c r="M53" s="61">
        <f>IF(OR(K53="",L53=""),"",ROUND((L53-K53)*1440,0))</f>
        <v/>
      </c>
      <c r="N53" s="58" t="n"/>
      <c r="O53" s="58" t="n"/>
      <c r="P53" s="58" t="n"/>
    </row>
    <row r="54" ht="15" customHeight="1" s="33">
      <c r="A54" s="58" t="n"/>
      <c r="B54" s="59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60" t="n"/>
      <c r="L54" s="60" t="n"/>
      <c r="M54" s="61">
        <f>IF(OR(K54="",L54=""),"",ROUND((L54-K54)*1440,0))</f>
        <v/>
      </c>
      <c r="N54" s="58" t="n"/>
      <c r="O54" s="58" t="n"/>
      <c r="P54" s="58" t="n"/>
    </row>
    <row r="55" ht="15" customHeight="1" s="33">
      <c r="A55" s="58" t="n"/>
      <c r="B55" s="59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60" t="n"/>
      <c r="L55" s="60" t="n"/>
      <c r="M55" s="61">
        <f>IF(OR(K55="",L55=""),"",ROUND((L55-K55)*1440,0))</f>
        <v/>
      </c>
      <c r="N55" s="58" t="n"/>
      <c r="O55" s="58" t="n"/>
      <c r="P55" s="58" t="n"/>
    </row>
    <row r="56" ht="15" customHeight="1" s="33">
      <c r="A56" s="58" t="n"/>
      <c r="B56" s="59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60" t="n"/>
      <c r="L56" s="60" t="n"/>
      <c r="M56" s="61">
        <f>IF(OR(K56="",L56=""),"",ROUND((L56-K56)*1440,0))</f>
        <v/>
      </c>
      <c r="N56" s="58" t="n"/>
      <c r="O56" s="58" t="n"/>
      <c r="P56" s="58" t="n"/>
    </row>
    <row r="57" ht="15" customHeight="1" s="33">
      <c r="A57" s="58" t="n"/>
      <c r="B57" s="59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60" t="n"/>
      <c r="L57" s="60" t="n"/>
      <c r="M57" s="61">
        <f>IF(OR(K57="",L57=""),"",ROUND((L57-K57)*1440,0))</f>
        <v/>
      </c>
      <c r="N57" s="58" t="n"/>
      <c r="O57" s="58" t="n"/>
      <c r="P57" s="58" t="n"/>
    </row>
    <row r="58" ht="15" customHeight="1" s="33">
      <c r="A58" s="58" t="n"/>
      <c r="B58" s="59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60" t="n"/>
      <c r="L58" s="60" t="n"/>
      <c r="M58" s="61">
        <f>IF(OR(K58="",L58=""),"",ROUND((L58-K58)*1440,0))</f>
        <v/>
      </c>
      <c r="N58" s="58" t="n"/>
      <c r="O58" s="58" t="n"/>
      <c r="P58" s="58" t="n"/>
    </row>
    <row r="59" ht="15" customHeight="1" s="33">
      <c r="A59" s="58" t="n"/>
      <c r="B59" s="59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60" t="n"/>
      <c r="L59" s="60" t="n"/>
      <c r="M59" s="61">
        <f>IF(OR(K59="",L59=""),"",ROUND((L59-K59)*1440,0))</f>
        <v/>
      </c>
      <c r="N59" s="58" t="n"/>
      <c r="O59" s="58" t="n"/>
      <c r="P59" s="58" t="n"/>
    </row>
    <row r="60" ht="15" customHeight="1" s="33">
      <c r="A60" s="58" t="n"/>
      <c r="B60" s="59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60" t="n"/>
      <c r="L60" s="60" t="n"/>
      <c r="M60" s="61">
        <f>IF(OR(K60="",L60=""),"",ROUND((L60-K60)*1440,0))</f>
        <v/>
      </c>
      <c r="N60" s="58" t="n"/>
      <c r="O60" s="58" t="n"/>
      <c r="P60" s="58" t="n"/>
    </row>
    <row r="61" ht="15" customHeight="1" s="33">
      <c r="A61" s="58" t="n"/>
      <c r="B61" s="59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60" t="n"/>
      <c r="L61" s="60" t="n"/>
      <c r="M61" s="61">
        <f>IF(OR(K61="",L61=""),"",ROUND((L61-K61)*1440,0))</f>
        <v/>
      </c>
      <c r="N61" s="58" t="n"/>
      <c r="O61" s="58" t="n"/>
      <c r="P61" s="58" t="n"/>
    </row>
    <row r="62" ht="15" customHeight="1" s="33">
      <c r="A62" s="58" t="n"/>
      <c r="B62" s="59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60" t="n"/>
      <c r="L62" s="60" t="n"/>
      <c r="M62" s="61">
        <f>IF(OR(K62="",L62=""),"",ROUND((L62-K62)*1440,0))</f>
        <v/>
      </c>
      <c r="N62" s="58" t="n"/>
      <c r="O62" s="58" t="n"/>
      <c r="P62" s="58" t="n"/>
    </row>
    <row r="63" ht="15" customHeight="1" s="33">
      <c r="A63" s="58" t="n"/>
      <c r="B63" s="59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60" t="n"/>
      <c r="L63" s="60" t="n"/>
      <c r="M63" s="61">
        <f>IF(OR(K63="",L63=""),"",ROUND((L63-K63)*1440,0))</f>
        <v/>
      </c>
      <c r="N63" s="58" t="n"/>
      <c r="O63" s="58" t="n"/>
      <c r="P63" s="58" t="n"/>
    </row>
    <row r="64" ht="15" customHeight="1" s="33">
      <c r="A64" s="58" t="n"/>
      <c r="B64" s="59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60" t="n"/>
      <c r="L64" s="60" t="n"/>
      <c r="M64" s="61">
        <f>IF(OR(K64="",L64=""),"",ROUND((L64-K64)*1440,0))</f>
        <v/>
      </c>
      <c r="N64" s="58" t="n"/>
      <c r="O64" s="58" t="n"/>
      <c r="P64" s="58" t="n"/>
    </row>
    <row r="65" ht="15" customHeight="1" s="33">
      <c r="A65" s="58" t="n"/>
      <c r="B65" s="59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60" t="n"/>
      <c r="L65" s="60" t="n"/>
      <c r="M65" s="61">
        <f>IF(OR(K65="",L65=""),"",ROUND((L65-K65)*1440,0))</f>
        <v/>
      </c>
      <c r="N65" s="58" t="n"/>
      <c r="O65" s="58" t="n"/>
      <c r="P65" s="58" t="n"/>
    </row>
    <row r="66" ht="15" customHeight="1" s="33">
      <c r="A66" s="58" t="n"/>
      <c r="B66" s="59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60" t="n"/>
      <c r="L66" s="60" t="n"/>
      <c r="M66" s="61">
        <f>IF(OR(K66="",L66=""),"",ROUND((L66-K66)*1440,0))</f>
        <v/>
      </c>
      <c r="N66" s="58" t="n"/>
      <c r="O66" s="58" t="n"/>
      <c r="P66" s="58" t="n"/>
    </row>
    <row r="67" ht="15" customHeight="1" s="33">
      <c r="A67" s="58" t="n"/>
      <c r="B67" s="59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60" t="n"/>
      <c r="L67" s="60" t="n"/>
      <c r="M67" s="61">
        <f>IF(OR(K67="",L67=""),"",ROUND((L67-K67)*1440,0))</f>
        <v/>
      </c>
      <c r="N67" s="58" t="n"/>
      <c r="O67" s="58" t="n"/>
      <c r="P67" s="58" t="n"/>
    </row>
    <row r="68" ht="15" customHeight="1" s="33">
      <c r="A68" s="58" t="n"/>
      <c r="B68" s="59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60" t="n"/>
      <c r="L68" s="60" t="n"/>
      <c r="M68" s="61">
        <f>IF(OR(K68="",L68=""),"",ROUND((L68-K68)*1440,0))</f>
        <v/>
      </c>
      <c r="N68" s="58" t="n"/>
      <c r="O68" s="58" t="n"/>
      <c r="P68" s="58" t="n"/>
    </row>
    <row r="69" ht="15" customHeight="1" s="33">
      <c r="A69" s="58" t="n"/>
      <c r="B69" s="59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60" t="n"/>
      <c r="L69" s="60" t="n"/>
      <c r="M69" s="61">
        <f>IF(OR(K69="",L69=""),"",ROUND((L69-K69)*1440,0))</f>
        <v/>
      </c>
      <c r="N69" s="58" t="n"/>
      <c r="O69" s="58" t="n"/>
      <c r="P69" s="58" t="n"/>
    </row>
    <row r="70" ht="15" customHeight="1" s="33">
      <c r="A70" s="58" t="n"/>
      <c r="B70" s="59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60" t="n"/>
      <c r="L70" s="60" t="n"/>
      <c r="M70" s="61">
        <f>IF(OR(K70="",L70=""),"",ROUND((L70-K70)*1440,0))</f>
        <v/>
      </c>
      <c r="N70" s="58" t="n"/>
      <c r="O70" s="58" t="n"/>
      <c r="P70" s="58" t="n"/>
    </row>
    <row r="71" ht="15" customHeight="1" s="33">
      <c r="A71" s="58" t="n"/>
      <c r="B71" s="59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60" t="n"/>
      <c r="L71" s="60" t="n"/>
      <c r="M71" s="61">
        <f>IF(OR(K71="",L71=""),"",ROUND((L71-K71)*1440,0))</f>
        <v/>
      </c>
      <c r="N71" s="58" t="n"/>
      <c r="O71" s="58" t="n"/>
      <c r="P71" s="58" t="n"/>
    </row>
    <row r="72" ht="15" customHeight="1" s="33">
      <c r="A72" s="58" t="n"/>
      <c r="B72" s="59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60" t="n"/>
      <c r="L72" s="60" t="n"/>
      <c r="M72" s="61">
        <f>IF(OR(K72="",L72=""),"",ROUND((L72-K72)*1440,0))</f>
        <v/>
      </c>
      <c r="N72" s="58" t="n"/>
      <c r="O72" s="58" t="n"/>
      <c r="P72" s="58" t="n"/>
    </row>
    <row r="73" ht="15" customHeight="1" s="33">
      <c r="A73" s="58" t="n"/>
      <c r="B73" s="59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60" t="n"/>
      <c r="L73" s="60" t="n"/>
      <c r="M73" s="61">
        <f>IF(OR(K73="",L73=""),"",ROUND((L73-K73)*1440,0))</f>
        <v/>
      </c>
      <c r="N73" s="58" t="n"/>
      <c r="O73" s="58" t="n"/>
      <c r="P73" s="58" t="n"/>
    </row>
    <row r="74" ht="15" customHeight="1" s="33">
      <c r="A74" s="58" t="n"/>
      <c r="B74" s="59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60" t="n"/>
      <c r="L74" s="60" t="n"/>
      <c r="M74" s="61">
        <f>IF(OR(K74="",L74=""),"",ROUND((L74-K74)*1440,0))</f>
        <v/>
      </c>
      <c r="N74" s="58" t="n"/>
      <c r="O74" s="58" t="n"/>
      <c r="P74" s="58" t="n"/>
    </row>
    <row r="75" ht="15" customHeight="1" s="33">
      <c r="A75" s="58" t="n"/>
      <c r="B75" s="59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60" t="n"/>
      <c r="L75" s="60" t="n"/>
      <c r="M75" s="61">
        <f>IF(OR(K75="",L75=""),"",ROUND((L75-K75)*1440,0))</f>
        <v/>
      </c>
      <c r="N75" s="58" t="n"/>
      <c r="O75" s="58" t="n"/>
      <c r="P75" s="58" t="n"/>
    </row>
    <row r="76" ht="15" customHeight="1" s="33">
      <c r="A76" s="58" t="n"/>
      <c r="B76" s="59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60" t="n"/>
      <c r="L76" s="60" t="n"/>
      <c r="M76" s="61">
        <f>IF(OR(K76="",L76=""),"",ROUND((L76-K76)*1440,0))</f>
        <v/>
      </c>
      <c r="N76" s="58" t="n"/>
      <c r="O76" s="58" t="n"/>
      <c r="P76" s="58" t="n"/>
    </row>
    <row r="77" ht="15" customHeight="1" s="33">
      <c r="A77" s="58" t="n"/>
      <c r="B77" s="59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60" t="n"/>
      <c r="L77" s="60" t="n"/>
      <c r="M77" s="61">
        <f>IF(OR(K77="",L77=""),"",ROUND((L77-K77)*1440,0))</f>
        <v/>
      </c>
      <c r="N77" s="58" t="n"/>
      <c r="O77" s="58" t="n"/>
      <c r="P77" s="58" t="n"/>
    </row>
    <row r="78" ht="15" customHeight="1" s="33">
      <c r="A78" s="58" t="n"/>
      <c r="B78" s="59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60" t="n"/>
      <c r="L78" s="60" t="n"/>
      <c r="M78" s="61">
        <f>IF(OR(K78="",L78=""),"",ROUND((L78-K78)*1440,0))</f>
        <v/>
      </c>
      <c r="N78" s="58" t="n"/>
      <c r="O78" s="58" t="n"/>
      <c r="P78" s="58" t="n"/>
    </row>
    <row r="79" ht="15" customHeight="1" s="33">
      <c r="A79" s="58" t="n"/>
      <c r="B79" s="59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60" t="n"/>
      <c r="L79" s="60" t="n"/>
      <c r="M79" s="61">
        <f>IF(OR(K79="",L79=""),"",ROUND((L79-K79)*1440,0))</f>
        <v/>
      </c>
      <c r="N79" s="58" t="n"/>
      <c r="O79" s="58" t="n"/>
      <c r="P79" s="58" t="n"/>
    </row>
    <row r="80" ht="15" customHeight="1" s="33">
      <c r="A80" s="58" t="n"/>
      <c r="B80" s="59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60" t="n"/>
      <c r="L80" s="60" t="n"/>
      <c r="M80" s="61">
        <f>IF(OR(K80="",L80=""),"",ROUND((L80-K80)*1440,0))</f>
        <v/>
      </c>
      <c r="N80" s="58" t="n"/>
      <c r="O80" s="58" t="n"/>
      <c r="P80" s="58" t="n"/>
    </row>
    <row r="81" ht="15" customHeight="1" s="33">
      <c r="A81" s="58" t="n"/>
      <c r="B81" s="59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60" t="n"/>
      <c r="L81" s="60" t="n"/>
      <c r="M81" s="61">
        <f>IF(OR(K81="",L81=""),"",ROUND((L81-K81)*1440,0))</f>
        <v/>
      </c>
      <c r="N81" s="58" t="n"/>
      <c r="O81" s="58" t="n"/>
      <c r="P81" s="58" t="n"/>
    </row>
    <row r="82" ht="15" customHeight="1" s="33">
      <c r="A82" s="58" t="n"/>
      <c r="B82" s="59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60" t="n"/>
      <c r="L82" s="60" t="n"/>
      <c r="M82" s="61">
        <f>IF(OR(K82="",L82=""),"",ROUND((L82-K82)*1440,0))</f>
        <v/>
      </c>
      <c r="N82" s="58" t="n"/>
      <c r="O82" s="58" t="n"/>
      <c r="P82" s="58" t="n"/>
    </row>
    <row r="83" ht="15" customHeight="1" s="33">
      <c r="A83" s="58" t="n"/>
      <c r="B83" s="59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60" t="n"/>
      <c r="L83" s="60" t="n"/>
      <c r="M83" s="61">
        <f>IF(OR(K83="",L83=""),"",ROUND((L83-K83)*1440,0))</f>
        <v/>
      </c>
      <c r="N83" s="58" t="n"/>
      <c r="O83" s="58" t="n"/>
      <c r="P83" s="58" t="n"/>
    </row>
    <row r="84" ht="15" customHeight="1" s="33">
      <c r="A84" s="58" t="n"/>
      <c r="B84" s="59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60" t="n"/>
      <c r="L84" s="60" t="n"/>
      <c r="M84" s="61">
        <f>IF(OR(K84="",L84=""),"",ROUND((L84-K84)*1440,0))</f>
        <v/>
      </c>
      <c r="N84" s="58" t="n"/>
      <c r="O84" s="58" t="n"/>
      <c r="P84" s="58" t="n"/>
    </row>
    <row r="85" ht="15" customHeight="1" s="33">
      <c r="A85" s="58" t="n"/>
      <c r="B85" s="59" t="n"/>
      <c r="C85" s="58" t="n"/>
      <c r="D85" s="58" t="n"/>
      <c r="E85" s="58" t="n"/>
      <c r="F85" s="58" t="n"/>
      <c r="G85" s="58" t="n"/>
      <c r="H85" s="58" t="n"/>
      <c r="I85" s="58" t="n"/>
      <c r="J85" s="58" t="n"/>
      <c r="K85" s="60" t="n"/>
      <c r="L85" s="60" t="n"/>
      <c r="M85" s="61">
        <f>IF(OR(K85="",L85=""),"",ROUND((L85-K85)*1440,0))</f>
        <v/>
      </c>
      <c r="N85" s="58" t="n"/>
      <c r="O85" s="58" t="n"/>
      <c r="P85" s="58" t="n"/>
    </row>
    <row r="86" ht="15" customHeight="1" s="33">
      <c r="A86" s="58" t="n"/>
      <c r="B86" s="59" t="n"/>
      <c r="C86" s="58" t="n"/>
      <c r="D86" s="58" t="n"/>
      <c r="E86" s="58" t="n"/>
      <c r="F86" s="58" t="n"/>
      <c r="G86" s="58" t="n"/>
      <c r="H86" s="58" t="n"/>
      <c r="I86" s="58" t="n"/>
      <c r="J86" s="58" t="n"/>
      <c r="K86" s="60" t="n"/>
      <c r="L86" s="60" t="n"/>
      <c r="M86" s="61">
        <f>IF(OR(K86="",L86=""),"",ROUND((L86-K86)*1440,0))</f>
        <v/>
      </c>
      <c r="N86" s="58" t="n"/>
      <c r="O86" s="58" t="n"/>
      <c r="P86" s="58" t="n"/>
    </row>
    <row r="87" ht="15" customHeight="1" s="33">
      <c r="A87" s="58" t="n"/>
      <c r="B87" s="59" t="n"/>
      <c r="C87" s="58" t="n"/>
      <c r="D87" s="58" t="n"/>
      <c r="E87" s="58" t="n"/>
      <c r="F87" s="58" t="n"/>
      <c r="G87" s="58" t="n"/>
      <c r="H87" s="58" t="n"/>
      <c r="I87" s="58" t="n"/>
      <c r="J87" s="58" t="n"/>
      <c r="K87" s="60" t="n"/>
      <c r="L87" s="60" t="n"/>
      <c r="M87" s="61">
        <f>IF(OR(K87="",L87=""),"",ROUND((L87-K87)*1440,0))</f>
        <v/>
      </c>
      <c r="N87" s="58" t="n"/>
      <c r="O87" s="58" t="n"/>
      <c r="P87" s="58" t="n"/>
    </row>
    <row r="88" ht="15" customHeight="1" s="33">
      <c r="A88" s="58" t="n"/>
      <c r="B88" s="59" t="n"/>
      <c r="C88" s="58" t="n"/>
      <c r="D88" s="58" t="n"/>
      <c r="E88" s="58" t="n"/>
      <c r="F88" s="58" t="n"/>
      <c r="G88" s="58" t="n"/>
      <c r="H88" s="58" t="n"/>
      <c r="I88" s="58" t="n"/>
      <c r="J88" s="58" t="n"/>
      <c r="K88" s="60" t="n"/>
      <c r="L88" s="60" t="n"/>
      <c r="M88" s="61">
        <f>IF(OR(K88="",L88=""),"",ROUND((L88-K88)*1440,0))</f>
        <v/>
      </c>
      <c r="N88" s="58" t="n"/>
      <c r="O88" s="58" t="n"/>
      <c r="P88" s="58" t="n"/>
    </row>
    <row r="89" ht="15" customHeight="1" s="33">
      <c r="A89" s="58" t="n"/>
      <c r="B89" s="59" t="n"/>
      <c r="C89" s="58" t="n"/>
      <c r="D89" s="58" t="n"/>
      <c r="E89" s="58" t="n"/>
      <c r="F89" s="58" t="n"/>
      <c r="G89" s="58" t="n"/>
      <c r="H89" s="58" t="n"/>
      <c r="I89" s="58" t="n"/>
      <c r="J89" s="58" t="n"/>
      <c r="K89" s="60" t="n"/>
      <c r="L89" s="60" t="n"/>
      <c r="M89" s="61">
        <f>IF(OR(K89="",L89=""),"",ROUND((L89-K89)*1440,0))</f>
        <v/>
      </c>
      <c r="N89" s="58" t="n"/>
      <c r="O89" s="58" t="n"/>
      <c r="P89" s="58" t="n"/>
    </row>
    <row r="90" ht="15" customHeight="1" s="33">
      <c r="A90" s="58" t="n"/>
      <c r="B90" s="59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60" t="n"/>
      <c r="L90" s="60" t="n"/>
      <c r="M90" s="61">
        <f>IF(OR(K90="",L90=""),"",ROUND((L90-K90)*1440,0))</f>
        <v/>
      </c>
      <c r="N90" s="58" t="n"/>
      <c r="O90" s="58" t="n"/>
      <c r="P90" s="58" t="n"/>
    </row>
    <row r="91" ht="15" customHeight="1" s="33">
      <c r="A91" s="58" t="n"/>
      <c r="B91" s="59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60" t="n"/>
      <c r="L91" s="60" t="n"/>
      <c r="M91" s="61">
        <f>IF(OR(K91="",L91=""),"",ROUND((L91-K91)*1440,0))</f>
        <v/>
      </c>
      <c r="N91" s="58" t="n"/>
      <c r="O91" s="58" t="n"/>
      <c r="P91" s="58" t="n"/>
    </row>
    <row r="92" ht="15" customHeight="1" s="33">
      <c r="A92" s="58" t="n"/>
      <c r="B92" s="59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60" t="n"/>
      <c r="L92" s="60" t="n"/>
      <c r="M92" s="61">
        <f>IF(OR(K92="",L92=""),"",ROUND((L92-K92)*1440,0))</f>
        <v/>
      </c>
      <c r="N92" s="58" t="n"/>
      <c r="O92" s="58" t="n"/>
      <c r="P92" s="58" t="n"/>
    </row>
    <row r="93" ht="15" customHeight="1" s="33">
      <c r="A93" s="58" t="n"/>
      <c r="B93" s="59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60" t="n"/>
      <c r="L93" s="60" t="n"/>
      <c r="M93" s="61">
        <f>IF(OR(K93="",L93=""),"",ROUND((L93-K93)*1440,0))</f>
        <v/>
      </c>
      <c r="N93" s="58" t="n"/>
      <c r="O93" s="58" t="n"/>
      <c r="P93" s="58" t="n"/>
    </row>
    <row r="94" ht="15" customHeight="1" s="33">
      <c r="A94" s="58" t="n"/>
      <c r="B94" s="59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60" t="n"/>
      <c r="L94" s="60" t="n"/>
      <c r="M94" s="61">
        <f>IF(OR(K94="",L94=""),"",ROUND((L94-K94)*1440,0))</f>
        <v/>
      </c>
      <c r="N94" s="58" t="n"/>
      <c r="O94" s="58" t="n"/>
      <c r="P94" s="58" t="n"/>
    </row>
    <row r="95" ht="15" customHeight="1" s="33">
      <c r="A95" s="58" t="n"/>
      <c r="B95" s="59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60" t="n"/>
      <c r="L95" s="60" t="n"/>
      <c r="M95" s="61">
        <f>IF(OR(K95="",L95=""),"",ROUND((L95-K95)*1440,0))</f>
        <v/>
      </c>
      <c r="N95" s="58" t="n"/>
      <c r="O95" s="58" t="n"/>
      <c r="P95" s="58" t="n"/>
    </row>
    <row r="96" ht="15" customHeight="1" s="33">
      <c r="A96" s="58" t="n"/>
      <c r="B96" s="59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60" t="n"/>
      <c r="L96" s="60" t="n"/>
      <c r="M96" s="61">
        <f>IF(OR(K96="",L96=""),"",ROUND((L96-K96)*1440,0))</f>
        <v/>
      </c>
      <c r="N96" s="58" t="n"/>
      <c r="O96" s="58" t="n"/>
      <c r="P96" s="58" t="n"/>
    </row>
    <row r="97" ht="15" customHeight="1" s="33">
      <c r="A97" s="58" t="n"/>
      <c r="B97" s="59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60" t="n"/>
      <c r="L97" s="60" t="n"/>
      <c r="M97" s="61">
        <f>IF(OR(K97="",L97=""),"",ROUND((L97-K97)*1440,0))</f>
        <v/>
      </c>
      <c r="N97" s="58" t="n"/>
      <c r="O97" s="58" t="n"/>
      <c r="P97" s="58" t="n"/>
    </row>
    <row r="98" ht="15" customHeight="1" s="33">
      <c r="A98" s="58" t="n"/>
      <c r="B98" s="59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60" t="n"/>
      <c r="L98" s="60" t="n"/>
      <c r="M98" s="61">
        <f>IF(OR(K98="",L98=""),"",ROUND((L98-K98)*1440,0))</f>
        <v/>
      </c>
      <c r="N98" s="58" t="n"/>
      <c r="O98" s="58" t="n"/>
      <c r="P98" s="58" t="n"/>
    </row>
    <row r="99" ht="15" customHeight="1" s="33">
      <c r="A99" s="58" t="n"/>
      <c r="B99" s="59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60" t="n"/>
      <c r="L99" s="60" t="n"/>
      <c r="M99" s="61">
        <f>IF(OR(K99="",L99=""),"",ROUND((L99-K99)*1440,0))</f>
        <v/>
      </c>
      <c r="N99" s="58" t="n"/>
      <c r="O99" s="58" t="n"/>
      <c r="P99" s="58" t="n"/>
    </row>
    <row r="100" ht="15" customHeight="1" s="33">
      <c r="A100" s="58" t="n"/>
      <c r="B100" s="59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60" t="n"/>
      <c r="L100" s="60" t="n"/>
      <c r="M100" s="61">
        <f>IF(OR(K100="",L100=""),"",ROUND((L100-K100)*1440,0))</f>
        <v/>
      </c>
      <c r="N100" s="58" t="n"/>
      <c r="O100" s="58" t="n"/>
      <c r="P100" s="58" t="n"/>
    </row>
    <row r="101" ht="15" customHeight="1" s="33">
      <c r="A101" s="58" t="n"/>
      <c r="B101" s="59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60" t="n"/>
      <c r="L101" s="60" t="n"/>
      <c r="M101" s="61">
        <f>IF(OR(K101="",L101=""),"",ROUND((L101-K101)*1440,0))</f>
        <v/>
      </c>
      <c r="N101" s="58" t="n"/>
      <c r="O101" s="58" t="n"/>
      <c r="P101" s="58" t="n"/>
    </row>
    <row r="102" ht="15" customHeight="1" s="33">
      <c r="A102" s="58" t="n"/>
      <c r="B102" s="59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60" t="n"/>
      <c r="L102" s="60" t="n"/>
      <c r="M102" s="61">
        <f>IF(OR(K102="",L102=""),"",ROUND((L102-K102)*1440,0))</f>
        <v/>
      </c>
      <c r="N102" s="58" t="n"/>
      <c r="O102" s="58" t="n"/>
      <c r="P102" s="58" t="n"/>
    </row>
    <row r="103" ht="15" customHeight="1" s="33">
      <c r="A103" s="58" t="n"/>
      <c r="B103" s="59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60" t="n"/>
      <c r="L103" s="60" t="n"/>
      <c r="M103" s="61">
        <f>IF(OR(K103="",L103=""),"",ROUND((L103-K103)*1440,0))</f>
        <v/>
      </c>
      <c r="N103" s="58" t="n"/>
      <c r="O103" s="58" t="n"/>
      <c r="P103" s="58" t="n"/>
    </row>
    <row r="104" ht="15" customHeight="1" s="33">
      <c r="A104" s="58" t="n"/>
      <c r="B104" s="59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60" t="n"/>
      <c r="L104" s="60" t="n"/>
      <c r="M104" s="61">
        <f>IF(OR(K104="",L104=""),"",ROUND((L104-K104)*1440,0))</f>
        <v/>
      </c>
      <c r="N104" s="58" t="n"/>
      <c r="O104" s="58" t="n"/>
      <c r="P104" s="58" t="n"/>
    </row>
    <row r="105" ht="15" customHeight="1" s="33">
      <c r="A105" s="58" t="n"/>
      <c r="B105" s="59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60" t="n"/>
      <c r="L105" s="60" t="n"/>
      <c r="M105" s="61">
        <f>IF(OR(K105="",L105=""),"",ROUND((L105-K105)*1440,0))</f>
        <v/>
      </c>
      <c r="N105" s="58" t="n"/>
      <c r="O105" s="58" t="n"/>
      <c r="P105" s="58" t="n"/>
    </row>
    <row r="106" ht="15" customHeight="1" s="33">
      <c r="A106" s="58" t="n"/>
      <c r="B106" s="59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60" t="n"/>
      <c r="L106" s="60" t="n"/>
      <c r="M106" s="61">
        <f>IF(OR(K106="",L106=""),"",ROUND((L106-K106)*1440,0))</f>
        <v/>
      </c>
      <c r="N106" s="58" t="n"/>
      <c r="O106" s="58" t="n"/>
      <c r="P106" s="58" t="n"/>
    </row>
    <row r="107" ht="15" customHeight="1" s="33">
      <c r="A107" s="58" t="n"/>
      <c r="B107" s="59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60" t="n"/>
      <c r="L107" s="60" t="n"/>
      <c r="M107" s="61">
        <f>IF(OR(K107="",L107=""),"",ROUND((L107-K107)*1440,0))</f>
        <v/>
      </c>
      <c r="N107" s="58" t="n"/>
      <c r="O107" s="58" t="n"/>
      <c r="P107" s="58" t="n"/>
    </row>
    <row r="108" ht="15" customHeight="1" s="33">
      <c r="A108" s="58" t="n"/>
      <c r="B108" s="59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60" t="n"/>
      <c r="L108" s="60" t="n"/>
      <c r="M108" s="61">
        <f>IF(OR(K108="",L108=""),"",ROUND((L108-K108)*1440,0))</f>
        <v/>
      </c>
      <c r="N108" s="58" t="n"/>
      <c r="O108" s="58" t="n"/>
      <c r="P108" s="58" t="n"/>
    </row>
    <row r="109" ht="15" customHeight="1" s="33">
      <c r="A109" s="58" t="n"/>
      <c r="B109" s="59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60" t="n"/>
      <c r="L109" s="60" t="n"/>
      <c r="M109" s="61">
        <f>IF(OR(K109="",L109=""),"",ROUND((L109-K109)*1440,0))</f>
        <v/>
      </c>
      <c r="N109" s="58" t="n"/>
      <c r="O109" s="58" t="n"/>
      <c r="P109" s="58" t="n"/>
    </row>
    <row r="110" ht="15" customHeight="1" s="33">
      <c r="A110" s="58" t="n"/>
      <c r="B110" s="59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60" t="n"/>
      <c r="L110" s="60" t="n"/>
      <c r="M110" s="61">
        <f>IF(OR(K110="",L110=""),"",ROUND((L110-K110)*1440,0))</f>
        <v/>
      </c>
      <c r="N110" s="58" t="n"/>
      <c r="O110" s="58" t="n"/>
      <c r="P110" s="58" t="n"/>
    </row>
    <row r="111" ht="15" customHeight="1" s="33">
      <c r="A111" s="58" t="n"/>
      <c r="B111" s="59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60" t="n"/>
      <c r="L111" s="60" t="n"/>
      <c r="M111" s="61">
        <f>IF(OR(K111="",L111=""),"",ROUND((L111-K111)*1440,0))</f>
        <v/>
      </c>
      <c r="N111" s="58" t="n"/>
      <c r="O111" s="58" t="n"/>
      <c r="P111" s="58" t="n"/>
    </row>
    <row r="112" ht="15" customHeight="1" s="33">
      <c r="A112" s="58" t="n"/>
      <c r="B112" s="59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60" t="n"/>
      <c r="L112" s="60" t="n"/>
      <c r="M112" s="61">
        <f>IF(OR(K112="",L112=""),"",ROUND((L112-K112)*1440,0))</f>
        <v/>
      </c>
      <c r="N112" s="58" t="n"/>
      <c r="O112" s="58" t="n"/>
      <c r="P112" s="58" t="n"/>
    </row>
    <row r="113" ht="15" customHeight="1" s="33">
      <c r="A113" s="58" t="n"/>
      <c r="B113" s="59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60" t="n"/>
      <c r="L113" s="60" t="n"/>
      <c r="M113" s="61">
        <f>IF(OR(K113="",L113=""),"",ROUND((L113-K113)*1440,0))</f>
        <v/>
      </c>
      <c r="N113" s="58" t="n"/>
      <c r="O113" s="58" t="n"/>
      <c r="P113" s="58" t="n"/>
    </row>
    <row r="114" ht="15" customHeight="1" s="33">
      <c r="A114" s="58" t="n"/>
      <c r="B114" s="59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60" t="n"/>
      <c r="L114" s="60" t="n"/>
      <c r="M114" s="61">
        <f>IF(OR(K114="",L114=""),"",ROUND((L114-K114)*1440,0))</f>
        <v/>
      </c>
      <c r="N114" s="58" t="n"/>
      <c r="O114" s="58" t="n"/>
      <c r="P114" s="58" t="n"/>
    </row>
    <row r="115" ht="15" customHeight="1" s="33">
      <c r="A115" s="58" t="n"/>
      <c r="B115" s="59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60" t="n"/>
      <c r="L115" s="60" t="n"/>
      <c r="M115" s="61">
        <f>IF(OR(K115="",L115=""),"",ROUND((L115-K115)*1440,0))</f>
        <v/>
      </c>
      <c r="N115" s="58" t="n"/>
      <c r="O115" s="58" t="n"/>
      <c r="P115" s="58" t="n"/>
    </row>
    <row r="116" ht="15" customHeight="1" s="33">
      <c r="A116" s="58" t="n"/>
      <c r="B116" s="59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60" t="n"/>
      <c r="L116" s="60" t="n"/>
      <c r="M116" s="61">
        <f>IF(OR(K116="",L116=""),"",ROUND((L116-K116)*1440,0))</f>
        <v/>
      </c>
      <c r="N116" s="58" t="n"/>
      <c r="O116" s="58" t="n"/>
      <c r="P116" s="58" t="n"/>
    </row>
    <row r="117" ht="15" customHeight="1" s="33">
      <c r="A117" s="58" t="n"/>
      <c r="B117" s="59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60" t="n"/>
      <c r="L117" s="60" t="n"/>
      <c r="M117" s="61">
        <f>IF(OR(K117="",L117=""),"",ROUND((L117-K117)*1440,0))</f>
        <v/>
      </c>
      <c r="N117" s="58" t="n"/>
      <c r="O117" s="58" t="n"/>
      <c r="P117" s="58" t="n"/>
    </row>
    <row r="118" ht="15" customHeight="1" s="33">
      <c r="A118" s="58" t="n"/>
      <c r="B118" s="59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60" t="n"/>
      <c r="L118" s="60" t="n"/>
      <c r="M118" s="61">
        <f>IF(OR(K118="",L118=""),"",ROUND((L118-K118)*1440,0))</f>
        <v/>
      </c>
      <c r="N118" s="58" t="n"/>
      <c r="O118" s="58" t="n"/>
      <c r="P118" s="58" t="n"/>
    </row>
    <row r="119" ht="15" customHeight="1" s="33">
      <c r="A119" s="58" t="n"/>
      <c r="B119" s="59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60" t="n"/>
      <c r="L119" s="60" t="n"/>
      <c r="M119" s="61">
        <f>IF(OR(K119="",L119=""),"",ROUND((L119-K119)*1440,0))</f>
        <v/>
      </c>
      <c r="N119" s="58" t="n"/>
      <c r="O119" s="58" t="n"/>
      <c r="P119" s="58" t="n"/>
    </row>
    <row r="120" ht="15" customHeight="1" s="33">
      <c r="A120" s="58" t="n"/>
      <c r="B120" s="59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60" t="n"/>
      <c r="L120" s="60" t="n"/>
      <c r="M120" s="61">
        <f>IF(OR(K120="",L120=""),"",ROUND((L120-K120)*1440,0))</f>
        <v/>
      </c>
      <c r="N120" s="58" t="n"/>
      <c r="O120" s="58" t="n"/>
      <c r="P120" s="58" t="n"/>
    </row>
    <row r="121" ht="15" customHeight="1" s="33">
      <c r="A121" s="58" t="n"/>
      <c r="B121" s="59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60" t="n"/>
      <c r="L121" s="60" t="n"/>
      <c r="M121" s="61">
        <f>IF(OR(K121="",L121=""),"",ROUND((L121-K121)*1440,0))</f>
        <v/>
      </c>
      <c r="N121" s="58" t="n"/>
      <c r="O121" s="58" t="n"/>
      <c r="P121" s="58" t="n"/>
    </row>
    <row r="122" ht="15" customHeight="1" s="33">
      <c r="A122" s="58" t="n"/>
      <c r="B122" s="59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60" t="n"/>
      <c r="L122" s="60" t="n"/>
      <c r="M122" s="61">
        <f>IF(OR(K122="",L122=""),"",ROUND((L122-K122)*1440,0))</f>
        <v/>
      </c>
      <c r="N122" s="58" t="n"/>
      <c r="O122" s="58" t="n"/>
      <c r="P122" s="58" t="n"/>
    </row>
    <row r="123" ht="15" customHeight="1" s="33">
      <c r="A123" s="58" t="n"/>
      <c r="B123" s="59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60" t="n"/>
      <c r="L123" s="60" t="n"/>
      <c r="M123" s="61">
        <f>IF(OR(K123="",L123=""),"",ROUND((L123-K123)*1440,0))</f>
        <v/>
      </c>
      <c r="N123" s="58" t="n"/>
      <c r="O123" s="58" t="n"/>
      <c r="P123" s="58" t="n"/>
    </row>
    <row r="124" ht="15" customHeight="1" s="33">
      <c r="A124" s="58" t="n"/>
      <c r="B124" s="59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60" t="n"/>
      <c r="L124" s="60" t="n"/>
      <c r="M124" s="61">
        <f>IF(OR(K124="",L124=""),"",ROUND((L124-K124)*1440,0))</f>
        <v/>
      </c>
      <c r="N124" s="58" t="n"/>
      <c r="O124" s="58" t="n"/>
      <c r="P124" s="58" t="n"/>
    </row>
    <row r="125" ht="15" customHeight="1" s="33">
      <c r="A125" s="58" t="n"/>
      <c r="B125" s="59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60" t="n"/>
      <c r="L125" s="60" t="n"/>
      <c r="M125" s="61">
        <f>IF(OR(K125="",L125=""),"",ROUND((L125-K125)*1440,0))</f>
        <v/>
      </c>
      <c r="N125" s="58" t="n"/>
      <c r="O125" s="58" t="n"/>
      <c r="P125" s="58" t="n"/>
    </row>
    <row r="126" ht="15" customHeight="1" s="33">
      <c r="A126" s="58" t="n"/>
      <c r="B126" s="59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60" t="n"/>
      <c r="L126" s="60" t="n"/>
      <c r="M126" s="61">
        <f>IF(OR(K126="",L126=""),"",ROUND((L126-K126)*1440,0))</f>
        <v/>
      </c>
      <c r="N126" s="58" t="n"/>
      <c r="O126" s="58" t="n"/>
      <c r="P126" s="58" t="n"/>
    </row>
    <row r="127" ht="15" customHeight="1" s="33">
      <c r="A127" s="58" t="n"/>
      <c r="B127" s="59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60" t="n"/>
      <c r="L127" s="60" t="n"/>
      <c r="M127" s="61">
        <f>IF(OR(K127="",L127=""),"",ROUND((L127-K127)*1440,0))</f>
        <v/>
      </c>
      <c r="N127" s="58" t="n"/>
      <c r="O127" s="58" t="n"/>
      <c r="P127" s="58" t="n"/>
    </row>
    <row r="128" ht="15" customHeight="1" s="33">
      <c r="A128" s="58" t="n"/>
      <c r="B128" s="59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60" t="n"/>
      <c r="L128" s="60" t="n"/>
      <c r="M128" s="61">
        <f>IF(OR(K128="",L128=""),"",ROUND((L128-K128)*1440,0))</f>
        <v/>
      </c>
      <c r="N128" s="58" t="n"/>
      <c r="O128" s="58" t="n"/>
      <c r="P128" s="58" t="n"/>
    </row>
    <row r="129" ht="15" customHeight="1" s="33">
      <c r="A129" s="58" t="n"/>
      <c r="B129" s="59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60" t="n"/>
      <c r="L129" s="60" t="n"/>
      <c r="M129" s="61">
        <f>IF(OR(K129="",L129=""),"",ROUND((L129-K129)*1440,0))</f>
        <v/>
      </c>
      <c r="N129" s="58" t="n"/>
      <c r="O129" s="58" t="n"/>
      <c r="P129" s="58" t="n"/>
    </row>
    <row r="130" ht="15" customHeight="1" s="33">
      <c r="A130" s="58" t="n"/>
      <c r="B130" s="59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60" t="n"/>
      <c r="L130" s="60" t="n"/>
      <c r="M130" s="61">
        <f>IF(OR(K130="",L130=""),"",ROUND((L130-K130)*1440,0))</f>
        <v/>
      </c>
      <c r="N130" s="58" t="n"/>
      <c r="O130" s="58" t="n"/>
      <c r="P130" s="58" t="n"/>
    </row>
    <row r="131" ht="15" customHeight="1" s="33">
      <c r="A131" s="58" t="n"/>
      <c r="B131" s="59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60" t="n"/>
      <c r="L131" s="60" t="n"/>
      <c r="M131" s="61">
        <f>IF(OR(K131="",L131=""),"",ROUND((L131-K131)*1440,0))</f>
        <v/>
      </c>
      <c r="N131" s="58" t="n"/>
      <c r="O131" s="58" t="n"/>
      <c r="P131" s="58" t="n"/>
    </row>
    <row r="132" ht="15" customHeight="1" s="33">
      <c r="A132" s="58" t="n"/>
      <c r="B132" s="59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60" t="n"/>
      <c r="L132" s="60" t="n"/>
      <c r="M132" s="61">
        <f>IF(OR(K132="",L132=""),"",ROUND((L132-K132)*1440,0))</f>
        <v/>
      </c>
      <c r="N132" s="58" t="n"/>
      <c r="O132" s="58" t="n"/>
      <c r="P132" s="58" t="n"/>
    </row>
    <row r="133" ht="15" customHeight="1" s="33">
      <c r="A133" s="58" t="n"/>
      <c r="B133" s="59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60" t="n"/>
      <c r="L133" s="60" t="n"/>
      <c r="M133" s="61">
        <f>IF(OR(K133="",L133=""),"",ROUND((L133-K133)*1440,0))</f>
        <v/>
      </c>
      <c r="N133" s="58" t="n"/>
      <c r="O133" s="58" t="n"/>
      <c r="P133" s="58" t="n"/>
    </row>
    <row r="134" ht="15" customHeight="1" s="33">
      <c r="A134" s="58" t="n"/>
      <c r="B134" s="59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60" t="n"/>
      <c r="L134" s="60" t="n"/>
      <c r="M134" s="61">
        <f>IF(OR(K134="",L134=""),"",ROUND((L134-K134)*1440,0))</f>
        <v/>
      </c>
      <c r="N134" s="58" t="n"/>
      <c r="O134" s="58" t="n"/>
      <c r="P134" s="58" t="n"/>
    </row>
    <row r="135" ht="15" customHeight="1" s="33">
      <c r="A135" s="58" t="n"/>
      <c r="B135" s="59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60" t="n"/>
      <c r="L135" s="60" t="n"/>
      <c r="M135" s="61">
        <f>IF(OR(K135="",L135=""),"",ROUND((L135-K135)*1440,0))</f>
        <v/>
      </c>
      <c r="N135" s="58" t="n"/>
      <c r="O135" s="58" t="n"/>
      <c r="P135" s="58" t="n"/>
    </row>
    <row r="136" ht="15" customHeight="1" s="33">
      <c r="A136" s="58" t="n"/>
      <c r="B136" s="59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60" t="n"/>
      <c r="L136" s="60" t="n"/>
      <c r="M136" s="61">
        <f>IF(OR(K136="",L136=""),"",ROUND((L136-K136)*1440,0))</f>
        <v/>
      </c>
      <c r="N136" s="58" t="n"/>
      <c r="O136" s="58" t="n"/>
      <c r="P136" s="58" t="n"/>
    </row>
    <row r="137" ht="15" customHeight="1" s="33">
      <c r="A137" s="58" t="n"/>
      <c r="B137" s="59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60" t="n"/>
      <c r="L137" s="60" t="n"/>
      <c r="M137" s="61">
        <f>IF(OR(K137="",L137=""),"",ROUND((L137-K137)*1440,0))</f>
        <v/>
      </c>
      <c r="N137" s="58" t="n"/>
      <c r="O137" s="58" t="n"/>
      <c r="P137" s="58" t="n"/>
    </row>
    <row r="138" ht="15" customHeight="1" s="33">
      <c r="A138" s="58" t="n"/>
      <c r="B138" s="59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60" t="n"/>
      <c r="L138" s="60" t="n"/>
      <c r="M138" s="61">
        <f>IF(OR(K138="",L138=""),"",ROUND((L138-K138)*1440,0))</f>
        <v/>
      </c>
      <c r="N138" s="58" t="n"/>
      <c r="O138" s="58" t="n"/>
      <c r="P138" s="58" t="n"/>
    </row>
    <row r="139" ht="15" customHeight="1" s="33">
      <c r="A139" s="58" t="n"/>
      <c r="B139" s="59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60" t="n"/>
      <c r="L139" s="60" t="n"/>
      <c r="M139" s="61">
        <f>IF(OR(K139="",L139=""),"",ROUND((L139-K139)*1440,0))</f>
        <v/>
      </c>
      <c r="N139" s="58" t="n"/>
      <c r="O139" s="58" t="n"/>
      <c r="P139" s="58" t="n"/>
    </row>
    <row r="140" ht="15" customHeight="1" s="33">
      <c r="A140" s="58" t="n"/>
      <c r="B140" s="59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60" t="n"/>
      <c r="L140" s="60" t="n"/>
      <c r="M140" s="61">
        <f>IF(OR(K140="",L140=""),"",ROUND((L140-K140)*1440,0))</f>
        <v/>
      </c>
      <c r="N140" s="58" t="n"/>
      <c r="O140" s="58" t="n"/>
      <c r="P140" s="58" t="n"/>
    </row>
    <row r="141" ht="15" customHeight="1" s="33">
      <c r="A141" s="58" t="n"/>
      <c r="B141" s="59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60" t="n"/>
      <c r="L141" s="60" t="n"/>
      <c r="M141" s="61">
        <f>IF(OR(K141="",L141=""),"",ROUND((L141-K141)*1440,0))</f>
        <v/>
      </c>
      <c r="N141" s="58" t="n"/>
      <c r="O141" s="58" t="n"/>
      <c r="P141" s="58" t="n"/>
    </row>
    <row r="142" ht="15" customHeight="1" s="33">
      <c r="A142" s="58" t="n"/>
      <c r="B142" s="59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60" t="n"/>
      <c r="L142" s="60" t="n"/>
      <c r="M142" s="61">
        <f>IF(OR(K142="",L142=""),"",ROUND((L142-K142)*1440,0))</f>
        <v/>
      </c>
      <c r="N142" s="58" t="n"/>
      <c r="O142" s="58" t="n"/>
      <c r="P142" s="58" t="n"/>
    </row>
    <row r="143" ht="15" customHeight="1" s="33">
      <c r="A143" s="58" t="n"/>
      <c r="B143" s="59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60" t="n"/>
      <c r="L143" s="60" t="n"/>
      <c r="M143" s="61">
        <f>IF(OR(K143="",L143=""),"",ROUND((L143-K143)*1440,0))</f>
        <v/>
      </c>
      <c r="N143" s="58" t="n"/>
      <c r="O143" s="58" t="n"/>
      <c r="P143" s="58" t="n"/>
    </row>
    <row r="144" ht="15" customHeight="1" s="33">
      <c r="A144" s="58" t="n"/>
      <c r="B144" s="59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60" t="n"/>
      <c r="L144" s="60" t="n"/>
      <c r="M144" s="61">
        <f>IF(OR(K144="",L144=""),"",ROUND((L144-K144)*1440,0))</f>
        <v/>
      </c>
      <c r="N144" s="58" t="n"/>
      <c r="O144" s="58" t="n"/>
      <c r="P144" s="58" t="n"/>
    </row>
    <row r="145" ht="15" customHeight="1" s="33">
      <c r="A145" s="58" t="n"/>
      <c r="B145" s="59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60" t="n"/>
      <c r="L145" s="60" t="n"/>
      <c r="M145" s="61">
        <f>IF(OR(K145="",L145=""),"",ROUND((L145-K145)*1440,0))</f>
        <v/>
      </c>
      <c r="N145" s="58" t="n"/>
      <c r="O145" s="58" t="n"/>
      <c r="P145" s="58" t="n"/>
    </row>
    <row r="146" ht="15" customHeight="1" s="33">
      <c r="A146" s="58" t="n"/>
      <c r="B146" s="59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60" t="n"/>
      <c r="L146" s="60" t="n"/>
      <c r="M146" s="61">
        <f>IF(OR(K146="",L146=""),"",ROUND((L146-K146)*1440,0))</f>
        <v/>
      </c>
      <c r="N146" s="58" t="n"/>
      <c r="O146" s="58" t="n"/>
      <c r="P146" s="58" t="n"/>
    </row>
    <row r="147" ht="15" customHeight="1" s="33">
      <c r="A147" s="58" t="n"/>
      <c r="B147" s="59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60" t="n"/>
      <c r="L147" s="60" t="n"/>
      <c r="M147" s="61">
        <f>IF(OR(K147="",L147=""),"",ROUND((L147-K147)*1440,0))</f>
        <v/>
      </c>
      <c r="N147" s="58" t="n"/>
      <c r="O147" s="58" t="n"/>
      <c r="P147" s="58" t="n"/>
    </row>
    <row r="148" ht="15" customHeight="1" s="33">
      <c r="A148" s="58" t="n"/>
      <c r="B148" s="59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60" t="n"/>
      <c r="L148" s="60" t="n"/>
      <c r="M148" s="61">
        <f>IF(OR(K148="",L148=""),"",ROUND((L148-K148)*1440,0))</f>
        <v/>
      </c>
      <c r="N148" s="58" t="n"/>
      <c r="O148" s="58" t="n"/>
      <c r="P148" s="58" t="n"/>
    </row>
    <row r="149" ht="15" customHeight="1" s="33">
      <c r="A149" s="58" t="n"/>
      <c r="B149" s="59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60" t="n"/>
      <c r="L149" s="60" t="n"/>
      <c r="M149" s="61">
        <f>IF(OR(K149="",L149=""),"",ROUND((L149-K149)*1440,0))</f>
        <v/>
      </c>
      <c r="N149" s="58" t="n"/>
      <c r="O149" s="58" t="n"/>
      <c r="P149" s="58" t="n"/>
    </row>
    <row r="150" ht="15" customHeight="1" s="33">
      <c r="A150" s="58" t="n"/>
      <c r="B150" s="59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60" t="n"/>
      <c r="L150" s="60" t="n"/>
      <c r="M150" s="61">
        <f>IF(OR(K150="",L150=""),"",ROUND((L150-K150)*1440,0))</f>
        <v/>
      </c>
      <c r="N150" s="58" t="n"/>
      <c r="O150" s="58" t="n"/>
      <c r="P150" s="58" t="n"/>
    </row>
    <row r="151" ht="15" customHeight="1" s="33">
      <c r="A151" s="58" t="n"/>
      <c r="B151" s="59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60" t="n"/>
      <c r="L151" s="60" t="n"/>
      <c r="M151" s="61">
        <f>IF(OR(K151="",L151=""),"",ROUND((L151-K151)*1440,0))</f>
        <v/>
      </c>
      <c r="N151" s="58" t="n"/>
      <c r="O151" s="58" t="n"/>
      <c r="P151" s="58" t="n"/>
    </row>
    <row r="152" ht="15" customHeight="1" s="33">
      <c r="A152" s="58" t="n"/>
      <c r="B152" s="59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60" t="n"/>
      <c r="L152" s="60" t="n"/>
      <c r="M152" s="61">
        <f>IF(OR(K152="",L152=""),"",ROUND((L152-K152)*1440,0))</f>
        <v/>
      </c>
      <c r="N152" s="58" t="n"/>
      <c r="O152" s="58" t="n"/>
      <c r="P152" s="58" t="n"/>
    </row>
    <row r="153" ht="15" customHeight="1" s="33">
      <c r="A153" s="58" t="n"/>
      <c r="B153" s="59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60" t="n"/>
      <c r="L153" s="60" t="n"/>
      <c r="M153" s="61">
        <f>IF(OR(K153="",L153=""),"",ROUND((L153-K153)*1440,0))</f>
        <v/>
      </c>
      <c r="N153" s="58" t="n"/>
      <c r="O153" s="58" t="n"/>
      <c r="P153" s="58" t="n"/>
    </row>
    <row r="154" ht="15" customHeight="1" s="33">
      <c r="A154" s="58" t="n"/>
      <c r="B154" s="59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60" t="n"/>
      <c r="L154" s="60" t="n"/>
      <c r="M154" s="61">
        <f>IF(OR(K154="",L154=""),"",ROUND((L154-K154)*1440,0))</f>
        <v/>
      </c>
      <c r="N154" s="58" t="n"/>
      <c r="O154" s="58" t="n"/>
      <c r="P154" s="58" t="n"/>
    </row>
    <row r="155" ht="15" customHeight="1" s="33">
      <c r="A155" s="58" t="n"/>
      <c r="B155" s="59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60" t="n"/>
      <c r="L155" s="60" t="n"/>
      <c r="M155" s="61">
        <f>IF(OR(K155="",L155=""),"",ROUND((L155-K155)*1440,0))</f>
        <v/>
      </c>
      <c r="N155" s="58" t="n"/>
      <c r="O155" s="58" t="n"/>
      <c r="P155" s="58" t="n"/>
    </row>
  </sheetData>
  <autoFilter ref="A4:P155"/>
  <conditionalFormatting sqref="J5:J155">
    <cfRule type="cellIs" rank="0" priority="2" equalAverage="0" operator="equal" aboveAverage="0" dxfId="0" text="" percent="0" bottom="0">
      <formula>"Selesai"</formula>
    </cfRule>
    <cfRule type="cellIs" rank="0" priority="3" equalAverage="0" operator="equal" aboveAverage="0" dxfId="1" text="" percent="0" bottom="0">
      <formula>"Eskalasi"</formula>
    </cfRule>
    <cfRule type="cellIs" rank="0" priority="4" equalAverage="0" operator="equal" aboveAverage="0" dxfId="9" text="" percent="0" bottom="0">
      <formula>"Tindak lanjut"</formula>
    </cfRule>
  </conditionalFormatting>
  <dataValidations count="2">
    <dataValidation sqref="C5:C155" showDropDown="0" showInputMessage="0" showErrorMessage="0" allowBlank="1" type="list" errorStyle="stop" operator="between">
      <formula1>Daftar!$B$2:$B$3</formula1>
      <formula2>0</formula2>
    </dataValidation>
    <dataValidation sqref="J5:J155" showDropDown="0" showInputMessage="0" showErrorMessage="0" allowBlank="1" type="list" errorStyle="stop" operator="between">
      <formula1>Daftar!$C$2:$C$4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2026-10-13T06:09:06Z</dcterms:created>
  <dcterms:modified xmlns:dcterms="http://purl.org/dc/terms/" xmlns:xsi="http://www.w3.org/2001/XMLSchema-instance" xsi:type="dcterms:W3CDTF">2026-10-14T22:02:07Z</dcterms:modified>
  <cp:revision>0</cp:revision>
</cp:coreProperties>
</file>