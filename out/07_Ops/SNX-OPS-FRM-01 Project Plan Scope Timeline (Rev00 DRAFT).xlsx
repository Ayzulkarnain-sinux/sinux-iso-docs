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Kontrol Dokumen" sheetId="1" state="visible" r:id="rId1"/>
    <sheet xmlns:r="http://schemas.openxmlformats.org/officeDocument/2006/relationships" name="Alur Proses" sheetId="2" state="visible" r:id="rId2"/>
    <sheet xmlns:r="http://schemas.openxmlformats.org/officeDocument/2006/relationships" name="Daftar" sheetId="3" state="visible" r:id="rId3"/>
    <sheet xmlns:r="http://schemas.openxmlformats.org/officeDocument/2006/relationships" name="Checklist G1" sheetId="4" state="visible" r:id="rId4"/>
    <sheet xmlns:r="http://schemas.openxmlformats.org/officeDocument/2006/relationships" name="Project Charter" sheetId="5" state="visible" r:id="rId5"/>
    <sheet xmlns:r="http://schemas.openxmlformats.org/officeDocument/2006/relationships" name="WBS dan Timeline" sheetId="6" state="visible" r:id="rId6"/>
    <sheet xmlns:r="http://schemas.openxmlformats.org/officeDocument/2006/relationships" name="Milestone" sheetId="7" state="visible" r:id="rId7"/>
    <sheet xmlns:r="http://schemas.openxmlformats.org/officeDocument/2006/relationships" name="Stakeholder" sheetId="8" state="visible" r:id="rId8"/>
  </sheets>
  <definedNames>
    <definedName name="_xlnm.Print_Titles" localSheetId="2">'Daftar'!$1:$1</definedName>
    <definedName name="_xlnm._FilterDatabase" localSheetId="3" hidden="1">'Checklist G1'!$A$4:$F$12</definedName>
    <definedName name="_xlnm.Print_Titles" localSheetId="3">'Checklist G1'!$4:$4</definedName>
    <definedName name="_xlnm._FilterDatabase" localSheetId="5" hidden="1">'WBS dan Timeline'!$A$4:$M$104</definedName>
    <definedName name="_xlnm.Print_Titles" localSheetId="5">'WBS dan Timeline'!$4:$4</definedName>
    <definedName name="_xlnm._FilterDatabase" localSheetId="6" hidden="1">'Milestone'!$A$4:$G$24</definedName>
    <definedName name="_xlnm.Print_Titles" localSheetId="6">'Milestone'!$4:$4</definedName>
    <definedName name="_xlnm._FilterDatabase" localSheetId="7" hidden="1">'Stakeholder'!$A$4:$G$20</definedName>
    <definedName name="_xlnm.Print_Titles" localSheetId="7">'Stakeholder'!$4:$4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\-mmm\-yyyy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A5F"/>
      <sz val="15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F3A5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F3A5F"/>
      <sz val="13"/>
    </font>
  </fonts>
  <fills count="6">
    <fill>
      <patternFill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E7EEF7"/>
        <bgColor rgb="FFF2F2F2"/>
      </patternFill>
    </fill>
    <fill>
      <patternFill patternType="solid">
        <fgColor rgb="FFF2F2F2"/>
        <bgColor rgb="FFE7EEF7"/>
      </patternFill>
    </fill>
    <fill>
      <patternFill patternType="solid">
        <fgColor rgb="FF1F3A5F"/>
        <bgColor rgb="FF333333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top" wrapText="1"/>
    </xf>
    <xf numFmtId="164" fontId="7" fillId="2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general" vertical="top" wrapText="1"/>
    </xf>
    <xf numFmtId="164" fontId="0" fillId="2" borderId="1" applyAlignment="1" pivotButton="0" quotePrefix="0" xfId="0">
      <alignment horizontal="general" vertical="top" wrapText="1"/>
    </xf>
    <xf numFmtId="9" fontId="0" fillId="4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9" fontId="7" fillId="3" borderId="1" applyAlignment="1" pivotButton="0" quotePrefix="0" xfId="0">
      <alignment horizontal="general" vertical="top" wrapText="1"/>
    </xf>
    <xf numFmtId="9" fontId="7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top" wrapText="1"/>
    </xf>
    <xf numFmtId="164" fontId="7" fillId="2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general" vertical="top" wrapText="1"/>
    </xf>
    <xf numFmtId="164" fontId="0" fillId="2" borderId="1" applyAlignment="1" pivotButton="0" quotePrefix="0" xfId="0">
      <alignment horizontal="general" vertical="top" wrapText="1"/>
    </xf>
    <xf numFmtId="9" fontId="0" fillId="4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9" fontId="7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0" fontId="0" fillId="4" borderId="1" applyAlignment="1" pivotButton="0" quotePrefix="0" xfId="0">
      <alignment horizontal="general" vertical="top" wrapText="1"/>
    </xf>
    <xf numFmtId="0" fontId="9" fillId="5" borderId="0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1">
    <dxf>
      <fill>
        <patternFill patternType="solid">
          <fgColor rgb="FF1F3A5F"/>
          <bgColor rgb="FF000000"/>
        </patternFill>
      </fill>
    </dxf>
    <dxf>
      <fill>
        <patternFill patternType="solid">
          <fgColor rgb="FFE7EEF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>
          <bgColor rgb="FFFFEB9C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7EE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</row>
      <rowOff>176040</rowOff>
    </from>
    <to>
      <col>9</col>
      <colOff>591840</colOff>
      <row>28</row>
      <rowOff>99720</rowOff>
    </to>
    <pic>
      <nvPicPr>
        <cNvPr id="0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571680"/>
          <a:ext cx="6095520" cy="48765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E3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29" min="1" max="1"/>
    <col width="70" customWidth="1" style="29" min="2" max="2"/>
    <col width="30" customWidth="1" style="29" min="3" max="3"/>
    <col width="22" customWidth="1" style="29" min="4" max="4"/>
    <col width="14" customWidth="1" style="29" min="5" max="5"/>
  </cols>
  <sheetData>
    <row r="1" ht="18.55" customHeight="1" s="30">
      <c r="A1" s="31" t="inlineStr">
        <is>
          <t>Project Plan, Scope &amp; Timeline Records</t>
        </is>
      </c>
    </row>
    <row r="2" ht="15" customHeight="1" s="30">
      <c r="A2" s="32" t="inlineStr">
        <is>
          <t>PT Strategi Integrasi Nusantara (SINUX) · Divisi Operation</t>
        </is>
      </c>
    </row>
    <row r="3" s="30">
      <c r="A3" s="56" t="n"/>
      <c r="B3" s="56" t="n"/>
      <c r="C3" s="56" t="n"/>
      <c r="D3" s="56" t="n"/>
      <c r="E3" s="56" t="n"/>
    </row>
    <row r="4" ht="16.5" customHeight="1" s="30">
      <c r="A4" s="50" t="inlineStr">
        <is>
          <t>Nomor dokumen</t>
        </is>
      </c>
      <c r="B4" s="34" t="inlineStr">
        <is>
          <t>SNX-OPS-FRM-01</t>
        </is>
      </c>
      <c r="C4" s="56" t="n"/>
      <c r="D4" s="56" t="n"/>
      <c r="E4" s="56" t="n"/>
    </row>
    <row r="5" ht="16.5" customHeight="1" s="30">
      <c r="A5" s="50" t="inlineStr">
        <is>
          <t>Judul</t>
        </is>
      </c>
      <c r="B5" s="34" t="inlineStr">
        <is>
          <t>Project Plan, Scope &amp; Timeline Records</t>
        </is>
      </c>
      <c r="C5" s="56" t="n"/>
      <c r="D5" s="56" t="n"/>
      <c r="E5" s="56" t="n"/>
    </row>
    <row r="6" ht="16.5" customHeight="1" s="30">
      <c r="A6" s="50" t="inlineStr">
        <is>
          <t>Revisi</t>
        </is>
      </c>
      <c r="B6" s="34" t="inlineStr">
        <is>
          <t>00 (DRAFT)</t>
        </is>
      </c>
      <c r="C6" s="56" t="n"/>
      <c r="D6" s="56" t="n"/>
      <c r="E6" s="56" t="n"/>
    </row>
    <row r="7" ht="16.5" customHeight="1" s="30">
      <c r="A7" s="50" t="inlineStr">
        <is>
          <t>Tanggal draft</t>
        </is>
      </c>
      <c r="B7" s="34" t="inlineStr">
        <is>
          <t>13 Oktober 2026</t>
        </is>
      </c>
      <c r="C7" s="56" t="n"/>
      <c r="D7" s="56" t="n"/>
      <c r="E7" s="56" t="n"/>
    </row>
    <row r="8" ht="16.5" customHeight="1" s="30">
      <c r="A8" s="50" t="inlineStr">
        <is>
          <t>Tanggal efektif</t>
        </is>
      </c>
      <c r="B8" s="34" t="inlineStr">
        <is>
          <t>Ditetapkan saat pengesahan</t>
        </is>
      </c>
      <c r="C8" s="56" t="n"/>
      <c r="D8" s="56" t="n"/>
      <c r="E8" s="56" t="n"/>
    </row>
    <row r="9" ht="16.5" customHeight="1" s="30">
      <c r="A9" s="50" t="inlineStr">
        <is>
          <t>Klasifikasi</t>
        </is>
      </c>
      <c r="B9" s="34" t="inlineStr">
        <is>
          <t>RESTRICTED (Internal)</t>
        </is>
      </c>
      <c r="C9" s="56" t="n"/>
      <c r="D9" s="56" t="n"/>
      <c r="E9" s="56" t="n"/>
    </row>
    <row r="10" ht="16.5" customHeight="1" s="30">
      <c r="A10" s="50" t="inlineStr">
        <is>
          <t>Pemilik dokumen</t>
        </is>
      </c>
      <c r="B10" s="34" t="inlineStr">
        <is>
          <t>Project Manager</t>
        </is>
      </c>
      <c r="C10" s="56" t="n"/>
      <c r="D10" s="56" t="n"/>
      <c r="E10" s="56" t="n"/>
    </row>
    <row r="11" ht="16.5" customHeight="1" s="30">
      <c r="A11" s="50" t="inlineStr">
        <is>
          <t>Disetujui oleh</t>
        </is>
      </c>
      <c r="B11" s="34" t="inlineStr">
        <is>
          <t>Samuel Kristanto Utomo / President Director</t>
        </is>
      </c>
      <c r="C11" s="56" t="n"/>
      <c r="D11" s="56" t="n"/>
      <c r="E11" s="56" t="n"/>
    </row>
    <row r="12" ht="30" customHeight="1" s="30">
      <c r="A12" s="50" t="inlineStr">
        <is>
          <t>Acuan ISO 9001:2015</t>
        </is>
      </c>
      <c r="B12" s="34" t="inlineStr">
        <is>
          <t>Klausul 8.1, 8.2.2</t>
        </is>
      </c>
      <c r="C12" s="56" t="n"/>
      <c r="D12" s="56" t="n"/>
      <c r="E12" s="56" t="n"/>
    </row>
    <row r="13" ht="30" customHeight="1" s="30">
      <c r="A13" s="50" t="inlineStr">
        <is>
          <t>Acuan ISO/IEC 27001:2022</t>
        </is>
      </c>
      <c r="B13" s="34" t="inlineStr">
        <is>
          <t>Kontrol Annex A 5.8</t>
        </is>
      </c>
      <c r="C13" s="56" t="n"/>
      <c r="D13" s="56" t="n"/>
      <c r="E13" s="56" t="n"/>
    </row>
    <row r="14" ht="30" customHeight="1" s="30">
      <c r="A14" s="50" t="inlineStr">
        <is>
          <t>Masa simpan record</t>
        </is>
      </c>
      <c r="B14" s="34" t="inlineStr">
        <is>
          <t>Durasi kontrak + 3 tahun</t>
        </is>
      </c>
      <c r="C14" s="56" t="n"/>
      <c r="D14" s="56" t="n"/>
      <c r="E14" s="56" t="n"/>
    </row>
    <row r="15" ht="43.5" customHeight="1" s="30">
      <c r="A15" s="50" t="inlineStr">
        <is>
          <t>Tujuan</t>
        </is>
      </c>
      <c r="B15" s="34" t="inlineStr">
        <is>
          <t>Mencatat rencana proyek: checklist penerimaan G1, project charter, WBS dan jadwal, milestone, serta stakeholder dan rencana komunikasi.</t>
        </is>
      </c>
      <c r="C15" s="56" t="n"/>
      <c r="D15" s="56" t="n"/>
      <c r="E15" s="56" t="n"/>
    </row>
    <row r="16" s="30">
      <c r="A16" s="56" t="n"/>
      <c r="B16" s="56" t="n"/>
      <c r="C16" s="56" t="n"/>
      <c r="D16" s="56" t="n"/>
      <c r="E16" s="56" t="n"/>
    </row>
    <row r="17" ht="16.5" customHeight="1" s="30">
      <c r="A17" s="57" t="inlineStr">
        <is>
          <t>Cara pakai</t>
        </is>
      </c>
      <c r="B17" s="56" t="n"/>
      <c r="C17" s="56" t="n"/>
      <c r="D17" s="56" t="n"/>
      <c r="E17" s="56" t="n"/>
    </row>
    <row r="18" ht="30" customHeight="1" s="30">
      <c r="A18" s="37" t="inlineStr">
        <is>
          <t>1.</t>
        </is>
      </c>
      <c r="B18" s="37" t="inlineStr">
        <is>
          <t>Gunakan satu file untuk satu proyek, dengan nama FRM-01_&lt;KodeProyek&gt;.xlsx.</t>
        </is>
      </c>
      <c r="C18" s="56" t="n"/>
      <c r="D18" s="56" t="n"/>
      <c r="E18" s="56" t="n"/>
    </row>
    <row r="19" ht="30" customHeight="1" s="30">
      <c r="A19" s="37" t="inlineStr">
        <is>
          <t>2.</t>
        </is>
      </c>
      <c r="B19" s="37" t="inlineStr">
        <is>
          <t>Isi Checklist G1 sebelum proyek dimulai. Proyek belum boleh dimulai jika masih ada butir berstatus Belum.</t>
        </is>
      </c>
      <c r="C19" s="56" t="n"/>
      <c r="D19" s="56" t="n"/>
      <c r="E19" s="56" t="n"/>
    </row>
    <row r="20" ht="30" customHeight="1" s="30">
      <c r="A20" s="37" t="inlineStr">
        <is>
          <t>3.</t>
        </is>
      </c>
      <c r="B20" s="37" t="inlineStr">
        <is>
          <t>Isi Project Charter, lalu sheet WBS dan Timeline. Durasi dan progres keseluruhan terisi otomatis.</t>
        </is>
      </c>
      <c r="C20" s="56" t="n"/>
      <c r="D20" s="56" t="n"/>
      <c r="E20" s="56" t="n"/>
    </row>
    <row r="21" ht="30" customHeight="1" s="30">
      <c r="A21" s="37" t="inlineStr">
        <is>
          <t>4.</t>
        </is>
      </c>
      <c r="B21" s="37" t="inlineStr">
        <is>
          <t>Perbarui kolom Progres dan Status paling sedikit sekali seminggu, sesuai SNX-OPS-SOP-01 butir 6.4.</t>
        </is>
      </c>
      <c r="C21" s="56" t="n"/>
      <c r="D21" s="56" t="n"/>
      <c r="E21" s="56" t="n"/>
    </row>
    <row r="22" ht="15" customHeight="1" s="30">
      <c r="A22" s="37" t="n"/>
      <c r="B22" s="37" t="n"/>
      <c r="C22" s="56" t="n"/>
      <c r="D22" s="56" t="n"/>
      <c r="E22" s="56" t="n"/>
    </row>
    <row r="23" s="30">
      <c r="A23" s="56" t="n"/>
      <c r="B23" s="56" t="n"/>
      <c r="C23" s="56" t="n"/>
      <c r="D23" s="56" t="n"/>
      <c r="E23" s="56" t="n"/>
    </row>
    <row r="24" ht="16.5" customHeight="1" s="30">
      <c r="A24" s="57" t="inlineStr">
        <is>
          <t>Legenda warna</t>
        </is>
      </c>
      <c r="B24" s="56" t="n"/>
      <c r="C24" s="56" t="n"/>
      <c r="D24" s="56" t="n"/>
      <c r="E24" s="56" t="n"/>
    </row>
    <row r="25" ht="16.5" customHeight="1" s="30">
      <c r="A25" s="51" t="n"/>
      <c r="B25" s="37" t="inlineStr">
        <is>
          <t>Sel input: diisi pengguna</t>
        </is>
      </c>
      <c r="C25" s="56" t="n"/>
      <c r="D25" s="56" t="n"/>
      <c r="E25" s="56" t="n"/>
    </row>
    <row r="26" ht="15" customHeight="1" s="30">
      <c r="A26" s="58" t="n"/>
      <c r="B26" s="37" t="n"/>
      <c r="C26" s="56" t="n"/>
      <c r="D26" s="56" t="n"/>
      <c r="E26" s="56" t="n"/>
    </row>
    <row r="27" ht="16.5" customHeight="1" s="30">
      <c r="A27" s="59" t="n"/>
      <c r="B27" s="37" t="inlineStr">
        <is>
          <t>Sel rumus: jangan diubah</t>
        </is>
      </c>
      <c r="C27" s="56" t="n"/>
      <c r="D27" s="56" t="n"/>
      <c r="E27" s="56" t="n"/>
    </row>
    <row r="28" s="30">
      <c r="A28" s="56" t="n"/>
      <c r="B28" s="56" t="n"/>
      <c r="C28" s="56" t="n"/>
      <c r="D28" s="56" t="n"/>
      <c r="E28" s="56" t="n"/>
    </row>
    <row r="29" ht="16.5" customHeight="1" s="30">
      <c r="A29" s="57" t="inlineStr">
        <is>
          <t>Riwayat revisi</t>
        </is>
      </c>
      <c r="B29" s="56" t="n"/>
      <c r="C29" s="56" t="n"/>
      <c r="D29" s="56" t="n"/>
      <c r="E29" s="56" t="n"/>
    </row>
    <row r="30" ht="16.5" customHeight="1" s="30">
      <c r="A30" s="45" t="inlineStr">
        <is>
          <t>Revisi</t>
        </is>
      </c>
      <c r="B30" s="45" t="inlineStr">
        <is>
          <t>Tanggal</t>
        </is>
      </c>
      <c r="C30" s="45" t="inlineStr">
        <is>
          <t>Uraian perubahan</t>
        </is>
      </c>
      <c r="D30" s="45" t="inlineStr">
        <is>
          <t>Disusun</t>
        </is>
      </c>
      <c r="E30" s="45" t="inlineStr">
        <is>
          <t>Disetujui</t>
        </is>
      </c>
    </row>
    <row r="31" ht="30" customHeight="1" s="30">
      <c r="A31" s="34" t="inlineStr">
        <is>
          <t>00</t>
        </is>
      </c>
      <c r="B31" s="34" t="inlineStr">
        <is>
          <t>13 Oktober 2026</t>
        </is>
      </c>
      <c r="C31" s="34" t="inlineStr">
        <is>
          <t>Draft awal untuk review dan pengesahan</t>
        </is>
      </c>
      <c r="D31" s="34" t="inlineStr">
        <is>
          <t>Divisi Operation</t>
        </is>
      </c>
      <c r="E31" s="34" t="inlineStr">
        <is>
          <t>Menunggu</t>
        </is>
      </c>
    </row>
    <row r="32" ht="57.45" customHeight="1" s="30">
      <c r="A32" s="34" t="n"/>
      <c r="B32" s="34" t="n"/>
      <c r="C32" s="34" t="n"/>
      <c r="D32" s="34" t="n"/>
      <c r="E32" s="34" t="n"/>
    </row>
    <row r="33" s="30">
      <c r="A33" s="56" t="n"/>
      <c r="B33" s="56" t="n"/>
      <c r="C33" s="56" t="n"/>
      <c r="D33" s="56" t="n"/>
      <c r="E33" s="56" t="n"/>
    </row>
    <row r="34" ht="16.5" customHeight="1" s="30">
      <c r="A34" s="57" t="inlineStr">
        <is>
          <t>Pengesahan</t>
        </is>
      </c>
      <c r="B34" s="56" t="n"/>
      <c r="C34" s="56" t="n"/>
      <c r="D34" s="56" t="n"/>
      <c r="E34" s="56" t="n"/>
    </row>
    <row r="35" ht="16.5" customHeight="1" s="30">
      <c r="A35" s="45" t="inlineStr">
        <is>
          <t>Peran</t>
        </is>
      </c>
      <c r="B35" s="45" t="inlineStr">
        <is>
          <t>Nama dan jabatan</t>
        </is>
      </c>
      <c r="C35" s="45" t="inlineStr">
        <is>
          <t>Tanda tangan</t>
        </is>
      </c>
      <c r="D35" s="45" t="inlineStr">
        <is>
          <t>Tanggal</t>
        </is>
      </c>
      <c r="E35" s="56" t="n"/>
    </row>
    <row r="36" ht="27.75" customHeight="1" s="30">
      <c r="A36" s="34" t="inlineStr">
        <is>
          <t>Disusun oleh</t>
        </is>
      </c>
      <c r="B36" s="34" t="inlineStr">
        <is>
          <t>Erik Dwi Yanto / Technical/Operation Engineer L1</t>
        </is>
      </c>
      <c r="C36" s="34" t="n"/>
      <c r="D36" s="34" t="n"/>
      <c r="E36" s="56" t="n"/>
    </row>
    <row r="37" ht="27.75" customHeight="1" s="30">
      <c r="A37" s="34" t="inlineStr">
        <is>
          <t>Diperiksa oleh</t>
        </is>
      </c>
      <c r="B37" s="34" t="inlineStr">
        <is>
          <t>Fani Fatullah / VP Tech Operation and Services</t>
        </is>
      </c>
      <c r="C37" s="34" t="n"/>
      <c r="D37" s="34" t="n"/>
      <c r="E37" s="56" t="n"/>
    </row>
    <row r="38" ht="27.75" customHeight="1" s="30">
      <c r="A38" s="34" t="inlineStr">
        <is>
          <t>Disetujui oleh</t>
        </is>
      </c>
      <c r="B38" s="34" t="inlineStr">
        <is>
          <t>Samuel Kristanto Utomo / President Director</t>
        </is>
      </c>
      <c r="C38" s="34" t="n"/>
      <c r="D38" s="34" t="n"/>
      <c r="E38" s="5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A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6.15" customHeight="1" s="30">
      <c r="A1" s="43" t="inlineStr">
        <is>
          <t>Diagram alur proses</t>
        </is>
      </c>
    </row>
    <row r="2" ht="15" customHeight="1" s="30">
      <c r="A2" s="32" t="inlineStr">
        <is>
          <t>Kotak biru = output akhir · kotak oranye = cabang ke tindakan atau prosedur lain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C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29" min="1" max="2"/>
    <col width="13" customWidth="1" style="30" min="2" max="2"/>
    <col width="18" customWidth="1" style="29" min="3" max="3"/>
  </cols>
  <sheetData>
    <row r="1" ht="30" customHeight="1" s="30">
      <c r="A1" s="60" t="inlineStr">
        <is>
          <t>Status tugas</t>
        </is>
      </c>
      <c r="B1" s="60" t="inlineStr">
        <is>
          <t>Status G1</t>
        </is>
      </c>
      <c r="C1" s="60" t="inlineStr">
        <is>
          <t>Status milestone</t>
        </is>
      </c>
    </row>
    <row r="2" ht="16.5" customHeight="1" s="30">
      <c r="A2" s="61" t="inlineStr">
        <is>
          <t>Belum mulai</t>
        </is>
      </c>
      <c r="B2" s="61" t="inlineStr">
        <is>
          <t>Belum</t>
        </is>
      </c>
      <c r="C2" s="61" t="inlineStr">
        <is>
          <t>Sesuai rencana</t>
        </is>
      </c>
    </row>
    <row r="3" ht="16.5" customHeight="1" s="30">
      <c r="A3" s="61" t="inlineStr">
        <is>
          <t>Berjalan</t>
        </is>
      </c>
      <c r="B3" s="61" t="inlineStr">
        <is>
          <t>Lolos</t>
        </is>
      </c>
      <c r="C3" s="61" t="inlineStr">
        <is>
          <t>Berisiko</t>
        </is>
      </c>
    </row>
    <row r="4" ht="30" customHeight="1" s="30">
      <c r="A4" s="61" t="inlineStr">
        <is>
          <t>Selesai</t>
        </is>
      </c>
      <c r="B4" s="61" t="inlineStr">
        <is>
          <t>Tidak berlaku</t>
        </is>
      </c>
      <c r="C4" s="61" t="inlineStr">
        <is>
          <t>Terlambat</t>
        </is>
      </c>
    </row>
    <row r="5" ht="16.5" customHeight="1" s="30">
      <c r="A5" s="61" t="inlineStr">
        <is>
          <t>Tertunda</t>
        </is>
      </c>
      <c r="B5" s="62" t="n"/>
      <c r="C5" s="61" t="inlineStr">
        <is>
          <t>Selesai</t>
        </is>
      </c>
    </row>
    <row r="6" ht="16.5" customHeight="1" s="30">
      <c r="A6" s="61" t="inlineStr">
        <is>
          <t>Dibatalkan</t>
        </is>
      </c>
      <c r="B6" s="62" t="n"/>
      <c r="C6" s="6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F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Right"/>
      <selection pane="bottomLeft"/>
      <selection pane="bottomRigh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29" min="1" max="1"/>
    <col width="70" customWidth="1" style="29" min="2" max="2"/>
    <col width="14" customWidth="1" style="29" min="3" max="3"/>
    <col width="36" customWidth="1" style="29" min="4" max="4"/>
    <col width="18" customWidth="1" style="29" min="5" max="5"/>
    <col width="13" customWidth="1" style="29" min="6" max="6"/>
  </cols>
  <sheetData>
    <row r="1" ht="16.15" customHeight="1" s="30">
      <c r="A1" s="43" t="inlineStr">
        <is>
          <t>Checklist G1: paket handover Commercial ke Service Delivery Manager dan Project Manager</t>
        </is>
      </c>
    </row>
    <row r="2" ht="15" customHeight="1" s="30">
      <c r="A2" s="32" t="inlineStr">
        <is>
          <t>Pemilik gate: Service Delivery Manager. Gate LOLOS jika tidak ada butir berstatus Belum.</t>
        </is>
      </c>
    </row>
    <row r="4" ht="31.5" customHeight="1" s="30">
      <c r="A4" s="45" t="inlineStr">
        <is>
          <t>No</t>
        </is>
      </c>
      <c r="B4" s="45" t="inlineStr">
        <is>
          <t>Kriteria</t>
        </is>
      </c>
      <c r="C4" s="45" t="inlineStr">
        <is>
          <t>Status</t>
        </is>
      </c>
      <c r="D4" s="45" t="inlineStr">
        <is>
          <t>Bukti atau lokasi dokumen</t>
        </is>
      </c>
      <c r="E4" s="45" t="inlineStr">
        <is>
          <t>PIC</t>
        </is>
      </c>
      <c r="F4" s="45" t="inlineStr">
        <is>
          <t>Tanggal</t>
        </is>
      </c>
    </row>
    <row r="5" ht="16.5" customHeight="1" s="30">
      <c r="A5" s="46" t="n">
        <v>1</v>
      </c>
      <c r="B5" s="34" t="inlineStr">
        <is>
          <t>PO atau kontrak ditandatangani dan diarsip.</t>
        </is>
      </c>
      <c r="C5" s="47" t="inlineStr">
        <is>
          <t>Belum</t>
        </is>
      </c>
      <c r="D5" s="47" t="n"/>
      <c r="E5" s="47" t="n"/>
      <c r="F5" s="48" t="n"/>
    </row>
    <row r="6" ht="16.5" customHeight="1" s="30">
      <c r="A6" s="46" t="n">
        <v>2</v>
      </c>
      <c r="B6" s="34" t="inlineStr">
        <is>
          <t>Scope teknis final, termasuk daftar yang di luar scope.</t>
        </is>
      </c>
      <c r="C6" s="47" t="inlineStr">
        <is>
          <t>Belum</t>
        </is>
      </c>
      <c r="D6" s="47" t="n"/>
      <c r="E6" s="47" t="n"/>
      <c r="F6" s="48" t="n"/>
    </row>
    <row r="7" ht="30" customHeight="1" s="30">
      <c r="A7" s="46" t="n">
        <v>3</v>
      </c>
      <c r="B7" s="34" t="inlineStr">
        <is>
          <t>SLA dan target layanan yang dijanjikan ke pelanggan, tertulis.</t>
        </is>
      </c>
      <c r="C7" s="47" t="inlineStr">
        <is>
          <t>Belum</t>
        </is>
      </c>
      <c r="D7" s="47" t="n"/>
      <c r="E7" s="47" t="n"/>
      <c r="F7" s="48" t="n"/>
    </row>
    <row r="8" ht="16.5" customHeight="1" s="30">
      <c r="A8" s="46" t="n">
        <v>4</v>
      </c>
      <c r="B8" s="34" t="inlineStr">
        <is>
          <t>Sizing dan arsitektur yang dipakai di proposal.</t>
        </is>
      </c>
      <c r="C8" s="47" t="inlineStr">
        <is>
          <t>Belum</t>
        </is>
      </c>
      <c r="D8" s="47" t="n"/>
      <c r="E8" s="47" t="n"/>
      <c r="F8" s="48" t="n"/>
    </row>
    <row r="9" ht="30" customHeight="1" s="30">
      <c r="A9" s="46" t="n">
        <v>5</v>
      </c>
      <c r="B9" s="34" t="inlineStr">
        <is>
          <t>PIC pelanggan (teknis, komersial, billing) dan kanal komunikasi resmi.</t>
        </is>
      </c>
      <c r="C9" s="47" t="inlineStr">
        <is>
          <t>Belum</t>
        </is>
      </c>
      <c r="D9" s="47" t="n"/>
      <c r="E9" s="47" t="n"/>
      <c r="F9" s="48" t="n"/>
    </row>
    <row r="10" ht="30" customHeight="1" s="30">
      <c r="A10" s="46" t="n">
        <v>6</v>
      </c>
      <c r="B10" s="34" t="inlineStr">
        <is>
          <t>Jadwal target live dan batasan pelanggan (window maintenance, blackout).</t>
        </is>
      </c>
      <c r="C10" s="47" t="inlineStr">
        <is>
          <t>Belum</t>
        </is>
      </c>
      <c r="D10" s="47" t="n"/>
      <c r="E10" s="47" t="n"/>
      <c r="F10" s="48" t="n"/>
    </row>
    <row r="11" ht="30" customHeight="1" s="30">
      <c r="A11" s="46" t="n">
        <v>7</v>
      </c>
      <c r="B11" s="34" t="inlineStr">
        <is>
          <t>Janji lisan ke pelanggan yang belum ada di kontrak, dicatat terbuka.</t>
        </is>
      </c>
      <c r="C11" s="47" t="inlineStr">
        <is>
          <t>Belum</t>
        </is>
      </c>
      <c r="D11" s="47" t="n"/>
      <c r="E11" s="47" t="n"/>
      <c r="F11" s="48" t="n"/>
    </row>
    <row r="12" ht="30" customHeight="1" s="30">
      <c r="A12" s="46" t="n">
        <v>8</v>
      </c>
      <c r="B12" s="34" t="inlineStr">
        <is>
          <t>Klasifikasi data pelanggan dan kebutuhan keamanan informasi teridentifikasi (SNX-ISMS-PRO-01).</t>
        </is>
      </c>
      <c r="C12" s="47" t="inlineStr">
        <is>
          <t>Belum</t>
        </is>
      </c>
      <c r="D12" s="47" t="n"/>
      <c r="E12" s="47" t="n"/>
      <c r="F12" s="48" t="n"/>
    </row>
    <row r="13" s="30">
      <c r="A13" s="62" t="n"/>
      <c r="B13" s="62" t="n"/>
      <c r="C13" s="62" t="n"/>
      <c r="D13" s="62" t="n"/>
      <c r="E13" s="62" t="n"/>
      <c r="F13" s="62" t="n"/>
    </row>
    <row r="14" ht="16.5" customHeight="1" s="30">
      <c r="A14" s="62" t="n"/>
      <c r="B14" s="63" t="inlineStr">
        <is>
          <t>Keputusan G1</t>
        </is>
      </c>
      <c r="C14" s="63">
        <f>IF(COUNTIF(C5:C12,"Belum")=0,"LOLOS","TAHAN")</f>
        <v/>
      </c>
      <c r="D14" s="62" t="n"/>
      <c r="E14" s="62" t="n"/>
      <c r="F14" s="62" t="n"/>
    </row>
  </sheetData>
  <autoFilter ref="A4:F12"/>
  <conditionalFormatting sqref="C14">
    <cfRule type="cellIs" rank="0" priority="2" equalAverage="0" operator="equal" aboveAverage="0" dxfId="5" text="" percent="0" bottom="0">
      <formula>"LOLOS"</formula>
    </cfRule>
    <cfRule type="cellIs" rank="0" priority="3" equalAverage="0" operator="equal" aboveAverage="0" dxfId="6" text="" percent="0" bottom="0">
      <formula>"TAHAN"</formula>
    </cfRule>
  </conditionalFormatting>
  <conditionalFormatting sqref="C5:C12">
    <cfRule type="cellIs" rank="0" priority="4" equalAverage="0" operator="equal" aboveAverage="0" dxfId="5" text="" percent="0" bottom="0">
      <formula>"Lolos"</formula>
    </cfRule>
  </conditionalFormatting>
  <dataValidations count="1">
    <dataValidation sqref="C5:C12" showDropDown="0" showInputMessage="0" showErrorMessage="0" allowBlank="1" type="list" errorStyle="stop" operator="between">
      <formula1>Daftar!$B$2:$B$4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B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29" min="1" max="1"/>
    <col width="90" customWidth="1" style="29" min="2" max="2"/>
  </cols>
  <sheetData>
    <row r="1" ht="16.15" customHeight="1" s="30">
      <c r="A1" s="43" t="inlineStr">
        <is>
          <t>Project charter</t>
        </is>
      </c>
    </row>
    <row r="3" ht="18" customHeight="1" s="30">
      <c r="A3" s="50" t="inlineStr">
        <is>
          <t>Nama proyek</t>
        </is>
      </c>
      <c r="B3" s="51" t="n"/>
    </row>
    <row r="4" ht="18" customHeight="1" s="30">
      <c r="A4" s="50" t="inlineStr">
        <is>
          <t>Kode proyek</t>
        </is>
      </c>
      <c r="B4" s="51" t="n"/>
    </row>
    <row r="5" ht="18" customHeight="1" s="30">
      <c r="A5" s="50" t="inlineStr">
        <is>
          <t>Pelanggan</t>
        </is>
      </c>
      <c r="B5" s="51" t="n"/>
    </row>
    <row r="6" ht="18" customHeight="1" s="30">
      <c r="A6" s="50" t="inlineStr">
        <is>
          <t>Dasar (nomor kontrak, PKS, PO)</t>
        </is>
      </c>
      <c r="B6" s="51" t="n"/>
    </row>
    <row r="7" ht="18" customHeight="1" s="30">
      <c r="A7" s="50" t="inlineStr">
        <is>
          <t>Project Manager</t>
        </is>
      </c>
      <c r="B7" s="51" t="n"/>
    </row>
    <row r="8" ht="18" customHeight="1" s="30">
      <c r="A8" s="50" t="inlineStr">
        <is>
          <t>Service Delivery Manager</t>
        </is>
      </c>
      <c r="B8" s="51" t="n"/>
    </row>
    <row r="9" ht="18" customHeight="1" s="30">
      <c r="A9" s="50" t="inlineStr">
        <is>
          <t>Sponsor pelanggan</t>
        </is>
      </c>
      <c r="B9" s="51" t="n"/>
    </row>
    <row r="10" ht="18" customHeight="1" s="30">
      <c r="A10" s="50" t="inlineStr">
        <is>
          <t>Tanggal mulai baseline</t>
        </is>
      </c>
      <c r="B10" s="52" t="n"/>
    </row>
    <row r="11" ht="18" customHeight="1" s="30">
      <c r="A11" s="50" t="inlineStr">
        <is>
          <t>Tanggal selesai baseline</t>
        </is>
      </c>
      <c r="B11" s="52" t="n"/>
    </row>
    <row r="12" ht="30" customHeight="1" s="30">
      <c r="A12" s="50" t="inlineStr">
        <is>
          <t>Tujuan proyek</t>
        </is>
      </c>
      <c r="B12" s="51" t="n"/>
    </row>
    <row r="13" ht="30" customHeight="1" s="30">
      <c r="A13" s="50" t="inlineStr">
        <is>
          <t>Scope (in-scope)</t>
        </is>
      </c>
      <c r="B13" s="51" t="n"/>
    </row>
    <row r="14" ht="30" customHeight="1" s="30">
      <c r="A14" s="50" t="inlineStr">
        <is>
          <t>Di luar scope</t>
        </is>
      </c>
      <c r="B14" s="51" t="n"/>
    </row>
    <row r="15" ht="30" customHeight="1" s="30">
      <c r="A15" s="50" t="inlineStr">
        <is>
          <t>Deliverable utama</t>
        </is>
      </c>
      <c r="B15" s="51" t="n"/>
    </row>
    <row r="16" ht="30" customHeight="1" s="30">
      <c r="A16" s="50" t="inlineStr">
        <is>
          <t>Asumsi</t>
        </is>
      </c>
      <c r="B16" s="51" t="n"/>
    </row>
    <row r="17" ht="30" customHeight="1" s="30">
      <c r="A17" s="50" t="inlineStr">
        <is>
          <t>Kendala</t>
        </is>
      </c>
      <c r="B17" s="51" t="n"/>
    </row>
    <row r="18" ht="30" customHeight="1" s="30">
      <c r="A18" s="50" t="inlineStr">
        <is>
          <t>Kriteria penerimaan (dasar UAT)</t>
        </is>
      </c>
      <c r="B18" s="51" t="n"/>
    </row>
    <row r="19" ht="30" customHeight="1" s="30">
      <c r="A19" s="50" t="inlineStr">
        <is>
          <t>Klasifikasi data (SNX-ISMS-PRO-01)</t>
        </is>
      </c>
      <c r="B19" s="51" t="n"/>
    </row>
    <row r="20" ht="30" customHeight="1" s="30">
      <c r="A20" s="50" t="inlineStr">
        <is>
          <t>Persyaratan keamanan informasi</t>
        </is>
      </c>
      <c r="B20" s="51" t="n"/>
    </row>
    <row r="21" ht="30" customHeight="1" s="30">
      <c r="A21" s="50" t="inlineStr">
        <is>
          <t>Risiko awal (rinci di SNX-OPS-FRM-02)</t>
        </is>
      </c>
      <c r="B21" s="51" t="n"/>
    </row>
    <row r="22" ht="30" customHeight="1" s="30">
      <c r="A22" s="50" t="inlineStr">
        <is>
          <t>Progres keseluruhan (otomatis dari WBS)</t>
        </is>
      </c>
      <c r="B22" s="53">
        <f>IFERROR(SUMPRODUCT('WBS dan Timeline'!I5:I104,'WBS dan Timeline'!J5:J104)/SUM('WBS dan Timeline'!I5:I104),0)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M10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Right"/>
      <selection pane="bottomLeft"/>
      <selection pane="bottomRigh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7" customWidth="1" style="29" min="1" max="1"/>
    <col width="14" customWidth="1" style="29" min="2" max="2"/>
    <col width="38" customWidth="1" style="29" min="3" max="3"/>
    <col width="20" customWidth="1" style="29" min="4" max="4"/>
    <col width="12" customWidth="1" style="29" min="5" max="6"/>
    <col width="13" customWidth="1" style="30" min="6" max="6"/>
    <col width="10" customWidth="1" style="29" min="7" max="7"/>
    <col width="26" customWidth="1" style="29" min="8" max="8"/>
    <col width="9" customWidth="1" style="29" min="9" max="10"/>
    <col width="13" customWidth="1" style="30" min="10" max="10"/>
    <col width="13" customWidth="1" style="29" min="11" max="11"/>
    <col width="15" customWidth="1" style="29" min="12" max="12"/>
    <col width="22" customWidth="1" style="29" min="13" max="13"/>
  </cols>
  <sheetData>
    <row r="1" ht="16.15" customHeight="1" s="30">
      <c r="A1" s="43" t="inlineStr">
        <is>
          <t>WBS dan timeline proyek</t>
        </is>
      </c>
    </row>
    <row r="2" ht="15" customHeight="1" s="30">
      <c r="A2" s="32" t="inlineStr">
        <is>
          <t>Bobot ditulis dalam persen dengan total 100. Progres diisi 0% sampai 100%. Kolom Durasi terisi otomatis dalam hari kalender.</t>
        </is>
      </c>
      <c r="I2" s="49" t="inlineStr">
        <is>
          <t>Total bobot:</t>
        </is>
      </c>
      <c r="J2" s="29">
        <f>SUM(I5:I104)</f>
        <v/>
      </c>
    </row>
    <row r="4" ht="31.5" customHeight="1" s="30">
      <c r="A4" s="45" t="inlineStr">
        <is>
          <t>ID</t>
        </is>
      </c>
      <c r="B4" s="45" t="inlineStr">
        <is>
          <t>Fase</t>
        </is>
      </c>
      <c r="C4" s="45" t="inlineStr">
        <is>
          <t>Tugas</t>
        </is>
      </c>
      <c r="D4" s="45" t="inlineStr">
        <is>
          <t>Pemilik</t>
        </is>
      </c>
      <c r="E4" s="45" t="inlineStr">
        <is>
          <t>Mulai</t>
        </is>
      </c>
      <c r="F4" s="45" t="inlineStr">
        <is>
          <t>Selesai</t>
        </is>
      </c>
      <c r="G4" s="45" t="inlineStr">
        <is>
          <t>Durasi (hari)</t>
        </is>
      </c>
      <c r="H4" s="45" t="inlineStr">
        <is>
          <t>Deliverable atau bukti</t>
        </is>
      </c>
      <c r="I4" s="45" t="inlineStr">
        <is>
          <t>Bobot (%)</t>
        </is>
      </c>
      <c r="J4" s="45" t="inlineStr">
        <is>
          <t>Progres</t>
        </is>
      </c>
      <c r="K4" s="45" t="inlineStr">
        <is>
          <t>Status</t>
        </is>
      </c>
      <c r="L4" s="45" t="inlineStr">
        <is>
          <t>Bergantung pada</t>
        </is>
      </c>
      <c r="M4" s="45" t="inlineStr">
        <is>
          <t>Catatan</t>
        </is>
      </c>
    </row>
    <row r="5" ht="15" customHeight="1" s="30">
      <c r="A5" s="47" t="n"/>
      <c r="B5" s="47" t="n"/>
      <c r="C5" s="47" t="n"/>
      <c r="D5" s="47" t="n"/>
      <c r="E5" s="48" t="n"/>
      <c r="F5" s="48" t="n"/>
      <c r="G5" s="54">
        <f>IF(AND(E5&lt;&gt;"",F5&lt;&gt;""),F5-E5+1,"")</f>
        <v/>
      </c>
      <c r="H5" s="47" t="n"/>
      <c r="I5" s="47" t="n"/>
      <c r="J5" s="55" t="n"/>
      <c r="K5" s="47" t="n"/>
      <c r="L5" s="47" t="n"/>
      <c r="M5" s="47" t="n"/>
    </row>
    <row r="6" ht="15" customHeight="1" s="30">
      <c r="A6" s="47" t="n"/>
      <c r="B6" s="47" t="n"/>
      <c r="C6" s="47" t="n"/>
      <c r="D6" s="47" t="n"/>
      <c r="E6" s="48" t="n"/>
      <c r="F6" s="48" t="n"/>
      <c r="G6" s="54">
        <f>IF(AND(E6&lt;&gt;"",F6&lt;&gt;""),F6-E6+1,"")</f>
        <v/>
      </c>
      <c r="H6" s="47" t="n"/>
      <c r="I6" s="47" t="n"/>
      <c r="J6" s="55" t="n"/>
      <c r="K6" s="47" t="n"/>
      <c r="L6" s="47" t="n"/>
      <c r="M6" s="47" t="n"/>
    </row>
    <row r="7" ht="15" customHeight="1" s="30">
      <c r="A7" s="47" t="n"/>
      <c r="B7" s="47" t="n"/>
      <c r="C7" s="47" t="n"/>
      <c r="D7" s="47" t="n"/>
      <c r="E7" s="48" t="n"/>
      <c r="F7" s="48" t="n"/>
      <c r="G7" s="54">
        <f>IF(AND(E7&lt;&gt;"",F7&lt;&gt;""),F7-E7+1,"")</f>
        <v/>
      </c>
      <c r="H7" s="47" t="n"/>
      <c r="I7" s="47" t="n"/>
      <c r="J7" s="55" t="n"/>
      <c r="K7" s="47" t="n"/>
      <c r="L7" s="47" t="n"/>
      <c r="M7" s="47" t="n"/>
    </row>
    <row r="8" ht="15" customHeight="1" s="30">
      <c r="A8" s="47" t="n"/>
      <c r="B8" s="47" t="n"/>
      <c r="C8" s="47" t="n"/>
      <c r="D8" s="47" t="n"/>
      <c r="E8" s="48" t="n"/>
      <c r="F8" s="48" t="n"/>
      <c r="G8" s="54">
        <f>IF(AND(E8&lt;&gt;"",F8&lt;&gt;""),F8-E8+1,"")</f>
        <v/>
      </c>
      <c r="H8" s="47" t="n"/>
      <c r="I8" s="47" t="n"/>
      <c r="J8" s="55" t="n"/>
      <c r="K8" s="47" t="n"/>
      <c r="L8" s="47" t="n"/>
      <c r="M8" s="47" t="n"/>
    </row>
    <row r="9" ht="23.85" customHeight="1" s="30">
      <c r="A9" s="47" t="n"/>
      <c r="B9" s="47" t="n"/>
      <c r="C9" s="47" t="n"/>
      <c r="D9" s="47" t="n"/>
      <c r="E9" s="48" t="n"/>
      <c r="F9" s="48" t="n"/>
      <c r="G9" s="54">
        <f>IF(AND(E9&lt;&gt;"",F9&lt;&gt;""),F9-E9+1,"")</f>
        <v/>
      </c>
      <c r="H9" s="47" t="n"/>
      <c r="I9" s="47" t="n"/>
      <c r="J9" s="55" t="n"/>
      <c r="K9" s="47" t="n"/>
      <c r="L9" s="47" t="n"/>
      <c r="M9" s="47" t="n"/>
    </row>
    <row r="10" ht="15" customHeight="1" s="30">
      <c r="A10" s="47" t="n"/>
      <c r="B10" s="47" t="n"/>
      <c r="C10" s="47" t="n"/>
      <c r="D10" s="47" t="n"/>
      <c r="E10" s="48" t="n"/>
      <c r="F10" s="48" t="n"/>
      <c r="G10" s="54">
        <f>IF(AND(E10&lt;&gt;"",F10&lt;&gt;""),F10-E10+1,"")</f>
        <v/>
      </c>
      <c r="H10" s="47" t="n"/>
      <c r="I10" s="47" t="n"/>
      <c r="J10" s="55" t="n"/>
      <c r="K10" s="47" t="n"/>
      <c r="L10" s="47" t="n"/>
      <c r="M10" s="47" t="n"/>
    </row>
    <row r="11" ht="15" customHeight="1" s="30">
      <c r="A11" s="47" t="n"/>
      <c r="B11" s="47" t="n"/>
      <c r="C11" s="47" t="n"/>
      <c r="D11" s="47" t="n"/>
      <c r="E11" s="48" t="n"/>
      <c r="F11" s="48" t="n"/>
      <c r="G11" s="54">
        <f>IF(AND(E11&lt;&gt;"",F11&lt;&gt;""),F11-E11+1,"")</f>
        <v/>
      </c>
      <c r="H11" s="47" t="n"/>
      <c r="I11" s="47" t="n"/>
      <c r="J11" s="55" t="n"/>
      <c r="K11" s="47" t="n"/>
      <c r="L11" s="47" t="n"/>
      <c r="M11" s="47" t="n"/>
    </row>
    <row r="12" ht="15" customHeight="1" s="30">
      <c r="A12" s="47" t="n"/>
      <c r="B12" s="47" t="n"/>
      <c r="C12" s="47" t="n"/>
      <c r="D12" s="47" t="n"/>
      <c r="E12" s="48" t="n"/>
      <c r="F12" s="48" t="n"/>
      <c r="G12" s="54">
        <f>IF(AND(E12&lt;&gt;"",F12&lt;&gt;""),F12-E12+1,"")</f>
        <v/>
      </c>
      <c r="H12" s="47" t="n"/>
      <c r="I12" s="47" t="n"/>
      <c r="J12" s="55" t="n"/>
      <c r="K12" s="47" t="n"/>
      <c r="L12" s="47" t="n"/>
      <c r="M12" s="47" t="n"/>
    </row>
    <row r="13" ht="15" customHeight="1" s="30">
      <c r="A13" s="47" t="n"/>
      <c r="B13" s="47" t="n"/>
      <c r="C13" s="47" t="n"/>
      <c r="D13" s="47" t="n"/>
      <c r="E13" s="48" t="n"/>
      <c r="F13" s="48" t="n"/>
      <c r="G13" s="54">
        <f>IF(AND(E13&lt;&gt;"",F13&lt;&gt;""),F13-E13+1,"")</f>
        <v/>
      </c>
      <c r="H13" s="47" t="n"/>
      <c r="I13" s="47" t="n"/>
      <c r="J13" s="55" t="n"/>
      <c r="K13" s="47" t="n"/>
      <c r="L13" s="47" t="n"/>
      <c r="M13" s="47" t="n"/>
    </row>
    <row r="14" ht="15" customHeight="1" s="30">
      <c r="A14" s="47" t="n"/>
      <c r="B14" s="47" t="n"/>
      <c r="C14" s="47" t="n"/>
      <c r="D14" s="47" t="n"/>
      <c r="E14" s="48" t="n"/>
      <c r="F14" s="48" t="n"/>
      <c r="G14" s="54">
        <f>IF(AND(E14&lt;&gt;"",F14&lt;&gt;""),F14-E14+1,"")</f>
        <v/>
      </c>
      <c r="H14" s="47" t="n"/>
      <c r="I14" s="47" t="n"/>
      <c r="J14" s="55" t="n"/>
      <c r="K14" s="47" t="n"/>
      <c r="L14" s="47" t="n"/>
      <c r="M14" s="47" t="n"/>
    </row>
    <row r="15" ht="15" customHeight="1" s="30">
      <c r="A15" s="47" t="n"/>
      <c r="B15" s="47" t="n"/>
      <c r="C15" s="47" t="n"/>
      <c r="D15" s="47" t="n"/>
      <c r="E15" s="48" t="n"/>
      <c r="F15" s="48" t="n"/>
      <c r="G15" s="54">
        <f>IF(AND(E15&lt;&gt;"",F15&lt;&gt;""),F15-E15+1,"")</f>
        <v/>
      </c>
      <c r="H15" s="47" t="n"/>
      <c r="I15" s="47" t="n"/>
      <c r="J15" s="55" t="n"/>
      <c r="K15" s="47" t="n"/>
      <c r="L15" s="47" t="n"/>
      <c r="M15" s="47" t="n"/>
    </row>
    <row r="16" ht="15" customHeight="1" s="30">
      <c r="A16" s="47" t="n"/>
      <c r="B16" s="47" t="n"/>
      <c r="C16" s="47" t="n"/>
      <c r="D16" s="47" t="n"/>
      <c r="E16" s="48" t="n"/>
      <c r="F16" s="48" t="n"/>
      <c r="G16" s="54">
        <f>IF(AND(E16&lt;&gt;"",F16&lt;&gt;""),F16-E16+1,"")</f>
        <v/>
      </c>
      <c r="H16" s="47" t="n"/>
      <c r="I16" s="47" t="n"/>
      <c r="J16" s="55" t="n"/>
      <c r="K16" s="47" t="n"/>
      <c r="L16" s="47" t="n"/>
      <c r="M16" s="47" t="n"/>
    </row>
    <row r="17" ht="15" customHeight="1" s="30">
      <c r="A17" s="47" t="n"/>
      <c r="B17" s="47" t="n"/>
      <c r="C17" s="47" t="n"/>
      <c r="D17" s="47" t="n"/>
      <c r="E17" s="48" t="n"/>
      <c r="F17" s="48" t="n"/>
      <c r="G17" s="54">
        <f>IF(AND(E17&lt;&gt;"",F17&lt;&gt;""),F17-E17+1,"")</f>
        <v/>
      </c>
      <c r="H17" s="47" t="n"/>
      <c r="I17" s="47" t="n"/>
      <c r="J17" s="55" t="n"/>
      <c r="K17" s="47" t="n"/>
      <c r="L17" s="47" t="n"/>
      <c r="M17" s="47" t="n"/>
    </row>
    <row r="18" ht="15" customHeight="1" s="30">
      <c r="A18" s="47" t="n"/>
      <c r="B18" s="47" t="n"/>
      <c r="C18" s="47" t="n"/>
      <c r="D18" s="47" t="n"/>
      <c r="E18" s="48" t="n"/>
      <c r="F18" s="48" t="n"/>
      <c r="G18" s="54">
        <f>IF(AND(E18&lt;&gt;"",F18&lt;&gt;""),F18-E18+1,"")</f>
        <v/>
      </c>
      <c r="H18" s="47" t="n"/>
      <c r="I18" s="47" t="n"/>
      <c r="J18" s="55" t="n"/>
      <c r="K18" s="47" t="n"/>
      <c r="L18" s="47" t="n"/>
      <c r="M18" s="47" t="n"/>
    </row>
    <row r="19" ht="15" customHeight="1" s="30">
      <c r="A19" s="47" t="n"/>
      <c r="B19" s="47" t="n"/>
      <c r="C19" s="47" t="n"/>
      <c r="D19" s="47" t="n"/>
      <c r="E19" s="48" t="n"/>
      <c r="F19" s="48" t="n"/>
      <c r="G19" s="54">
        <f>IF(AND(E19&lt;&gt;"",F19&lt;&gt;""),F19-E19+1,"")</f>
        <v/>
      </c>
      <c r="H19" s="47" t="n"/>
      <c r="I19" s="47" t="n"/>
      <c r="J19" s="55" t="n"/>
      <c r="K19" s="47" t="n"/>
      <c r="L19" s="47" t="n"/>
      <c r="M19" s="47" t="n"/>
    </row>
    <row r="20" ht="15" customHeight="1" s="30">
      <c r="A20" s="47" t="n"/>
      <c r="B20" s="47" t="n"/>
      <c r="C20" s="47" t="n"/>
      <c r="D20" s="47" t="n"/>
      <c r="E20" s="48" t="n"/>
      <c r="F20" s="48" t="n"/>
      <c r="G20" s="54">
        <f>IF(AND(E20&lt;&gt;"",F20&lt;&gt;""),F20-E20+1,"")</f>
        <v/>
      </c>
      <c r="H20" s="47" t="n"/>
      <c r="I20" s="47" t="n"/>
      <c r="J20" s="55" t="n"/>
      <c r="K20" s="47" t="n"/>
      <c r="L20" s="47" t="n"/>
      <c r="M20" s="47" t="n"/>
    </row>
    <row r="21" ht="15" customHeight="1" s="30">
      <c r="A21" s="47" t="n"/>
      <c r="B21" s="47" t="n"/>
      <c r="C21" s="47" t="n"/>
      <c r="D21" s="47" t="n"/>
      <c r="E21" s="48" t="n"/>
      <c r="F21" s="48" t="n"/>
      <c r="G21" s="54">
        <f>IF(AND(E21&lt;&gt;"",F21&lt;&gt;""),F21-E21+1,"")</f>
        <v/>
      </c>
      <c r="H21" s="47" t="n"/>
      <c r="I21" s="47" t="n"/>
      <c r="J21" s="55" t="n"/>
      <c r="K21" s="47" t="n"/>
      <c r="L21" s="47" t="n"/>
      <c r="M21" s="47" t="n"/>
    </row>
    <row r="22" ht="15" customHeight="1" s="30">
      <c r="A22" s="47" t="n"/>
      <c r="B22" s="47" t="n"/>
      <c r="C22" s="47" t="n"/>
      <c r="D22" s="47" t="n"/>
      <c r="E22" s="48" t="n"/>
      <c r="F22" s="48" t="n"/>
      <c r="G22" s="54">
        <f>IF(AND(E22&lt;&gt;"",F22&lt;&gt;""),F22-E22+1,"")</f>
        <v/>
      </c>
      <c r="H22" s="47" t="n"/>
      <c r="I22" s="47" t="n"/>
      <c r="J22" s="55" t="n"/>
      <c r="K22" s="47" t="n"/>
      <c r="L22" s="47" t="n"/>
      <c r="M22" s="47" t="n"/>
    </row>
    <row r="23" ht="15" customHeight="1" s="30">
      <c r="A23" s="47" t="n"/>
      <c r="B23" s="47" t="n"/>
      <c r="C23" s="47" t="n"/>
      <c r="D23" s="47" t="n"/>
      <c r="E23" s="48" t="n"/>
      <c r="F23" s="48" t="n"/>
      <c r="G23" s="54">
        <f>IF(AND(E23&lt;&gt;"",F23&lt;&gt;""),F23-E23+1,"")</f>
        <v/>
      </c>
      <c r="H23" s="47" t="n"/>
      <c r="I23" s="47" t="n"/>
      <c r="J23" s="55" t="n"/>
      <c r="K23" s="47" t="n"/>
      <c r="L23" s="47" t="n"/>
      <c r="M23" s="47" t="n"/>
    </row>
    <row r="24" ht="15" customHeight="1" s="30">
      <c r="A24" s="47" t="n"/>
      <c r="B24" s="47" t="n"/>
      <c r="C24" s="47" t="n"/>
      <c r="D24" s="47" t="n"/>
      <c r="E24" s="48" t="n"/>
      <c r="F24" s="48" t="n"/>
      <c r="G24" s="54">
        <f>IF(AND(E24&lt;&gt;"",F24&lt;&gt;""),F24-E24+1,"")</f>
        <v/>
      </c>
      <c r="H24" s="47" t="n"/>
      <c r="I24" s="47" t="n"/>
      <c r="J24" s="55" t="n"/>
      <c r="K24" s="47" t="n"/>
      <c r="L24" s="47" t="n"/>
      <c r="M24" s="47" t="n"/>
    </row>
    <row r="25" ht="15" customHeight="1" s="30">
      <c r="A25" s="47" t="n"/>
      <c r="B25" s="47" t="n"/>
      <c r="C25" s="47" t="n"/>
      <c r="D25" s="47" t="n"/>
      <c r="E25" s="48" t="n"/>
      <c r="F25" s="48" t="n"/>
      <c r="G25" s="54">
        <f>IF(AND(E25&lt;&gt;"",F25&lt;&gt;""),F25-E25+1,"")</f>
        <v/>
      </c>
      <c r="H25" s="47" t="n"/>
      <c r="I25" s="47" t="n"/>
      <c r="J25" s="55" t="n"/>
      <c r="K25" s="47" t="n"/>
      <c r="L25" s="47" t="n"/>
      <c r="M25" s="47" t="n"/>
    </row>
    <row r="26" ht="15" customHeight="1" s="30">
      <c r="A26" s="47" t="n"/>
      <c r="B26" s="47" t="n"/>
      <c r="C26" s="47" t="n"/>
      <c r="D26" s="47" t="n"/>
      <c r="E26" s="48" t="n"/>
      <c r="F26" s="48" t="n"/>
      <c r="G26" s="54">
        <f>IF(AND(E26&lt;&gt;"",F26&lt;&gt;""),F26-E26+1,"")</f>
        <v/>
      </c>
      <c r="H26" s="47" t="n"/>
      <c r="I26" s="47" t="n"/>
      <c r="J26" s="55" t="n"/>
      <c r="K26" s="47" t="n"/>
      <c r="L26" s="47" t="n"/>
      <c r="M26" s="47" t="n"/>
    </row>
    <row r="27" ht="15" customHeight="1" s="30">
      <c r="A27" s="47" t="n"/>
      <c r="B27" s="47" t="n"/>
      <c r="C27" s="47" t="n"/>
      <c r="D27" s="47" t="n"/>
      <c r="E27" s="48" t="n"/>
      <c r="F27" s="48" t="n"/>
      <c r="G27" s="54">
        <f>IF(AND(E27&lt;&gt;"",F27&lt;&gt;""),F27-E27+1,"")</f>
        <v/>
      </c>
      <c r="H27" s="47" t="n"/>
      <c r="I27" s="47" t="n"/>
      <c r="J27" s="55" t="n"/>
      <c r="K27" s="47" t="n"/>
      <c r="L27" s="47" t="n"/>
      <c r="M27" s="47" t="n"/>
    </row>
    <row r="28" ht="15" customHeight="1" s="30">
      <c r="A28" s="47" t="n"/>
      <c r="B28" s="47" t="n"/>
      <c r="C28" s="47" t="n"/>
      <c r="D28" s="47" t="n"/>
      <c r="E28" s="48" t="n"/>
      <c r="F28" s="48" t="n"/>
      <c r="G28" s="54">
        <f>IF(AND(E28&lt;&gt;"",F28&lt;&gt;""),F28-E28+1,"")</f>
        <v/>
      </c>
      <c r="H28" s="47" t="n"/>
      <c r="I28" s="47" t="n"/>
      <c r="J28" s="55" t="n"/>
      <c r="K28" s="47" t="n"/>
      <c r="L28" s="47" t="n"/>
      <c r="M28" s="47" t="n"/>
    </row>
    <row r="29" ht="15" customHeight="1" s="30">
      <c r="A29" s="47" t="n"/>
      <c r="B29" s="47" t="n"/>
      <c r="C29" s="47" t="n"/>
      <c r="D29" s="47" t="n"/>
      <c r="E29" s="48" t="n"/>
      <c r="F29" s="48" t="n"/>
      <c r="G29" s="54">
        <f>IF(AND(E29&lt;&gt;"",F29&lt;&gt;""),F29-E29+1,"")</f>
        <v/>
      </c>
      <c r="H29" s="47" t="n"/>
      <c r="I29" s="47" t="n"/>
      <c r="J29" s="55" t="n"/>
      <c r="K29" s="47" t="n"/>
      <c r="L29" s="47" t="n"/>
      <c r="M29" s="47" t="n"/>
    </row>
    <row r="30" ht="15" customHeight="1" s="30">
      <c r="A30" s="47" t="n"/>
      <c r="B30" s="47" t="n"/>
      <c r="C30" s="47" t="n"/>
      <c r="D30" s="47" t="n"/>
      <c r="E30" s="48" t="n"/>
      <c r="F30" s="48" t="n"/>
      <c r="G30" s="54">
        <f>IF(AND(E30&lt;&gt;"",F30&lt;&gt;""),F30-E30+1,"")</f>
        <v/>
      </c>
      <c r="H30" s="47" t="n"/>
      <c r="I30" s="47" t="n"/>
      <c r="J30" s="55" t="n"/>
      <c r="K30" s="47" t="n"/>
      <c r="L30" s="47" t="n"/>
      <c r="M30" s="47" t="n"/>
    </row>
    <row r="31" ht="15" customHeight="1" s="30">
      <c r="A31" s="47" t="n"/>
      <c r="B31" s="47" t="n"/>
      <c r="C31" s="47" t="n"/>
      <c r="D31" s="47" t="n"/>
      <c r="E31" s="48" t="n"/>
      <c r="F31" s="48" t="n"/>
      <c r="G31" s="54">
        <f>IF(AND(E31&lt;&gt;"",F31&lt;&gt;""),F31-E31+1,"")</f>
        <v/>
      </c>
      <c r="H31" s="47" t="n"/>
      <c r="I31" s="47" t="n"/>
      <c r="J31" s="55" t="n"/>
      <c r="K31" s="47" t="n"/>
      <c r="L31" s="47" t="n"/>
      <c r="M31" s="47" t="n"/>
    </row>
    <row r="32" ht="15" customHeight="1" s="30">
      <c r="A32" s="47" t="n"/>
      <c r="B32" s="47" t="n"/>
      <c r="C32" s="47" t="n"/>
      <c r="D32" s="47" t="n"/>
      <c r="E32" s="48" t="n"/>
      <c r="F32" s="48" t="n"/>
      <c r="G32" s="54">
        <f>IF(AND(E32&lt;&gt;"",F32&lt;&gt;""),F32-E32+1,"")</f>
        <v/>
      </c>
      <c r="H32" s="47" t="n"/>
      <c r="I32" s="47" t="n"/>
      <c r="J32" s="55" t="n"/>
      <c r="K32" s="47" t="n"/>
      <c r="L32" s="47" t="n"/>
      <c r="M32" s="47" t="n"/>
    </row>
    <row r="33" ht="15" customHeight="1" s="30">
      <c r="A33" s="47" t="n"/>
      <c r="B33" s="47" t="n"/>
      <c r="C33" s="47" t="n"/>
      <c r="D33" s="47" t="n"/>
      <c r="E33" s="48" t="n"/>
      <c r="F33" s="48" t="n"/>
      <c r="G33" s="54">
        <f>IF(AND(E33&lt;&gt;"",F33&lt;&gt;""),F33-E33+1,"")</f>
        <v/>
      </c>
      <c r="H33" s="47" t="n"/>
      <c r="I33" s="47" t="n"/>
      <c r="J33" s="55" t="n"/>
      <c r="K33" s="47" t="n"/>
      <c r="L33" s="47" t="n"/>
      <c r="M33" s="47" t="n"/>
    </row>
    <row r="34" ht="15" customHeight="1" s="30">
      <c r="A34" s="47" t="n"/>
      <c r="B34" s="47" t="n"/>
      <c r="C34" s="47" t="n"/>
      <c r="D34" s="47" t="n"/>
      <c r="E34" s="48" t="n"/>
      <c r="F34" s="48" t="n"/>
      <c r="G34" s="54">
        <f>IF(AND(E34&lt;&gt;"",F34&lt;&gt;""),F34-E34+1,"")</f>
        <v/>
      </c>
      <c r="H34" s="47" t="n"/>
      <c r="I34" s="47" t="n"/>
      <c r="J34" s="55" t="n"/>
      <c r="K34" s="47" t="n"/>
      <c r="L34" s="47" t="n"/>
      <c r="M34" s="47" t="n"/>
    </row>
    <row r="35" ht="15" customHeight="1" s="30">
      <c r="A35" s="47" t="n"/>
      <c r="B35" s="47" t="n"/>
      <c r="C35" s="47" t="n"/>
      <c r="D35" s="47" t="n"/>
      <c r="E35" s="48" t="n"/>
      <c r="F35" s="48" t="n"/>
      <c r="G35" s="54">
        <f>IF(AND(E35&lt;&gt;"",F35&lt;&gt;""),F35-E35+1,"")</f>
        <v/>
      </c>
      <c r="H35" s="47" t="n"/>
      <c r="I35" s="47" t="n"/>
      <c r="J35" s="55" t="n"/>
      <c r="K35" s="47" t="n"/>
      <c r="L35" s="47" t="n"/>
      <c r="M35" s="47" t="n"/>
    </row>
    <row r="36" ht="15" customHeight="1" s="30">
      <c r="A36" s="47" t="n"/>
      <c r="B36" s="47" t="n"/>
      <c r="C36" s="47" t="n"/>
      <c r="D36" s="47" t="n"/>
      <c r="E36" s="48" t="n"/>
      <c r="F36" s="48" t="n"/>
      <c r="G36" s="54">
        <f>IF(AND(E36&lt;&gt;"",F36&lt;&gt;""),F36-E36+1,"")</f>
        <v/>
      </c>
      <c r="H36" s="47" t="n"/>
      <c r="I36" s="47" t="n"/>
      <c r="J36" s="55" t="n"/>
      <c r="K36" s="47" t="n"/>
      <c r="L36" s="47" t="n"/>
      <c r="M36" s="47" t="n"/>
    </row>
    <row r="37" ht="15" customHeight="1" s="30">
      <c r="A37" s="47" t="n"/>
      <c r="B37" s="47" t="n"/>
      <c r="C37" s="47" t="n"/>
      <c r="D37" s="47" t="n"/>
      <c r="E37" s="48" t="n"/>
      <c r="F37" s="48" t="n"/>
      <c r="G37" s="54">
        <f>IF(AND(E37&lt;&gt;"",F37&lt;&gt;""),F37-E37+1,"")</f>
        <v/>
      </c>
      <c r="H37" s="47" t="n"/>
      <c r="I37" s="47" t="n"/>
      <c r="J37" s="55" t="n"/>
      <c r="K37" s="47" t="n"/>
      <c r="L37" s="47" t="n"/>
      <c r="M37" s="47" t="n"/>
    </row>
    <row r="38" ht="15" customHeight="1" s="30">
      <c r="A38" s="47" t="n"/>
      <c r="B38" s="47" t="n"/>
      <c r="C38" s="47" t="n"/>
      <c r="D38" s="47" t="n"/>
      <c r="E38" s="48" t="n"/>
      <c r="F38" s="48" t="n"/>
      <c r="G38" s="54">
        <f>IF(AND(E38&lt;&gt;"",F38&lt;&gt;""),F38-E38+1,"")</f>
        <v/>
      </c>
      <c r="H38" s="47" t="n"/>
      <c r="I38" s="47" t="n"/>
      <c r="J38" s="55" t="n"/>
      <c r="K38" s="47" t="n"/>
      <c r="L38" s="47" t="n"/>
      <c r="M38" s="47" t="n"/>
    </row>
    <row r="39" ht="15" customHeight="1" s="30">
      <c r="A39" s="47" t="n"/>
      <c r="B39" s="47" t="n"/>
      <c r="C39" s="47" t="n"/>
      <c r="D39" s="47" t="n"/>
      <c r="E39" s="48" t="n"/>
      <c r="F39" s="48" t="n"/>
      <c r="G39" s="54">
        <f>IF(AND(E39&lt;&gt;"",F39&lt;&gt;""),F39-E39+1,"")</f>
        <v/>
      </c>
      <c r="H39" s="47" t="n"/>
      <c r="I39" s="47" t="n"/>
      <c r="J39" s="55" t="n"/>
      <c r="K39" s="47" t="n"/>
      <c r="L39" s="47" t="n"/>
      <c r="M39" s="47" t="n"/>
    </row>
    <row r="40" ht="15" customHeight="1" s="30">
      <c r="A40" s="47" t="n"/>
      <c r="B40" s="47" t="n"/>
      <c r="C40" s="47" t="n"/>
      <c r="D40" s="47" t="n"/>
      <c r="E40" s="48" t="n"/>
      <c r="F40" s="48" t="n"/>
      <c r="G40" s="54">
        <f>IF(AND(E40&lt;&gt;"",F40&lt;&gt;""),F40-E40+1,"")</f>
        <v/>
      </c>
      <c r="H40" s="47" t="n"/>
      <c r="I40" s="47" t="n"/>
      <c r="J40" s="55" t="n"/>
      <c r="K40" s="47" t="n"/>
      <c r="L40" s="47" t="n"/>
      <c r="M40" s="47" t="n"/>
    </row>
    <row r="41" ht="15" customHeight="1" s="30">
      <c r="A41" s="47" t="n"/>
      <c r="B41" s="47" t="n"/>
      <c r="C41" s="47" t="n"/>
      <c r="D41" s="47" t="n"/>
      <c r="E41" s="48" t="n"/>
      <c r="F41" s="48" t="n"/>
      <c r="G41" s="54">
        <f>IF(AND(E41&lt;&gt;"",F41&lt;&gt;""),F41-E41+1,"")</f>
        <v/>
      </c>
      <c r="H41" s="47" t="n"/>
      <c r="I41" s="47" t="n"/>
      <c r="J41" s="55" t="n"/>
      <c r="K41" s="47" t="n"/>
      <c r="L41" s="47" t="n"/>
      <c r="M41" s="47" t="n"/>
    </row>
    <row r="42" ht="15" customHeight="1" s="30">
      <c r="A42" s="47" t="n"/>
      <c r="B42" s="47" t="n"/>
      <c r="C42" s="47" t="n"/>
      <c r="D42" s="47" t="n"/>
      <c r="E42" s="48" t="n"/>
      <c r="F42" s="48" t="n"/>
      <c r="G42" s="54">
        <f>IF(AND(E42&lt;&gt;"",F42&lt;&gt;""),F42-E42+1,"")</f>
        <v/>
      </c>
      <c r="H42" s="47" t="n"/>
      <c r="I42" s="47" t="n"/>
      <c r="J42" s="55" t="n"/>
      <c r="K42" s="47" t="n"/>
      <c r="L42" s="47" t="n"/>
      <c r="M42" s="47" t="n"/>
    </row>
    <row r="43" ht="15" customHeight="1" s="30">
      <c r="A43" s="47" t="n"/>
      <c r="B43" s="47" t="n"/>
      <c r="C43" s="47" t="n"/>
      <c r="D43" s="47" t="n"/>
      <c r="E43" s="48" t="n"/>
      <c r="F43" s="48" t="n"/>
      <c r="G43" s="54">
        <f>IF(AND(E43&lt;&gt;"",F43&lt;&gt;""),F43-E43+1,"")</f>
        <v/>
      </c>
      <c r="H43" s="47" t="n"/>
      <c r="I43" s="47" t="n"/>
      <c r="J43" s="55" t="n"/>
      <c r="K43" s="47" t="n"/>
      <c r="L43" s="47" t="n"/>
      <c r="M43" s="47" t="n"/>
    </row>
    <row r="44" ht="15" customHeight="1" s="30">
      <c r="A44" s="47" t="n"/>
      <c r="B44" s="47" t="n"/>
      <c r="C44" s="47" t="n"/>
      <c r="D44" s="47" t="n"/>
      <c r="E44" s="48" t="n"/>
      <c r="F44" s="48" t="n"/>
      <c r="G44" s="54">
        <f>IF(AND(E44&lt;&gt;"",F44&lt;&gt;""),F44-E44+1,"")</f>
        <v/>
      </c>
      <c r="H44" s="47" t="n"/>
      <c r="I44" s="47" t="n"/>
      <c r="J44" s="55" t="n"/>
      <c r="K44" s="47" t="n"/>
      <c r="L44" s="47" t="n"/>
      <c r="M44" s="47" t="n"/>
    </row>
    <row r="45" ht="15" customHeight="1" s="30">
      <c r="A45" s="47" t="n"/>
      <c r="B45" s="47" t="n"/>
      <c r="C45" s="47" t="n"/>
      <c r="D45" s="47" t="n"/>
      <c r="E45" s="48" t="n"/>
      <c r="F45" s="48" t="n"/>
      <c r="G45" s="54">
        <f>IF(AND(E45&lt;&gt;"",F45&lt;&gt;""),F45-E45+1,"")</f>
        <v/>
      </c>
      <c r="H45" s="47" t="n"/>
      <c r="I45" s="47" t="n"/>
      <c r="J45" s="55" t="n"/>
      <c r="K45" s="47" t="n"/>
      <c r="L45" s="47" t="n"/>
      <c r="M45" s="47" t="n"/>
    </row>
    <row r="46" ht="15" customHeight="1" s="30">
      <c r="A46" s="47" t="n"/>
      <c r="B46" s="47" t="n"/>
      <c r="C46" s="47" t="n"/>
      <c r="D46" s="47" t="n"/>
      <c r="E46" s="48" t="n"/>
      <c r="F46" s="48" t="n"/>
      <c r="G46" s="54">
        <f>IF(AND(E46&lt;&gt;"",F46&lt;&gt;""),F46-E46+1,"")</f>
        <v/>
      </c>
      <c r="H46" s="47" t="n"/>
      <c r="I46" s="47" t="n"/>
      <c r="J46" s="55" t="n"/>
      <c r="K46" s="47" t="n"/>
      <c r="L46" s="47" t="n"/>
      <c r="M46" s="47" t="n"/>
    </row>
    <row r="47" ht="15" customHeight="1" s="30">
      <c r="A47" s="47" t="n"/>
      <c r="B47" s="47" t="n"/>
      <c r="C47" s="47" t="n"/>
      <c r="D47" s="47" t="n"/>
      <c r="E47" s="48" t="n"/>
      <c r="F47" s="48" t="n"/>
      <c r="G47" s="54">
        <f>IF(AND(E47&lt;&gt;"",F47&lt;&gt;""),F47-E47+1,"")</f>
        <v/>
      </c>
      <c r="H47" s="47" t="n"/>
      <c r="I47" s="47" t="n"/>
      <c r="J47" s="55" t="n"/>
      <c r="K47" s="47" t="n"/>
      <c r="L47" s="47" t="n"/>
      <c r="M47" s="47" t="n"/>
    </row>
    <row r="48" ht="15" customHeight="1" s="30">
      <c r="A48" s="47" t="n"/>
      <c r="B48" s="47" t="n"/>
      <c r="C48" s="47" t="n"/>
      <c r="D48" s="47" t="n"/>
      <c r="E48" s="48" t="n"/>
      <c r="F48" s="48" t="n"/>
      <c r="G48" s="54">
        <f>IF(AND(E48&lt;&gt;"",F48&lt;&gt;""),F48-E48+1,"")</f>
        <v/>
      </c>
      <c r="H48" s="47" t="n"/>
      <c r="I48" s="47" t="n"/>
      <c r="J48" s="55" t="n"/>
      <c r="K48" s="47" t="n"/>
      <c r="L48" s="47" t="n"/>
      <c r="M48" s="47" t="n"/>
    </row>
    <row r="49" ht="15" customHeight="1" s="30">
      <c r="A49" s="47" t="n"/>
      <c r="B49" s="47" t="n"/>
      <c r="C49" s="47" t="n"/>
      <c r="D49" s="47" t="n"/>
      <c r="E49" s="48" t="n"/>
      <c r="F49" s="48" t="n"/>
      <c r="G49" s="54">
        <f>IF(AND(E49&lt;&gt;"",F49&lt;&gt;""),F49-E49+1,"")</f>
        <v/>
      </c>
      <c r="H49" s="47" t="n"/>
      <c r="I49" s="47" t="n"/>
      <c r="J49" s="55" t="n"/>
      <c r="K49" s="47" t="n"/>
      <c r="L49" s="47" t="n"/>
      <c r="M49" s="47" t="n"/>
    </row>
    <row r="50" ht="15" customHeight="1" s="30">
      <c r="A50" s="47" t="n"/>
      <c r="B50" s="47" t="n"/>
      <c r="C50" s="47" t="n"/>
      <c r="D50" s="47" t="n"/>
      <c r="E50" s="48" t="n"/>
      <c r="F50" s="48" t="n"/>
      <c r="G50" s="54">
        <f>IF(AND(E50&lt;&gt;"",F50&lt;&gt;""),F50-E50+1,"")</f>
        <v/>
      </c>
      <c r="H50" s="47" t="n"/>
      <c r="I50" s="47" t="n"/>
      <c r="J50" s="55" t="n"/>
      <c r="K50" s="47" t="n"/>
      <c r="L50" s="47" t="n"/>
      <c r="M50" s="47" t="n"/>
    </row>
    <row r="51" ht="15" customHeight="1" s="30">
      <c r="A51" s="47" t="n"/>
      <c r="B51" s="47" t="n"/>
      <c r="C51" s="47" t="n"/>
      <c r="D51" s="47" t="n"/>
      <c r="E51" s="48" t="n"/>
      <c r="F51" s="48" t="n"/>
      <c r="G51" s="54">
        <f>IF(AND(E51&lt;&gt;"",F51&lt;&gt;""),F51-E51+1,"")</f>
        <v/>
      </c>
      <c r="H51" s="47" t="n"/>
      <c r="I51" s="47" t="n"/>
      <c r="J51" s="55" t="n"/>
      <c r="K51" s="47" t="n"/>
      <c r="L51" s="47" t="n"/>
      <c r="M51" s="47" t="n"/>
    </row>
    <row r="52" ht="15" customHeight="1" s="30">
      <c r="A52" s="47" t="n"/>
      <c r="B52" s="47" t="n"/>
      <c r="C52" s="47" t="n"/>
      <c r="D52" s="47" t="n"/>
      <c r="E52" s="48" t="n"/>
      <c r="F52" s="48" t="n"/>
      <c r="G52" s="54">
        <f>IF(AND(E52&lt;&gt;"",F52&lt;&gt;""),F52-E52+1,"")</f>
        <v/>
      </c>
      <c r="H52" s="47" t="n"/>
      <c r="I52" s="47" t="n"/>
      <c r="J52" s="55" t="n"/>
      <c r="K52" s="47" t="n"/>
      <c r="L52" s="47" t="n"/>
      <c r="M52" s="47" t="n"/>
    </row>
    <row r="53" ht="15" customHeight="1" s="30">
      <c r="A53" s="47" t="n"/>
      <c r="B53" s="47" t="n"/>
      <c r="C53" s="47" t="n"/>
      <c r="D53" s="47" t="n"/>
      <c r="E53" s="48" t="n"/>
      <c r="F53" s="48" t="n"/>
      <c r="G53" s="54">
        <f>IF(AND(E53&lt;&gt;"",F53&lt;&gt;""),F53-E53+1,"")</f>
        <v/>
      </c>
      <c r="H53" s="47" t="n"/>
      <c r="I53" s="47" t="n"/>
      <c r="J53" s="55" t="n"/>
      <c r="K53" s="47" t="n"/>
      <c r="L53" s="47" t="n"/>
      <c r="M53" s="47" t="n"/>
    </row>
    <row r="54" ht="15" customHeight="1" s="30">
      <c r="A54" s="47" t="n"/>
      <c r="B54" s="47" t="n"/>
      <c r="C54" s="47" t="n"/>
      <c r="D54" s="47" t="n"/>
      <c r="E54" s="48" t="n"/>
      <c r="F54" s="48" t="n"/>
      <c r="G54" s="54">
        <f>IF(AND(E54&lt;&gt;"",F54&lt;&gt;""),F54-E54+1,"")</f>
        <v/>
      </c>
      <c r="H54" s="47" t="n"/>
      <c r="I54" s="47" t="n"/>
      <c r="J54" s="55" t="n"/>
      <c r="K54" s="47" t="n"/>
      <c r="L54" s="47" t="n"/>
      <c r="M54" s="47" t="n"/>
    </row>
    <row r="55" ht="15" customHeight="1" s="30">
      <c r="A55" s="47" t="n"/>
      <c r="B55" s="47" t="n"/>
      <c r="C55" s="47" t="n"/>
      <c r="D55" s="47" t="n"/>
      <c r="E55" s="48" t="n"/>
      <c r="F55" s="48" t="n"/>
      <c r="G55" s="54">
        <f>IF(AND(E55&lt;&gt;"",F55&lt;&gt;""),F55-E55+1,"")</f>
        <v/>
      </c>
      <c r="H55" s="47" t="n"/>
      <c r="I55" s="47" t="n"/>
      <c r="J55" s="55" t="n"/>
      <c r="K55" s="47" t="n"/>
      <c r="L55" s="47" t="n"/>
      <c r="M55" s="47" t="n"/>
    </row>
    <row r="56" ht="15" customHeight="1" s="30">
      <c r="A56" s="47" t="n"/>
      <c r="B56" s="47" t="n"/>
      <c r="C56" s="47" t="n"/>
      <c r="D56" s="47" t="n"/>
      <c r="E56" s="48" t="n"/>
      <c r="F56" s="48" t="n"/>
      <c r="G56" s="54">
        <f>IF(AND(E56&lt;&gt;"",F56&lt;&gt;""),F56-E56+1,"")</f>
        <v/>
      </c>
      <c r="H56" s="47" t="n"/>
      <c r="I56" s="47" t="n"/>
      <c r="J56" s="55" t="n"/>
      <c r="K56" s="47" t="n"/>
      <c r="L56" s="47" t="n"/>
      <c r="M56" s="47" t="n"/>
    </row>
    <row r="57" ht="15" customHeight="1" s="30">
      <c r="A57" s="47" t="n"/>
      <c r="B57" s="47" t="n"/>
      <c r="C57" s="47" t="n"/>
      <c r="D57" s="47" t="n"/>
      <c r="E57" s="48" t="n"/>
      <c r="F57" s="48" t="n"/>
      <c r="G57" s="54">
        <f>IF(AND(E57&lt;&gt;"",F57&lt;&gt;""),F57-E57+1,"")</f>
        <v/>
      </c>
      <c r="H57" s="47" t="n"/>
      <c r="I57" s="47" t="n"/>
      <c r="J57" s="55" t="n"/>
      <c r="K57" s="47" t="n"/>
      <c r="L57" s="47" t="n"/>
      <c r="M57" s="47" t="n"/>
    </row>
    <row r="58" ht="15" customHeight="1" s="30">
      <c r="A58" s="47" t="n"/>
      <c r="B58" s="47" t="n"/>
      <c r="C58" s="47" t="n"/>
      <c r="D58" s="47" t="n"/>
      <c r="E58" s="48" t="n"/>
      <c r="F58" s="48" t="n"/>
      <c r="G58" s="54">
        <f>IF(AND(E58&lt;&gt;"",F58&lt;&gt;""),F58-E58+1,"")</f>
        <v/>
      </c>
      <c r="H58" s="47" t="n"/>
      <c r="I58" s="47" t="n"/>
      <c r="J58" s="55" t="n"/>
      <c r="K58" s="47" t="n"/>
      <c r="L58" s="47" t="n"/>
      <c r="M58" s="47" t="n"/>
    </row>
    <row r="59" ht="15" customHeight="1" s="30">
      <c r="A59" s="47" t="n"/>
      <c r="B59" s="47" t="n"/>
      <c r="C59" s="47" t="n"/>
      <c r="D59" s="47" t="n"/>
      <c r="E59" s="48" t="n"/>
      <c r="F59" s="48" t="n"/>
      <c r="G59" s="54">
        <f>IF(AND(E59&lt;&gt;"",F59&lt;&gt;""),F59-E59+1,"")</f>
        <v/>
      </c>
      <c r="H59" s="47" t="n"/>
      <c r="I59" s="47" t="n"/>
      <c r="J59" s="55" t="n"/>
      <c r="K59" s="47" t="n"/>
      <c r="L59" s="47" t="n"/>
      <c r="M59" s="47" t="n"/>
    </row>
    <row r="60" ht="15" customHeight="1" s="30">
      <c r="A60" s="47" t="n"/>
      <c r="B60" s="47" t="n"/>
      <c r="C60" s="47" t="n"/>
      <c r="D60" s="47" t="n"/>
      <c r="E60" s="48" t="n"/>
      <c r="F60" s="48" t="n"/>
      <c r="G60" s="54">
        <f>IF(AND(E60&lt;&gt;"",F60&lt;&gt;""),F60-E60+1,"")</f>
        <v/>
      </c>
      <c r="H60" s="47" t="n"/>
      <c r="I60" s="47" t="n"/>
      <c r="J60" s="55" t="n"/>
      <c r="K60" s="47" t="n"/>
      <c r="L60" s="47" t="n"/>
      <c r="M60" s="47" t="n"/>
    </row>
    <row r="61" ht="15" customHeight="1" s="30">
      <c r="A61" s="47" t="n"/>
      <c r="B61" s="47" t="n"/>
      <c r="C61" s="47" t="n"/>
      <c r="D61" s="47" t="n"/>
      <c r="E61" s="48" t="n"/>
      <c r="F61" s="48" t="n"/>
      <c r="G61" s="54">
        <f>IF(AND(E61&lt;&gt;"",F61&lt;&gt;""),F61-E61+1,"")</f>
        <v/>
      </c>
      <c r="H61" s="47" t="n"/>
      <c r="I61" s="47" t="n"/>
      <c r="J61" s="55" t="n"/>
      <c r="K61" s="47" t="n"/>
      <c r="L61" s="47" t="n"/>
      <c r="M61" s="47" t="n"/>
    </row>
    <row r="62" ht="15" customHeight="1" s="30">
      <c r="A62" s="47" t="n"/>
      <c r="B62" s="47" t="n"/>
      <c r="C62" s="47" t="n"/>
      <c r="D62" s="47" t="n"/>
      <c r="E62" s="48" t="n"/>
      <c r="F62" s="48" t="n"/>
      <c r="G62" s="54">
        <f>IF(AND(E62&lt;&gt;"",F62&lt;&gt;""),F62-E62+1,"")</f>
        <v/>
      </c>
      <c r="H62" s="47" t="n"/>
      <c r="I62" s="47" t="n"/>
      <c r="J62" s="55" t="n"/>
      <c r="K62" s="47" t="n"/>
      <c r="L62" s="47" t="n"/>
      <c r="M62" s="47" t="n"/>
    </row>
    <row r="63" ht="15" customHeight="1" s="30">
      <c r="A63" s="47" t="n"/>
      <c r="B63" s="47" t="n"/>
      <c r="C63" s="47" t="n"/>
      <c r="D63" s="47" t="n"/>
      <c r="E63" s="48" t="n"/>
      <c r="F63" s="48" t="n"/>
      <c r="G63" s="54">
        <f>IF(AND(E63&lt;&gt;"",F63&lt;&gt;""),F63-E63+1,"")</f>
        <v/>
      </c>
      <c r="H63" s="47" t="n"/>
      <c r="I63" s="47" t="n"/>
      <c r="J63" s="55" t="n"/>
      <c r="K63" s="47" t="n"/>
      <c r="L63" s="47" t="n"/>
      <c r="M63" s="47" t="n"/>
    </row>
    <row r="64" ht="15" customHeight="1" s="30">
      <c r="A64" s="47" t="n"/>
      <c r="B64" s="47" t="n"/>
      <c r="C64" s="47" t="n"/>
      <c r="D64" s="47" t="n"/>
      <c r="E64" s="48" t="n"/>
      <c r="F64" s="48" t="n"/>
      <c r="G64" s="54">
        <f>IF(AND(E64&lt;&gt;"",F64&lt;&gt;""),F64-E64+1,"")</f>
        <v/>
      </c>
      <c r="H64" s="47" t="n"/>
      <c r="I64" s="47" t="n"/>
      <c r="J64" s="55" t="n"/>
      <c r="K64" s="47" t="n"/>
      <c r="L64" s="47" t="n"/>
      <c r="M64" s="47" t="n"/>
    </row>
    <row r="65" ht="15" customHeight="1" s="30">
      <c r="A65" s="47" t="n"/>
      <c r="B65" s="47" t="n"/>
      <c r="C65" s="47" t="n"/>
      <c r="D65" s="47" t="n"/>
      <c r="E65" s="48" t="n"/>
      <c r="F65" s="48" t="n"/>
      <c r="G65" s="54">
        <f>IF(AND(E65&lt;&gt;"",F65&lt;&gt;""),F65-E65+1,"")</f>
        <v/>
      </c>
      <c r="H65" s="47" t="n"/>
      <c r="I65" s="47" t="n"/>
      <c r="J65" s="55" t="n"/>
      <c r="K65" s="47" t="n"/>
      <c r="L65" s="47" t="n"/>
      <c r="M65" s="47" t="n"/>
    </row>
    <row r="66" ht="15" customHeight="1" s="30">
      <c r="A66" s="47" t="n"/>
      <c r="B66" s="47" t="n"/>
      <c r="C66" s="47" t="n"/>
      <c r="D66" s="47" t="n"/>
      <c r="E66" s="48" t="n"/>
      <c r="F66" s="48" t="n"/>
      <c r="G66" s="54">
        <f>IF(AND(E66&lt;&gt;"",F66&lt;&gt;""),F66-E66+1,"")</f>
        <v/>
      </c>
      <c r="H66" s="47" t="n"/>
      <c r="I66" s="47" t="n"/>
      <c r="J66" s="55" t="n"/>
      <c r="K66" s="47" t="n"/>
      <c r="L66" s="47" t="n"/>
      <c r="M66" s="47" t="n"/>
    </row>
    <row r="67" ht="15" customHeight="1" s="30">
      <c r="A67" s="47" t="n"/>
      <c r="B67" s="47" t="n"/>
      <c r="C67" s="47" t="n"/>
      <c r="D67" s="47" t="n"/>
      <c r="E67" s="48" t="n"/>
      <c r="F67" s="48" t="n"/>
      <c r="G67" s="54">
        <f>IF(AND(E67&lt;&gt;"",F67&lt;&gt;""),F67-E67+1,"")</f>
        <v/>
      </c>
      <c r="H67" s="47" t="n"/>
      <c r="I67" s="47" t="n"/>
      <c r="J67" s="55" t="n"/>
      <c r="K67" s="47" t="n"/>
      <c r="L67" s="47" t="n"/>
      <c r="M67" s="47" t="n"/>
    </row>
    <row r="68" ht="15" customHeight="1" s="30">
      <c r="A68" s="47" t="n"/>
      <c r="B68" s="47" t="n"/>
      <c r="C68" s="47" t="n"/>
      <c r="D68" s="47" t="n"/>
      <c r="E68" s="48" t="n"/>
      <c r="F68" s="48" t="n"/>
      <c r="G68" s="54">
        <f>IF(AND(E68&lt;&gt;"",F68&lt;&gt;""),F68-E68+1,"")</f>
        <v/>
      </c>
      <c r="H68" s="47" t="n"/>
      <c r="I68" s="47" t="n"/>
      <c r="J68" s="55" t="n"/>
      <c r="K68" s="47" t="n"/>
      <c r="L68" s="47" t="n"/>
      <c r="M68" s="47" t="n"/>
    </row>
    <row r="69" ht="15" customHeight="1" s="30">
      <c r="A69" s="47" t="n"/>
      <c r="B69" s="47" t="n"/>
      <c r="C69" s="47" t="n"/>
      <c r="D69" s="47" t="n"/>
      <c r="E69" s="48" t="n"/>
      <c r="F69" s="48" t="n"/>
      <c r="G69" s="54">
        <f>IF(AND(E69&lt;&gt;"",F69&lt;&gt;""),F69-E69+1,"")</f>
        <v/>
      </c>
      <c r="H69" s="47" t="n"/>
      <c r="I69" s="47" t="n"/>
      <c r="J69" s="55" t="n"/>
      <c r="K69" s="47" t="n"/>
      <c r="L69" s="47" t="n"/>
      <c r="M69" s="47" t="n"/>
    </row>
    <row r="70" ht="15" customHeight="1" s="30">
      <c r="A70" s="47" t="n"/>
      <c r="B70" s="47" t="n"/>
      <c r="C70" s="47" t="n"/>
      <c r="D70" s="47" t="n"/>
      <c r="E70" s="48" t="n"/>
      <c r="F70" s="48" t="n"/>
      <c r="G70" s="54">
        <f>IF(AND(E70&lt;&gt;"",F70&lt;&gt;""),F70-E70+1,"")</f>
        <v/>
      </c>
      <c r="H70" s="47" t="n"/>
      <c r="I70" s="47" t="n"/>
      <c r="J70" s="55" t="n"/>
      <c r="K70" s="47" t="n"/>
      <c r="L70" s="47" t="n"/>
      <c r="M70" s="47" t="n"/>
    </row>
    <row r="71" ht="15" customHeight="1" s="30">
      <c r="A71" s="47" t="n"/>
      <c r="B71" s="47" t="n"/>
      <c r="C71" s="47" t="n"/>
      <c r="D71" s="47" t="n"/>
      <c r="E71" s="48" t="n"/>
      <c r="F71" s="48" t="n"/>
      <c r="G71" s="54">
        <f>IF(AND(E71&lt;&gt;"",F71&lt;&gt;""),F71-E71+1,"")</f>
        <v/>
      </c>
      <c r="H71" s="47" t="n"/>
      <c r="I71" s="47" t="n"/>
      <c r="J71" s="55" t="n"/>
      <c r="K71" s="47" t="n"/>
      <c r="L71" s="47" t="n"/>
      <c r="M71" s="47" t="n"/>
    </row>
    <row r="72" ht="15" customHeight="1" s="30">
      <c r="A72" s="47" t="n"/>
      <c r="B72" s="47" t="n"/>
      <c r="C72" s="47" t="n"/>
      <c r="D72" s="47" t="n"/>
      <c r="E72" s="48" t="n"/>
      <c r="F72" s="48" t="n"/>
      <c r="G72" s="54">
        <f>IF(AND(E72&lt;&gt;"",F72&lt;&gt;""),F72-E72+1,"")</f>
        <v/>
      </c>
      <c r="H72" s="47" t="n"/>
      <c r="I72" s="47" t="n"/>
      <c r="J72" s="55" t="n"/>
      <c r="K72" s="47" t="n"/>
      <c r="L72" s="47" t="n"/>
      <c r="M72" s="47" t="n"/>
    </row>
    <row r="73" ht="15" customHeight="1" s="30">
      <c r="A73" s="47" t="n"/>
      <c r="B73" s="47" t="n"/>
      <c r="C73" s="47" t="n"/>
      <c r="D73" s="47" t="n"/>
      <c r="E73" s="48" t="n"/>
      <c r="F73" s="48" t="n"/>
      <c r="G73" s="54">
        <f>IF(AND(E73&lt;&gt;"",F73&lt;&gt;""),F73-E73+1,"")</f>
        <v/>
      </c>
      <c r="H73" s="47" t="n"/>
      <c r="I73" s="47" t="n"/>
      <c r="J73" s="55" t="n"/>
      <c r="K73" s="47" t="n"/>
      <c r="L73" s="47" t="n"/>
      <c r="M73" s="47" t="n"/>
    </row>
    <row r="74" ht="15" customHeight="1" s="30">
      <c r="A74" s="47" t="n"/>
      <c r="B74" s="47" t="n"/>
      <c r="C74" s="47" t="n"/>
      <c r="D74" s="47" t="n"/>
      <c r="E74" s="48" t="n"/>
      <c r="F74" s="48" t="n"/>
      <c r="G74" s="54">
        <f>IF(AND(E74&lt;&gt;"",F74&lt;&gt;""),F74-E74+1,"")</f>
        <v/>
      </c>
      <c r="H74" s="47" t="n"/>
      <c r="I74" s="47" t="n"/>
      <c r="J74" s="55" t="n"/>
      <c r="K74" s="47" t="n"/>
      <c r="L74" s="47" t="n"/>
      <c r="M74" s="47" t="n"/>
    </row>
    <row r="75" ht="15" customHeight="1" s="30">
      <c r="A75" s="47" t="n"/>
      <c r="B75" s="47" t="n"/>
      <c r="C75" s="47" t="n"/>
      <c r="D75" s="47" t="n"/>
      <c r="E75" s="48" t="n"/>
      <c r="F75" s="48" t="n"/>
      <c r="G75" s="54">
        <f>IF(AND(E75&lt;&gt;"",F75&lt;&gt;""),F75-E75+1,"")</f>
        <v/>
      </c>
      <c r="H75" s="47" t="n"/>
      <c r="I75" s="47" t="n"/>
      <c r="J75" s="55" t="n"/>
      <c r="K75" s="47" t="n"/>
      <c r="L75" s="47" t="n"/>
      <c r="M75" s="47" t="n"/>
    </row>
    <row r="76" ht="15" customHeight="1" s="30">
      <c r="A76" s="47" t="n"/>
      <c r="B76" s="47" t="n"/>
      <c r="C76" s="47" t="n"/>
      <c r="D76" s="47" t="n"/>
      <c r="E76" s="48" t="n"/>
      <c r="F76" s="48" t="n"/>
      <c r="G76" s="54">
        <f>IF(AND(E76&lt;&gt;"",F76&lt;&gt;""),F76-E76+1,"")</f>
        <v/>
      </c>
      <c r="H76" s="47" t="n"/>
      <c r="I76" s="47" t="n"/>
      <c r="J76" s="55" t="n"/>
      <c r="K76" s="47" t="n"/>
      <c r="L76" s="47" t="n"/>
      <c r="M76" s="47" t="n"/>
    </row>
    <row r="77" ht="15" customHeight="1" s="30">
      <c r="A77" s="47" t="n"/>
      <c r="B77" s="47" t="n"/>
      <c r="C77" s="47" t="n"/>
      <c r="D77" s="47" t="n"/>
      <c r="E77" s="48" t="n"/>
      <c r="F77" s="48" t="n"/>
      <c r="G77" s="54">
        <f>IF(AND(E77&lt;&gt;"",F77&lt;&gt;""),F77-E77+1,"")</f>
        <v/>
      </c>
      <c r="H77" s="47" t="n"/>
      <c r="I77" s="47" t="n"/>
      <c r="J77" s="55" t="n"/>
      <c r="K77" s="47" t="n"/>
      <c r="L77" s="47" t="n"/>
      <c r="M77" s="47" t="n"/>
    </row>
    <row r="78" ht="15" customHeight="1" s="30">
      <c r="A78" s="47" t="n"/>
      <c r="B78" s="47" t="n"/>
      <c r="C78" s="47" t="n"/>
      <c r="D78" s="47" t="n"/>
      <c r="E78" s="48" t="n"/>
      <c r="F78" s="48" t="n"/>
      <c r="G78" s="54">
        <f>IF(AND(E78&lt;&gt;"",F78&lt;&gt;""),F78-E78+1,"")</f>
        <v/>
      </c>
      <c r="H78" s="47" t="n"/>
      <c r="I78" s="47" t="n"/>
      <c r="J78" s="55" t="n"/>
      <c r="K78" s="47" t="n"/>
      <c r="L78" s="47" t="n"/>
      <c r="M78" s="47" t="n"/>
    </row>
    <row r="79" ht="15" customHeight="1" s="30">
      <c r="A79" s="47" t="n"/>
      <c r="B79" s="47" t="n"/>
      <c r="C79" s="47" t="n"/>
      <c r="D79" s="47" t="n"/>
      <c r="E79" s="48" t="n"/>
      <c r="F79" s="48" t="n"/>
      <c r="G79" s="54">
        <f>IF(AND(E79&lt;&gt;"",F79&lt;&gt;""),F79-E79+1,"")</f>
        <v/>
      </c>
      <c r="H79" s="47" t="n"/>
      <c r="I79" s="47" t="n"/>
      <c r="J79" s="55" t="n"/>
      <c r="K79" s="47" t="n"/>
      <c r="L79" s="47" t="n"/>
      <c r="M79" s="47" t="n"/>
    </row>
    <row r="80" ht="15" customHeight="1" s="30">
      <c r="A80" s="47" t="n"/>
      <c r="B80" s="47" t="n"/>
      <c r="C80" s="47" t="n"/>
      <c r="D80" s="47" t="n"/>
      <c r="E80" s="48" t="n"/>
      <c r="F80" s="48" t="n"/>
      <c r="G80" s="54">
        <f>IF(AND(E80&lt;&gt;"",F80&lt;&gt;""),F80-E80+1,"")</f>
        <v/>
      </c>
      <c r="H80" s="47" t="n"/>
      <c r="I80" s="47" t="n"/>
      <c r="J80" s="55" t="n"/>
      <c r="K80" s="47" t="n"/>
      <c r="L80" s="47" t="n"/>
      <c r="M80" s="47" t="n"/>
    </row>
    <row r="81" ht="15" customHeight="1" s="30">
      <c r="A81" s="47" t="n"/>
      <c r="B81" s="47" t="n"/>
      <c r="C81" s="47" t="n"/>
      <c r="D81" s="47" t="n"/>
      <c r="E81" s="48" t="n"/>
      <c r="F81" s="48" t="n"/>
      <c r="G81" s="54">
        <f>IF(AND(E81&lt;&gt;"",F81&lt;&gt;""),F81-E81+1,"")</f>
        <v/>
      </c>
      <c r="H81" s="47" t="n"/>
      <c r="I81" s="47" t="n"/>
      <c r="J81" s="55" t="n"/>
      <c r="K81" s="47" t="n"/>
      <c r="L81" s="47" t="n"/>
      <c r="M81" s="47" t="n"/>
    </row>
    <row r="82" ht="15" customHeight="1" s="30">
      <c r="A82" s="47" t="n"/>
      <c r="B82" s="47" t="n"/>
      <c r="C82" s="47" t="n"/>
      <c r="D82" s="47" t="n"/>
      <c r="E82" s="48" t="n"/>
      <c r="F82" s="48" t="n"/>
      <c r="G82" s="54">
        <f>IF(AND(E82&lt;&gt;"",F82&lt;&gt;""),F82-E82+1,"")</f>
        <v/>
      </c>
      <c r="H82" s="47" t="n"/>
      <c r="I82" s="47" t="n"/>
      <c r="J82" s="55" t="n"/>
      <c r="K82" s="47" t="n"/>
      <c r="L82" s="47" t="n"/>
      <c r="M82" s="47" t="n"/>
    </row>
    <row r="83" ht="15" customHeight="1" s="30">
      <c r="A83" s="47" t="n"/>
      <c r="B83" s="47" t="n"/>
      <c r="C83" s="47" t="n"/>
      <c r="D83" s="47" t="n"/>
      <c r="E83" s="48" t="n"/>
      <c r="F83" s="48" t="n"/>
      <c r="G83" s="54">
        <f>IF(AND(E83&lt;&gt;"",F83&lt;&gt;""),F83-E83+1,"")</f>
        <v/>
      </c>
      <c r="H83" s="47" t="n"/>
      <c r="I83" s="47" t="n"/>
      <c r="J83" s="55" t="n"/>
      <c r="K83" s="47" t="n"/>
      <c r="L83" s="47" t="n"/>
      <c r="M83" s="47" t="n"/>
    </row>
    <row r="84" ht="15" customHeight="1" s="30">
      <c r="A84" s="47" t="n"/>
      <c r="B84" s="47" t="n"/>
      <c r="C84" s="47" t="n"/>
      <c r="D84" s="47" t="n"/>
      <c r="E84" s="48" t="n"/>
      <c r="F84" s="48" t="n"/>
      <c r="G84" s="54">
        <f>IF(AND(E84&lt;&gt;"",F84&lt;&gt;""),F84-E84+1,"")</f>
        <v/>
      </c>
      <c r="H84" s="47" t="n"/>
      <c r="I84" s="47" t="n"/>
      <c r="J84" s="55" t="n"/>
      <c r="K84" s="47" t="n"/>
      <c r="L84" s="47" t="n"/>
      <c r="M84" s="47" t="n"/>
    </row>
    <row r="85" ht="15" customHeight="1" s="30">
      <c r="A85" s="47" t="n"/>
      <c r="B85" s="47" t="n"/>
      <c r="C85" s="47" t="n"/>
      <c r="D85" s="47" t="n"/>
      <c r="E85" s="48" t="n"/>
      <c r="F85" s="48" t="n"/>
      <c r="G85" s="54">
        <f>IF(AND(E85&lt;&gt;"",F85&lt;&gt;""),F85-E85+1,"")</f>
        <v/>
      </c>
      <c r="H85" s="47" t="n"/>
      <c r="I85" s="47" t="n"/>
      <c r="J85" s="55" t="n"/>
      <c r="K85" s="47" t="n"/>
      <c r="L85" s="47" t="n"/>
      <c r="M85" s="47" t="n"/>
    </row>
    <row r="86" ht="15" customHeight="1" s="30">
      <c r="A86" s="47" t="n"/>
      <c r="B86" s="47" t="n"/>
      <c r="C86" s="47" t="n"/>
      <c r="D86" s="47" t="n"/>
      <c r="E86" s="48" t="n"/>
      <c r="F86" s="48" t="n"/>
      <c r="G86" s="54">
        <f>IF(AND(E86&lt;&gt;"",F86&lt;&gt;""),F86-E86+1,"")</f>
        <v/>
      </c>
      <c r="H86" s="47" t="n"/>
      <c r="I86" s="47" t="n"/>
      <c r="J86" s="55" t="n"/>
      <c r="K86" s="47" t="n"/>
      <c r="L86" s="47" t="n"/>
      <c r="M86" s="47" t="n"/>
    </row>
    <row r="87" ht="15" customHeight="1" s="30">
      <c r="A87" s="47" t="n"/>
      <c r="B87" s="47" t="n"/>
      <c r="C87" s="47" t="n"/>
      <c r="D87" s="47" t="n"/>
      <c r="E87" s="48" t="n"/>
      <c r="F87" s="48" t="n"/>
      <c r="G87" s="54">
        <f>IF(AND(E87&lt;&gt;"",F87&lt;&gt;""),F87-E87+1,"")</f>
        <v/>
      </c>
      <c r="H87" s="47" t="n"/>
      <c r="I87" s="47" t="n"/>
      <c r="J87" s="55" t="n"/>
      <c r="K87" s="47" t="n"/>
      <c r="L87" s="47" t="n"/>
      <c r="M87" s="47" t="n"/>
    </row>
    <row r="88" ht="15" customHeight="1" s="30">
      <c r="A88" s="47" t="n"/>
      <c r="B88" s="47" t="n"/>
      <c r="C88" s="47" t="n"/>
      <c r="D88" s="47" t="n"/>
      <c r="E88" s="48" t="n"/>
      <c r="F88" s="48" t="n"/>
      <c r="G88" s="54">
        <f>IF(AND(E88&lt;&gt;"",F88&lt;&gt;""),F88-E88+1,"")</f>
        <v/>
      </c>
      <c r="H88" s="47" t="n"/>
      <c r="I88" s="47" t="n"/>
      <c r="J88" s="55" t="n"/>
      <c r="K88" s="47" t="n"/>
      <c r="L88" s="47" t="n"/>
      <c r="M88" s="47" t="n"/>
    </row>
    <row r="89" ht="15" customHeight="1" s="30">
      <c r="A89" s="47" t="n"/>
      <c r="B89" s="47" t="n"/>
      <c r="C89" s="47" t="n"/>
      <c r="D89" s="47" t="n"/>
      <c r="E89" s="48" t="n"/>
      <c r="F89" s="48" t="n"/>
      <c r="G89" s="54">
        <f>IF(AND(E89&lt;&gt;"",F89&lt;&gt;""),F89-E89+1,"")</f>
        <v/>
      </c>
      <c r="H89" s="47" t="n"/>
      <c r="I89" s="47" t="n"/>
      <c r="J89" s="55" t="n"/>
      <c r="K89" s="47" t="n"/>
      <c r="L89" s="47" t="n"/>
      <c r="M89" s="47" t="n"/>
    </row>
    <row r="90" ht="15" customHeight="1" s="30">
      <c r="A90" s="47" t="n"/>
      <c r="B90" s="47" t="n"/>
      <c r="C90" s="47" t="n"/>
      <c r="D90" s="47" t="n"/>
      <c r="E90" s="48" t="n"/>
      <c r="F90" s="48" t="n"/>
      <c r="G90" s="54">
        <f>IF(AND(E90&lt;&gt;"",F90&lt;&gt;""),F90-E90+1,"")</f>
        <v/>
      </c>
      <c r="H90" s="47" t="n"/>
      <c r="I90" s="47" t="n"/>
      <c r="J90" s="55" t="n"/>
      <c r="K90" s="47" t="n"/>
      <c r="L90" s="47" t="n"/>
      <c r="M90" s="47" t="n"/>
    </row>
    <row r="91" ht="15" customHeight="1" s="30">
      <c r="A91" s="47" t="n"/>
      <c r="B91" s="47" t="n"/>
      <c r="C91" s="47" t="n"/>
      <c r="D91" s="47" t="n"/>
      <c r="E91" s="48" t="n"/>
      <c r="F91" s="48" t="n"/>
      <c r="G91" s="54">
        <f>IF(AND(E91&lt;&gt;"",F91&lt;&gt;""),F91-E91+1,"")</f>
        <v/>
      </c>
      <c r="H91" s="47" t="n"/>
      <c r="I91" s="47" t="n"/>
      <c r="J91" s="55" t="n"/>
      <c r="K91" s="47" t="n"/>
      <c r="L91" s="47" t="n"/>
      <c r="M91" s="47" t="n"/>
    </row>
    <row r="92" ht="15" customHeight="1" s="30">
      <c r="A92" s="47" t="n"/>
      <c r="B92" s="47" t="n"/>
      <c r="C92" s="47" t="n"/>
      <c r="D92" s="47" t="n"/>
      <c r="E92" s="48" t="n"/>
      <c r="F92" s="48" t="n"/>
      <c r="G92" s="54">
        <f>IF(AND(E92&lt;&gt;"",F92&lt;&gt;""),F92-E92+1,"")</f>
        <v/>
      </c>
      <c r="H92" s="47" t="n"/>
      <c r="I92" s="47" t="n"/>
      <c r="J92" s="55" t="n"/>
      <c r="K92" s="47" t="n"/>
      <c r="L92" s="47" t="n"/>
      <c r="M92" s="47" t="n"/>
    </row>
    <row r="93" ht="15" customHeight="1" s="30">
      <c r="A93" s="47" t="n"/>
      <c r="B93" s="47" t="n"/>
      <c r="C93" s="47" t="n"/>
      <c r="D93" s="47" t="n"/>
      <c r="E93" s="48" t="n"/>
      <c r="F93" s="48" t="n"/>
      <c r="G93" s="54">
        <f>IF(AND(E93&lt;&gt;"",F93&lt;&gt;""),F93-E93+1,"")</f>
        <v/>
      </c>
      <c r="H93" s="47" t="n"/>
      <c r="I93" s="47" t="n"/>
      <c r="J93" s="55" t="n"/>
      <c r="K93" s="47" t="n"/>
      <c r="L93" s="47" t="n"/>
      <c r="M93" s="47" t="n"/>
    </row>
    <row r="94" ht="15" customHeight="1" s="30">
      <c r="A94" s="47" t="n"/>
      <c r="B94" s="47" t="n"/>
      <c r="C94" s="47" t="n"/>
      <c r="D94" s="47" t="n"/>
      <c r="E94" s="48" t="n"/>
      <c r="F94" s="48" t="n"/>
      <c r="G94" s="54">
        <f>IF(AND(E94&lt;&gt;"",F94&lt;&gt;""),F94-E94+1,"")</f>
        <v/>
      </c>
      <c r="H94" s="47" t="n"/>
      <c r="I94" s="47" t="n"/>
      <c r="J94" s="55" t="n"/>
      <c r="K94" s="47" t="n"/>
      <c r="L94" s="47" t="n"/>
      <c r="M94" s="47" t="n"/>
    </row>
    <row r="95" ht="15" customHeight="1" s="30">
      <c r="A95" s="47" t="n"/>
      <c r="B95" s="47" t="n"/>
      <c r="C95" s="47" t="n"/>
      <c r="D95" s="47" t="n"/>
      <c r="E95" s="48" t="n"/>
      <c r="F95" s="48" t="n"/>
      <c r="G95" s="54">
        <f>IF(AND(E95&lt;&gt;"",F95&lt;&gt;""),F95-E95+1,"")</f>
        <v/>
      </c>
      <c r="H95" s="47" t="n"/>
      <c r="I95" s="47" t="n"/>
      <c r="J95" s="55" t="n"/>
      <c r="K95" s="47" t="n"/>
      <c r="L95" s="47" t="n"/>
      <c r="M95" s="47" t="n"/>
    </row>
    <row r="96" ht="15" customHeight="1" s="30">
      <c r="A96" s="47" t="n"/>
      <c r="B96" s="47" t="n"/>
      <c r="C96" s="47" t="n"/>
      <c r="D96" s="47" t="n"/>
      <c r="E96" s="48" t="n"/>
      <c r="F96" s="48" t="n"/>
      <c r="G96" s="54">
        <f>IF(AND(E96&lt;&gt;"",F96&lt;&gt;""),F96-E96+1,"")</f>
        <v/>
      </c>
      <c r="H96" s="47" t="n"/>
      <c r="I96" s="47" t="n"/>
      <c r="J96" s="55" t="n"/>
      <c r="K96" s="47" t="n"/>
      <c r="L96" s="47" t="n"/>
      <c r="M96" s="47" t="n"/>
    </row>
    <row r="97" ht="15" customHeight="1" s="30">
      <c r="A97" s="47" t="n"/>
      <c r="B97" s="47" t="n"/>
      <c r="C97" s="47" t="n"/>
      <c r="D97" s="47" t="n"/>
      <c r="E97" s="48" t="n"/>
      <c r="F97" s="48" t="n"/>
      <c r="G97" s="54">
        <f>IF(AND(E97&lt;&gt;"",F97&lt;&gt;""),F97-E97+1,"")</f>
        <v/>
      </c>
      <c r="H97" s="47" t="n"/>
      <c r="I97" s="47" t="n"/>
      <c r="J97" s="55" t="n"/>
      <c r="K97" s="47" t="n"/>
      <c r="L97" s="47" t="n"/>
      <c r="M97" s="47" t="n"/>
    </row>
    <row r="98" ht="15" customHeight="1" s="30">
      <c r="A98" s="47" t="n"/>
      <c r="B98" s="47" t="n"/>
      <c r="C98" s="47" t="n"/>
      <c r="D98" s="47" t="n"/>
      <c r="E98" s="48" t="n"/>
      <c r="F98" s="48" t="n"/>
      <c r="G98" s="54">
        <f>IF(AND(E98&lt;&gt;"",F98&lt;&gt;""),F98-E98+1,"")</f>
        <v/>
      </c>
      <c r="H98" s="47" t="n"/>
      <c r="I98" s="47" t="n"/>
      <c r="J98" s="55" t="n"/>
      <c r="K98" s="47" t="n"/>
      <c r="L98" s="47" t="n"/>
      <c r="M98" s="47" t="n"/>
    </row>
    <row r="99" ht="15" customHeight="1" s="30">
      <c r="A99" s="47" t="n"/>
      <c r="B99" s="47" t="n"/>
      <c r="C99" s="47" t="n"/>
      <c r="D99" s="47" t="n"/>
      <c r="E99" s="48" t="n"/>
      <c r="F99" s="48" t="n"/>
      <c r="G99" s="54">
        <f>IF(AND(E99&lt;&gt;"",F99&lt;&gt;""),F99-E99+1,"")</f>
        <v/>
      </c>
      <c r="H99" s="47" t="n"/>
      <c r="I99" s="47" t="n"/>
      <c r="J99" s="55" t="n"/>
      <c r="K99" s="47" t="n"/>
      <c r="L99" s="47" t="n"/>
      <c r="M99" s="47" t="n"/>
    </row>
    <row r="100" ht="15" customHeight="1" s="30">
      <c r="A100" s="47" t="n"/>
      <c r="B100" s="47" t="n"/>
      <c r="C100" s="47" t="n"/>
      <c r="D100" s="47" t="n"/>
      <c r="E100" s="48" t="n"/>
      <c r="F100" s="48" t="n"/>
      <c r="G100" s="54">
        <f>IF(AND(E100&lt;&gt;"",F100&lt;&gt;""),F100-E100+1,"")</f>
        <v/>
      </c>
      <c r="H100" s="47" t="n"/>
      <c r="I100" s="47" t="n"/>
      <c r="J100" s="55" t="n"/>
      <c r="K100" s="47" t="n"/>
      <c r="L100" s="47" t="n"/>
      <c r="M100" s="47" t="n"/>
    </row>
    <row r="101" ht="15" customHeight="1" s="30">
      <c r="A101" s="47" t="n"/>
      <c r="B101" s="47" t="n"/>
      <c r="C101" s="47" t="n"/>
      <c r="D101" s="47" t="n"/>
      <c r="E101" s="48" t="n"/>
      <c r="F101" s="48" t="n"/>
      <c r="G101" s="54">
        <f>IF(AND(E101&lt;&gt;"",F101&lt;&gt;""),F101-E101+1,"")</f>
        <v/>
      </c>
      <c r="H101" s="47" t="n"/>
      <c r="I101" s="47" t="n"/>
      <c r="J101" s="55" t="n"/>
      <c r="K101" s="47" t="n"/>
      <c r="L101" s="47" t="n"/>
      <c r="M101" s="47" t="n"/>
    </row>
    <row r="102" ht="15" customHeight="1" s="30">
      <c r="A102" s="47" t="n"/>
      <c r="B102" s="47" t="n"/>
      <c r="C102" s="47" t="n"/>
      <c r="D102" s="47" t="n"/>
      <c r="E102" s="48" t="n"/>
      <c r="F102" s="48" t="n"/>
      <c r="G102" s="54">
        <f>IF(AND(E102&lt;&gt;"",F102&lt;&gt;""),F102-E102+1,"")</f>
        <v/>
      </c>
      <c r="H102" s="47" t="n"/>
      <c r="I102" s="47" t="n"/>
      <c r="J102" s="55" t="n"/>
      <c r="K102" s="47" t="n"/>
      <c r="L102" s="47" t="n"/>
      <c r="M102" s="47" t="n"/>
    </row>
    <row r="103" ht="15" customHeight="1" s="30">
      <c r="A103" s="47" t="n"/>
      <c r="B103" s="47" t="n"/>
      <c r="C103" s="47" t="n"/>
      <c r="D103" s="47" t="n"/>
      <c r="E103" s="48" t="n"/>
      <c r="F103" s="48" t="n"/>
      <c r="G103" s="54">
        <f>IF(AND(E103&lt;&gt;"",F103&lt;&gt;""),F103-E103+1,"")</f>
        <v/>
      </c>
      <c r="H103" s="47" t="n"/>
      <c r="I103" s="47" t="n"/>
      <c r="J103" s="55" t="n"/>
      <c r="K103" s="47" t="n"/>
      <c r="L103" s="47" t="n"/>
      <c r="M103" s="47" t="n"/>
    </row>
    <row r="104" ht="15" customHeight="1" s="30">
      <c r="A104" s="47" t="n"/>
      <c r="B104" s="47" t="n"/>
      <c r="C104" s="47" t="n"/>
      <c r="D104" s="47" t="n"/>
      <c r="E104" s="48" t="n"/>
      <c r="F104" s="48" t="n"/>
      <c r="G104" s="54">
        <f>IF(AND(E104&lt;&gt;"",F104&lt;&gt;""),F104-E104+1,"")</f>
        <v/>
      </c>
      <c r="H104" s="47" t="n"/>
      <c r="I104" s="47" t="n"/>
      <c r="J104" s="55" t="n"/>
      <c r="K104" s="47" t="n"/>
      <c r="L104" s="47" t="n"/>
      <c r="M104" s="47" t="n"/>
    </row>
  </sheetData>
  <autoFilter ref="A4:M104"/>
  <conditionalFormatting sqref="K5:K104">
    <cfRule type="expression" rank="0" priority="2" equalAverage="0" aboveAverage="0" dxfId="6" text="" percent="0" bottom="0">
      <formula>AND($F5&lt;TODAY(),$K5&lt;&gt;"Selesai",$K5&lt;&gt;"Dibatalkan",$F5&lt;&gt;"")</formula>
    </cfRule>
    <cfRule type="cellIs" rank="0" priority="3" equalAverage="0" operator="equal" aboveAverage="0" dxfId="5" text="" percent="0" bottom="0">
      <formula>"Selesai"</formula>
    </cfRule>
    <cfRule type="cellIs" rank="0" priority="4" equalAverage="0" operator="equal" aboveAverage="0" dxfId="9" text="" percent="0" bottom="0">
      <formula>"Tertunda"</formula>
    </cfRule>
  </conditionalFormatting>
  <dataValidations count="1">
    <dataValidation sqref="K5:K104" showDropDown="0" showInputMessage="0" showErrorMessage="0" allowBlank="1" type="list" errorStyle="stop" operator="between">
      <formula1>Daftar!$A$2:$A$6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G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Right"/>
      <selection pane="bottomLeft"/>
      <selection pane="bottomRigh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29" min="1" max="1"/>
    <col width="40" customWidth="1" style="29" min="2" max="2"/>
    <col width="13" customWidth="1" style="29" min="3" max="3"/>
    <col width="16" customWidth="1" style="29" min="4" max="4"/>
    <col width="12" customWidth="1" style="29" min="5" max="5"/>
    <col width="16" customWidth="1" style="29" min="6" max="6"/>
    <col width="30" customWidth="1" style="29" min="7" max="7"/>
  </cols>
  <sheetData>
    <row r="1" ht="16.15" customHeight="1" s="30">
      <c r="A1" s="43" t="inlineStr">
        <is>
          <t>Milestone proyek</t>
        </is>
      </c>
    </row>
    <row r="2" ht="15" customHeight="1" s="30">
      <c r="A2" s="32" t="inlineStr">
        <is>
          <t>Deviasi = tanggal aktual atau perkiraan dikurangi rencana (hari). Positif berarti terlambat.</t>
        </is>
      </c>
    </row>
    <row r="4" ht="31.5" customHeight="1" s="30">
      <c r="A4" s="45" t="inlineStr">
        <is>
          <t>No</t>
        </is>
      </c>
      <c r="B4" s="45" t="inlineStr">
        <is>
          <t>Milestone</t>
        </is>
      </c>
      <c r="C4" s="45" t="inlineStr">
        <is>
          <t>Rencana</t>
        </is>
      </c>
      <c r="D4" s="45" t="inlineStr">
        <is>
          <t>Aktual atau perkiraan</t>
        </is>
      </c>
      <c r="E4" s="45" t="inlineStr">
        <is>
          <t>Deviasi (hari)</t>
        </is>
      </c>
      <c r="F4" s="45" t="inlineStr">
        <is>
          <t>Status</t>
        </is>
      </c>
      <c r="G4" s="45" t="inlineStr">
        <is>
          <t>Keterangan</t>
        </is>
      </c>
    </row>
    <row r="5" ht="15" customHeight="1" s="30">
      <c r="A5" s="47" t="n"/>
      <c r="B5" s="47" t="n"/>
      <c r="C5" s="48" t="n"/>
      <c r="D5" s="48" t="n"/>
      <c r="E5" s="54">
        <f>IF(AND(C5&lt;&gt;"",D5&lt;&gt;""),D5-C5,"")</f>
        <v/>
      </c>
      <c r="F5" s="47" t="n"/>
      <c r="G5" s="47" t="n"/>
    </row>
    <row r="6" ht="15" customHeight="1" s="30">
      <c r="A6" s="47" t="n"/>
      <c r="B6" s="47" t="n"/>
      <c r="C6" s="48" t="n"/>
      <c r="D6" s="48" t="n"/>
      <c r="E6" s="54">
        <f>IF(AND(C6&lt;&gt;"",D6&lt;&gt;""),D6-C6,"")</f>
        <v/>
      </c>
      <c r="F6" s="47" t="n"/>
      <c r="G6" s="47" t="n"/>
    </row>
    <row r="7" ht="15" customHeight="1" s="30">
      <c r="A7" s="47" t="n"/>
      <c r="B7" s="47" t="n"/>
      <c r="C7" s="48" t="n"/>
      <c r="D7" s="48" t="n"/>
      <c r="E7" s="54">
        <f>IF(AND(C7&lt;&gt;"",D7&lt;&gt;""),D7-C7,"")</f>
        <v/>
      </c>
      <c r="F7" s="47" t="n"/>
      <c r="G7" s="47" t="n"/>
    </row>
    <row r="8" ht="15" customHeight="1" s="30">
      <c r="A8" s="47" t="n"/>
      <c r="B8" s="47" t="n"/>
      <c r="C8" s="48" t="n"/>
      <c r="D8" s="48" t="n"/>
      <c r="E8" s="54">
        <f>IF(AND(C8&lt;&gt;"",D8&lt;&gt;""),D8-C8,"")</f>
        <v/>
      </c>
      <c r="F8" s="47" t="n"/>
      <c r="G8" s="47" t="n"/>
    </row>
    <row r="9" ht="15" customHeight="1" s="30">
      <c r="A9" s="47" t="n"/>
      <c r="B9" s="47" t="n"/>
      <c r="C9" s="48" t="n"/>
      <c r="D9" s="48" t="n"/>
      <c r="E9" s="54">
        <f>IF(AND(C9&lt;&gt;"",D9&lt;&gt;""),D9-C9,"")</f>
        <v/>
      </c>
      <c r="F9" s="47" t="n"/>
      <c r="G9" s="47" t="n"/>
    </row>
    <row r="10" ht="15" customHeight="1" s="30">
      <c r="A10" s="47" t="n"/>
      <c r="B10" s="47" t="n"/>
      <c r="C10" s="48" t="n"/>
      <c r="D10" s="48" t="n"/>
      <c r="E10" s="54">
        <f>IF(AND(C10&lt;&gt;"",D10&lt;&gt;""),D10-C10,"")</f>
        <v/>
      </c>
      <c r="F10" s="47" t="n"/>
      <c r="G10" s="47" t="n"/>
    </row>
    <row r="11" ht="15" customHeight="1" s="30">
      <c r="A11" s="47" t="n"/>
      <c r="B11" s="47" t="n"/>
      <c r="C11" s="48" t="n"/>
      <c r="D11" s="48" t="n"/>
      <c r="E11" s="54">
        <f>IF(AND(C11&lt;&gt;"",D11&lt;&gt;""),D11-C11,"")</f>
        <v/>
      </c>
      <c r="F11" s="47" t="n"/>
      <c r="G11" s="47" t="n"/>
    </row>
    <row r="12" ht="15" customHeight="1" s="30">
      <c r="A12" s="47" t="n"/>
      <c r="B12" s="47" t="n"/>
      <c r="C12" s="48" t="n"/>
      <c r="D12" s="48" t="n"/>
      <c r="E12" s="54">
        <f>IF(AND(C12&lt;&gt;"",D12&lt;&gt;""),D12-C12,"")</f>
        <v/>
      </c>
      <c r="F12" s="47" t="n"/>
      <c r="G12" s="47" t="n"/>
    </row>
    <row r="13" ht="15" customHeight="1" s="30">
      <c r="A13" s="47" t="n"/>
      <c r="B13" s="47" t="n"/>
      <c r="C13" s="48" t="n"/>
      <c r="D13" s="48" t="n"/>
      <c r="E13" s="54">
        <f>IF(AND(C13&lt;&gt;"",D13&lt;&gt;""),D13-C13,"")</f>
        <v/>
      </c>
      <c r="F13" s="47" t="n"/>
      <c r="G13" s="47" t="n"/>
    </row>
    <row r="14" ht="15" customHeight="1" s="30">
      <c r="A14" s="47" t="n"/>
      <c r="B14" s="47" t="n"/>
      <c r="C14" s="48" t="n"/>
      <c r="D14" s="48" t="n"/>
      <c r="E14" s="54">
        <f>IF(AND(C14&lt;&gt;"",D14&lt;&gt;""),D14-C14,"")</f>
        <v/>
      </c>
      <c r="F14" s="47" t="n"/>
      <c r="G14" s="47" t="n"/>
    </row>
    <row r="15" ht="15" customHeight="1" s="30">
      <c r="A15" s="47" t="n"/>
      <c r="B15" s="47" t="n"/>
      <c r="C15" s="48" t="n"/>
      <c r="D15" s="48" t="n"/>
      <c r="E15" s="54">
        <f>IF(AND(C15&lt;&gt;"",D15&lt;&gt;""),D15-C15,"")</f>
        <v/>
      </c>
      <c r="F15" s="47" t="n"/>
      <c r="G15" s="47" t="n"/>
    </row>
    <row r="16" ht="15" customHeight="1" s="30">
      <c r="A16" s="47" t="n"/>
      <c r="B16" s="47" t="n"/>
      <c r="C16" s="48" t="n"/>
      <c r="D16" s="48" t="n"/>
      <c r="E16" s="54">
        <f>IF(AND(C16&lt;&gt;"",D16&lt;&gt;""),D16-C16,"")</f>
        <v/>
      </c>
      <c r="F16" s="47" t="n"/>
      <c r="G16" s="47" t="n"/>
    </row>
    <row r="17" ht="15" customHeight="1" s="30">
      <c r="A17" s="47" t="n"/>
      <c r="B17" s="47" t="n"/>
      <c r="C17" s="48" t="n"/>
      <c r="D17" s="48" t="n"/>
      <c r="E17" s="54">
        <f>IF(AND(C17&lt;&gt;"",D17&lt;&gt;""),D17-C17,"")</f>
        <v/>
      </c>
      <c r="F17" s="47" t="n"/>
      <c r="G17" s="47" t="n"/>
    </row>
    <row r="18" ht="15" customHeight="1" s="30">
      <c r="A18" s="47" t="n"/>
      <c r="B18" s="47" t="n"/>
      <c r="C18" s="48" t="n"/>
      <c r="D18" s="48" t="n"/>
      <c r="E18" s="54">
        <f>IF(AND(C18&lt;&gt;"",D18&lt;&gt;""),D18-C18,"")</f>
        <v/>
      </c>
      <c r="F18" s="47" t="n"/>
      <c r="G18" s="47" t="n"/>
    </row>
    <row r="19" ht="15" customHeight="1" s="30">
      <c r="A19" s="47" t="n"/>
      <c r="B19" s="47" t="n"/>
      <c r="C19" s="48" t="n"/>
      <c r="D19" s="48" t="n"/>
      <c r="E19" s="54">
        <f>IF(AND(C19&lt;&gt;"",D19&lt;&gt;""),D19-C19,"")</f>
        <v/>
      </c>
      <c r="F19" s="47" t="n"/>
      <c r="G19" s="47" t="n"/>
    </row>
    <row r="20" ht="15" customHeight="1" s="30">
      <c r="A20" s="47" t="n"/>
      <c r="B20" s="47" t="n"/>
      <c r="C20" s="48" t="n"/>
      <c r="D20" s="48" t="n"/>
      <c r="E20" s="54">
        <f>IF(AND(C20&lt;&gt;"",D20&lt;&gt;""),D20-C20,"")</f>
        <v/>
      </c>
      <c r="F20" s="47" t="n"/>
      <c r="G20" s="47" t="n"/>
    </row>
    <row r="21" ht="15" customHeight="1" s="30">
      <c r="A21" s="47" t="n"/>
      <c r="B21" s="47" t="n"/>
      <c r="C21" s="48" t="n"/>
      <c r="D21" s="48" t="n"/>
      <c r="E21" s="54">
        <f>IF(AND(C21&lt;&gt;"",D21&lt;&gt;""),D21-C21,"")</f>
        <v/>
      </c>
      <c r="F21" s="47" t="n"/>
      <c r="G21" s="47" t="n"/>
    </row>
    <row r="22" ht="15" customHeight="1" s="30">
      <c r="A22" s="47" t="n"/>
      <c r="B22" s="47" t="n"/>
      <c r="C22" s="48" t="n"/>
      <c r="D22" s="48" t="n"/>
      <c r="E22" s="54">
        <f>IF(AND(C22&lt;&gt;"",D22&lt;&gt;""),D22-C22,"")</f>
        <v/>
      </c>
      <c r="F22" s="47" t="n"/>
      <c r="G22" s="47" t="n"/>
    </row>
    <row r="23" ht="15" customHeight="1" s="30">
      <c r="A23" s="47" t="n"/>
      <c r="B23" s="47" t="n"/>
      <c r="C23" s="48" t="n"/>
      <c r="D23" s="48" t="n"/>
      <c r="E23" s="54">
        <f>IF(AND(C23&lt;&gt;"",D23&lt;&gt;""),D23-C23,"")</f>
        <v/>
      </c>
      <c r="F23" s="47" t="n"/>
      <c r="G23" s="47" t="n"/>
    </row>
    <row r="24" ht="15" customHeight="1" s="30">
      <c r="A24" s="47" t="n"/>
      <c r="B24" s="47" t="n"/>
      <c r="C24" s="48" t="n"/>
      <c r="D24" s="48" t="n"/>
      <c r="E24" s="54">
        <f>IF(AND(C24&lt;&gt;"",D24&lt;&gt;""),D24-C24,"")</f>
        <v/>
      </c>
      <c r="F24" s="47" t="n"/>
      <c r="G24" s="47" t="n"/>
    </row>
  </sheetData>
  <autoFilter ref="A4:G24"/>
  <conditionalFormatting sqref="E5:E24">
    <cfRule type="cellIs" rank="0" priority="2" equalAverage="0" operator="greaterThan" aboveAverage="0" dxfId="9" text="" percent="0" bottom="0">
      <formula>0</formula>
    </cfRule>
  </conditionalFormatting>
  <dataValidations count="1">
    <dataValidation sqref="F5:F24" showDropDown="0" showInputMessage="0" showErrorMessage="0" allowBlank="1" type="list" errorStyle="stop" operator="between">
      <formula1>Daftar!$C$2:$C$5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G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Right"/>
      <selection pane="bottomLeft"/>
      <selection pane="bottomRigh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22" customWidth="1" style="29" min="1" max="1"/>
    <col width="20" customWidth="1" style="29" min="2" max="2"/>
    <col width="22" customWidth="1" style="29" min="3" max="3"/>
    <col width="26" customWidth="1" style="29" min="4" max="4"/>
    <col width="30" customWidth="1" style="29" min="5" max="5"/>
    <col width="14" customWidth="1" style="29" min="6" max="6"/>
    <col width="16" customWidth="1" style="29" min="7" max="7"/>
  </cols>
  <sheetData>
    <row r="1" ht="16.15" customHeight="1" s="30">
      <c r="A1" s="43" t="inlineStr">
        <is>
          <t>Stakeholder dan rencana komunikasi</t>
        </is>
      </c>
    </row>
    <row r="2" ht="15" customHeight="1" s="30">
      <c r="A2" s="32" t="inlineStr">
        <is>
          <t>Kanal resmi adalah email dan grup WhatsApp proyek. Kredensial tidak boleh dikirim melalui kanal ini.</t>
        </is>
      </c>
    </row>
    <row r="4" ht="31.5" customHeight="1" s="30">
      <c r="A4" s="45" t="inlineStr">
        <is>
          <t>Nama</t>
        </is>
      </c>
      <c r="B4" s="45" t="inlineStr">
        <is>
          <t>Organisasi</t>
        </is>
      </c>
      <c r="C4" s="45" t="inlineStr">
        <is>
          <t>Peran di proyek</t>
        </is>
      </c>
      <c r="D4" s="45" t="inlineStr">
        <is>
          <t>Kontak kerja</t>
        </is>
      </c>
      <c r="E4" s="45" t="inlineStr">
        <is>
          <t>Kebutuhan informasi</t>
        </is>
      </c>
      <c r="F4" s="45" t="inlineStr">
        <is>
          <t>Frekuensi</t>
        </is>
      </c>
      <c r="G4" s="45" t="inlineStr">
        <is>
          <t>Kanal</t>
        </is>
      </c>
    </row>
    <row r="5" ht="23.85" customHeight="1" s="30">
      <c r="A5" s="47" t="n"/>
      <c r="B5" s="47" t="n"/>
      <c r="C5" s="47" t="n"/>
      <c r="D5" s="47" t="n"/>
      <c r="E5" s="47" t="n"/>
      <c r="F5" s="47" t="n"/>
      <c r="G5" s="47" t="n"/>
    </row>
    <row r="6" ht="15" customHeight="1" s="30">
      <c r="A6" s="47" t="n"/>
      <c r="B6" s="47" t="n"/>
      <c r="C6" s="47" t="n"/>
      <c r="D6" s="47" t="n"/>
      <c r="E6" s="47" t="n"/>
      <c r="F6" s="47" t="n"/>
      <c r="G6" s="47" t="n"/>
    </row>
    <row r="7" ht="15" customHeight="1" s="30">
      <c r="A7" s="47" t="n"/>
      <c r="B7" s="47" t="n"/>
      <c r="C7" s="47" t="n"/>
      <c r="D7" s="47" t="n"/>
      <c r="E7" s="47" t="n"/>
      <c r="F7" s="47" t="n"/>
      <c r="G7" s="47" t="n"/>
    </row>
    <row r="8" ht="15" customHeight="1" s="30">
      <c r="A8" s="47" t="n"/>
      <c r="B8" s="47" t="n"/>
      <c r="C8" s="47" t="n"/>
      <c r="D8" s="47" t="n"/>
      <c r="E8" s="47" t="n"/>
      <c r="F8" s="47" t="n"/>
      <c r="G8" s="47" t="n"/>
    </row>
    <row r="9" ht="15" customHeight="1" s="30">
      <c r="A9" s="47" t="n"/>
      <c r="B9" s="47" t="n"/>
      <c r="C9" s="47" t="n"/>
      <c r="D9" s="47" t="n"/>
      <c r="E9" s="47" t="n"/>
      <c r="F9" s="47" t="n"/>
      <c r="G9" s="47" t="n"/>
    </row>
    <row r="10" ht="15" customHeight="1" s="30">
      <c r="A10" s="47" t="n"/>
      <c r="B10" s="47" t="n"/>
      <c r="C10" s="47" t="n"/>
      <c r="D10" s="47" t="n"/>
      <c r="E10" s="47" t="n"/>
      <c r="F10" s="47" t="n"/>
      <c r="G10" s="47" t="n"/>
    </row>
    <row r="11" ht="15" customHeight="1" s="30">
      <c r="A11" s="47" t="n"/>
      <c r="B11" s="47" t="n"/>
      <c r="C11" s="47" t="n"/>
      <c r="D11" s="47" t="n"/>
      <c r="E11" s="47" t="n"/>
      <c r="F11" s="47" t="n"/>
      <c r="G11" s="47" t="n"/>
    </row>
    <row r="12" ht="15" customHeight="1" s="30">
      <c r="A12" s="47" t="n"/>
      <c r="B12" s="47" t="n"/>
      <c r="C12" s="47" t="n"/>
      <c r="D12" s="47" t="n"/>
      <c r="E12" s="47" t="n"/>
      <c r="F12" s="47" t="n"/>
      <c r="G12" s="47" t="n"/>
    </row>
    <row r="13" ht="15" customHeight="1" s="30">
      <c r="A13" s="47" t="n"/>
      <c r="B13" s="47" t="n"/>
      <c r="C13" s="47" t="n"/>
      <c r="D13" s="47" t="n"/>
      <c r="E13" s="47" t="n"/>
      <c r="F13" s="47" t="n"/>
      <c r="G13" s="47" t="n"/>
    </row>
    <row r="14" ht="15" customHeight="1" s="30">
      <c r="A14" s="47" t="n"/>
      <c r="B14" s="47" t="n"/>
      <c r="C14" s="47" t="n"/>
      <c r="D14" s="47" t="n"/>
      <c r="E14" s="47" t="n"/>
      <c r="F14" s="47" t="n"/>
      <c r="G14" s="47" t="n"/>
    </row>
    <row r="15" ht="15" customHeight="1" s="30">
      <c r="A15" s="47" t="n"/>
      <c r="B15" s="47" t="n"/>
      <c r="C15" s="47" t="n"/>
      <c r="D15" s="47" t="n"/>
      <c r="E15" s="47" t="n"/>
      <c r="F15" s="47" t="n"/>
      <c r="G15" s="47" t="n"/>
    </row>
    <row r="16" ht="15" customHeight="1" s="30">
      <c r="A16" s="47" t="n"/>
      <c r="B16" s="47" t="n"/>
      <c r="C16" s="47" t="n"/>
      <c r="D16" s="47" t="n"/>
      <c r="E16" s="47" t="n"/>
      <c r="F16" s="47" t="n"/>
      <c r="G16" s="47" t="n"/>
    </row>
    <row r="17" ht="15" customHeight="1" s="30">
      <c r="A17" s="47" t="n"/>
      <c r="B17" s="47" t="n"/>
      <c r="C17" s="47" t="n"/>
      <c r="D17" s="47" t="n"/>
      <c r="E17" s="47" t="n"/>
      <c r="F17" s="47" t="n"/>
      <c r="G17" s="47" t="n"/>
    </row>
    <row r="18" ht="15" customHeight="1" s="30">
      <c r="A18" s="47" t="n"/>
      <c r="B18" s="47" t="n"/>
      <c r="C18" s="47" t="n"/>
      <c r="D18" s="47" t="n"/>
      <c r="E18" s="47" t="n"/>
      <c r="F18" s="47" t="n"/>
      <c r="G18" s="47" t="n"/>
    </row>
    <row r="19" ht="15" customHeight="1" s="30">
      <c r="A19" s="47" t="n"/>
      <c r="B19" s="47" t="n"/>
      <c r="C19" s="47" t="n"/>
      <c r="D19" s="47" t="n"/>
      <c r="E19" s="47" t="n"/>
      <c r="F19" s="47" t="n"/>
      <c r="G19" s="47" t="n"/>
    </row>
    <row r="20" ht="15" customHeight="1" s="30">
      <c r="A20" s="47" t="n"/>
      <c r="B20" s="47" t="n"/>
      <c r="C20" s="47" t="n"/>
      <c r="D20" s="47" t="n"/>
      <c r="E20" s="47" t="n"/>
      <c r="F20" s="47" t="n"/>
      <c r="G20" s="47" t="n"/>
    </row>
  </sheetData>
  <autoFilter ref="A4:G20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2026-10-13T06:09:05Z</dcterms:created>
  <dcterms:modified xmlns:dcterms="http://purl.org/dc/terms/" xmlns:xsi="http://www.w3.org/2001/XMLSchema-instance" xsi:type="dcterms:W3CDTF">2026-10-15T07:24:44Z</dcterms:modified>
  <cp:revision>0</cp:revision>
</cp:coreProperties>
</file>