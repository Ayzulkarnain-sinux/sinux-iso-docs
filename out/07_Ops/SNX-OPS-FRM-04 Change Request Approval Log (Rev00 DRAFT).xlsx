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Change Log" sheetId="4" state="visible" r:id="rId4"/>
    <sheet xmlns:r="http://schemas.openxmlformats.org/officeDocument/2006/relationships" name="Ringkasan" sheetId="5" state="visible" r:id="rId5"/>
  </sheets>
  <definedNames>
    <definedName name="_xlnm.Print_Titles" localSheetId="2">'Daftar'!$1:$1</definedName>
    <definedName name="_xlnm._FilterDatabase" localSheetId="3" hidden="1">'Change Log'!$A$4:$U$155</definedName>
    <definedName name="_xlnm.Print_Titles" localSheetId="3">'Change Log'!$4:$4</definedName>
    <definedName name="_xlnm.Print_Titles" localSheetId="4">'Ringkasan'!$6:$6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dd\-mmm\-yyyy\ hh:mm"/>
    <numFmt numFmtId="166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  <font>
      <name val="Arial"/>
      <charset val="1"/>
      <family val="0"/>
      <i val="1"/>
      <sz val="9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7" fillId="2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  <xf numFmtId="0" fontId="7" fillId="0" borderId="1" applyAlignment="1" pivotButton="0" quotePrefix="0" xfId="0">
      <alignment horizontal="general" vertical="bottom" wrapText="1"/>
    </xf>
    <xf numFmtId="166" fontId="7" fillId="0" borderId="1" applyAlignment="1" pivotButton="0" quotePrefix="0" xfId="0">
      <alignment horizontal="general" vertical="bottom" wrapText="1"/>
    </xf>
    <xf numFmtId="0" fontId="6" fillId="0" borderId="1" applyAlignment="1" pivotButton="0" quotePrefix="0" xfId="0">
      <alignment horizontal="general" vertical="bottom" wrapText="1"/>
    </xf>
    <xf numFmtId="166" fontId="6" fillId="0" borderId="1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29</row>
      <rowOff>4320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971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7" min="1" max="1"/>
    <col width="70" customWidth="1" style="27" min="2" max="2"/>
    <col width="30" customWidth="1" style="27" min="3" max="3"/>
    <col width="22" customWidth="1" style="27" min="4" max="4"/>
    <col width="14" customWidth="1" style="27" min="5" max="5"/>
  </cols>
  <sheetData>
    <row r="1" ht="18.55" customHeight="1" s="28">
      <c r="A1" s="29" t="inlineStr">
        <is>
          <t>Change Request &amp; Approval Log</t>
        </is>
      </c>
    </row>
    <row r="2" ht="15" customHeight="1" s="28">
      <c r="A2" s="30" t="inlineStr">
        <is>
          <t>PT Strategi Integrasi Nusantara (SINUX) · Divisi Operation</t>
        </is>
      </c>
    </row>
    <row r="3" s="28">
      <c r="A3" s="52" t="n"/>
      <c r="B3" s="52" t="n"/>
      <c r="C3" s="52" t="n"/>
      <c r="D3" s="52" t="n"/>
      <c r="E3" s="52" t="n"/>
    </row>
    <row r="4" ht="16.5" customHeight="1" s="28">
      <c r="A4" s="53" t="inlineStr">
        <is>
          <t>Nomor dokumen</t>
        </is>
      </c>
      <c r="B4" s="32" t="inlineStr">
        <is>
          <t>SNX-OPS-FRM-04</t>
        </is>
      </c>
      <c r="C4" s="52" t="n"/>
      <c r="D4" s="52" t="n"/>
      <c r="E4" s="52" t="n"/>
    </row>
    <row r="5" ht="16.5" customHeight="1" s="28">
      <c r="A5" s="53" t="inlineStr">
        <is>
          <t>Judul</t>
        </is>
      </c>
      <c r="B5" s="32" t="inlineStr">
        <is>
          <t>Change Request &amp; Approval Log</t>
        </is>
      </c>
      <c r="C5" s="52" t="n"/>
      <c r="D5" s="52" t="n"/>
      <c r="E5" s="52" t="n"/>
    </row>
    <row r="6" ht="16.5" customHeight="1" s="28">
      <c r="A6" s="53" t="inlineStr">
        <is>
          <t>Revisi</t>
        </is>
      </c>
      <c r="B6" s="32" t="inlineStr">
        <is>
          <t>00 (DRAFT)</t>
        </is>
      </c>
      <c r="C6" s="52" t="n"/>
      <c r="D6" s="52" t="n"/>
      <c r="E6" s="52" t="n"/>
    </row>
    <row r="7" ht="16.5" customHeight="1" s="28">
      <c r="A7" s="53" t="inlineStr">
        <is>
          <t>Tanggal draft</t>
        </is>
      </c>
      <c r="B7" s="32" t="inlineStr">
        <is>
          <t>13 Oktober 2026</t>
        </is>
      </c>
      <c r="C7" s="52" t="n"/>
      <c r="D7" s="52" t="n"/>
      <c r="E7" s="52" t="n"/>
    </row>
    <row r="8" ht="16.5" customHeight="1" s="28">
      <c r="A8" s="53" t="inlineStr">
        <is>
          <t>Tanggal efektif</t>
        </is>
      </c>
      <c r="B8" s="32" t="inlineStr">
        <is>
          <t>Ditetapkan saat pengesahan</t>
        </is>
      </c>
      <c r="C8" s="52" t="n"/>
      <c r="D8" s="52" t="n"/>
      <c r="E8" s="52" t="n"/>
    </row>
    <row r="9" ht="16.5" customHeight="1" s="28">
      <c r="A9" s="53" t="inlineStr">
        <is>
          <t>Klasifikasi</t>
        </is>
      </c>
      <c r="B9" s="32" t="inlineStr">
        <is>
          <t>RESTRICTED (Internal)</t>
        </is>
      </c>
      <c r="C9" s="52" t="n"/>
      <c r="D9" s="52" t="n"/>
      <c r="E9" s="52" t="n"/>
    </row>
    <row r="10" ht="16.5" customHeight="1" s="28">
      <c r="A10" s="53" t="inlineStr">
        <is>
          <t>Pemilik dokumen</t>
        </is>
      </c>
      <c r="B10" s="32" t="inlineStr">
        <is>
          <t>Head of Operation</t>
        </is>
      </c>
      <c r="C10" s="52" t="n"/>
      <c r="D10" s="52" t="n"/>
      <c r="E10" s="52" t="n"/>
    </row>
    <row r="11" ht="16.5" customHeight="1" s="28">
      <c r="A11" s="53" t="inlineStr">
        <is>
          <t>Disetujui oleh</t>
        </is>
      </c>
      <c r="B11" s="32" t="inlineStr">
        <is>
          <t>Samuel Kristanto Utomo / President Director</t>
        </is>
      </c>
      <c r="C11" s="52" t="n"/>
      <c r="D11" s="52" t="n"/>
      <c r="E11" s="52" t="n"/>
    </row>
    <row r="12" ht="30" customHeight="1" s="28">
      <c r="A12" s="53" t="inlineStr">
        <is>
          <t>Acuan ISO 9001:2015</t>
        </is>
      </c>
      <c r="B12" s="32" t="inlineStr">
        <is>
          <t>Klausul 8.5.6</t>
        </is>
      </c>
      <c r="C12" s="52" t="n"/>
      <c r="D12" s="52" t="n"/>
      <c r="E12" s="52" t="n"/>
    </row>
    <row r="13" ht="30" customHeight="1" s="28">
      <c r="A13" s="53" t="inlineStr">
        <is>
          <t>Acuan ISO/IEC 27001:2022</t>
        </is>
      </c>
      <c r="B13" s="32" t="inlineStr">
        <is>
          <t>Kontrol Annex A 8.32</t>
        </is>
      </c>
      <c r="C13" s="52" t="n"/>
      <c r="D13" s="52" t="n"/>
      <c r="E13" s="52" t="n"/>
    </row>
    <row r="14" ht="30" customHeight="1" s="28">
      <c r="A14" s="53" t="inlineStr">
        <is>
          <t>Masa simpan record</t>
        </is>
      </c>
      <c r="B14" s="32" t="inlineStr">
        <is>
          <t>3 tahun</t>
        </is>
      </c>
      <c r="C14" s="52" t="n"/>
      <c r="D14" s="52" t="n"/>
      <c r="E14" s="52" t="n"/>
    </row>
    <row r="15" ht="30" customHeight="1" s="28">
      <c r="A15" s="53" t="inlineStr">
        <is>
          <t>Tujuan</t>
        </is>
      </c>
      <c r="B15" s="32" t="inlineStr">
        <is>
          <t>Log semua change request proyek dan teknis, lengkap dengan approval, eksekusi, dan hasilnya, sesuai SNX-OPS-SOP-02.</t>
        </is>
      </c>
      <c r="C15" s="52" t="n"/>
      <c r="D15" s="52" t="n"/>
      <c r="E15" s="52" t="n"/>
    </row>
    <row r="16" s="28">
      <c r="A16" s="52" t="n"/>
      <c r="B16" s="52" t="n"/>
      <c r="C16" s="52" t="n"/>
      <c r="D16" s="52" t="n"/>
      <c r="E16" s="52" t="n"/>
    </row>
    <row r="17" ht="16.5" customHeight="1" s="28">
      <c r="A17" s="54" t="inlineStr">
        <is>
          <t>Cara pakai</t>
        </is>
      </c>
      <c r="B17" s="52" t="n"/>
      <c r="C17" s="52" t="n"/>
      <c r="D17" s="52" t="n"/>
      <c r="E17" s="52" t="n"/>
    </row>
    <row r="18" ht="43.5" customHeight="1" s="28">
      <c r="A18" s="35" t="inlineStr">
        <is>
          <t>1.</t>
        </is>
      </c>
      <c r="B18" s="35" t="inlineStr">
        <is>
          <t>Gunakan satu nomor CR untuk satu perubahan, dengan format CR-YYYY-NNNN. CR juga dibuat sebagai ticket di Zammad (USULAN). Log ini menjadi rekap audit.</t>
        </is>
      </c>
      <c r="C18" s="52" t="n"/>
      <c r="D18" s="52" t="n"/>
      <c r="E18" s="52" t="n"/>
    </row>
    <row r="19" ht="43.5" customHeight="1" s="28">
      <c r="A19" s="35" t="inlineStr">
        <is>
          <t>2.</t>
        </is>
      </c>
      <c r="B19" s="35" t="inlineStr">
        <is>
          <t>Kolom Go-gate otomatis bernilai CEK jika backup, rollback, atau approval belum lengkap, kecuali untuk change Emergency.</t>
        </is>
      </c>
      <c r="C19" s="52" t="n"/>
      <c r="D19" s="52" t="n"/>
      <c r="E19" s="52" t="n"/>
    </row>
    <row r="20" ht="43.5" customHeight="1" s="28">
      <c r="A20" s="35" t="inlineStr">
        <is>
          <t>3.</t>
        </is>
      </c>
      <c r="B20" s="35" t="inlineStr">
        <is>
          <t>Kolom PIR otomatis bernilai Ya untuk change Major atau change yang berakhir rollback. Lakukan PIR dalam 5 hari kerja.</t>
        </is>
      </c>
      <c r="C20" s="52" t="n"/>
      <c r="D20" s="52" t="n"/>
      <c r="E20" s="52" t="n"/>
    </row>
    <row r="21" ht="30" customHeight="1" s="28">
      <c r="A21" s="35" t="inlineStr">
        <is>
          <t>4.</t>
        </is>
      </c>
      <c r="B21" s="35" t="inlineStr">
        <is>
          <t>Sheet Ringkasan menghitung statistik per jenis change untuk laporan KPI bulanan.</t>
        </is>
      </c>
      <c r="C21" s="52" t="n"/>
      <c r="D21" s="52" t="n"/>
      <c r="E21" s="52" t="n"/>
    </row>
    <row r="22" s="28">
      <c r="A22" s="52" t="n"/>
      <c r="B22" s="52" t="n"/>
      <c r="C22" s="52" t="n"/>
      <c r="D22" s="52" t="n"/>
      <c r="E22" s="52" t="n"/>
    </row>
    <row r="23" ht="16.5" customHeight="1" s="28">
      <c r="A23" s="54" t="inlineStr">
        <is>
          <t>Legenda warna</t>
        </is>
      </c>
      <c r="B23" s="52" t="n"/>
      <c r="C23" s="52" t="n"/>
      <c r="D23" s="52" t="n"/>
      <c r="E23" s="52" t="n"/>
    </row>
    <row r="24" ht="16.5" customHeight="1" s="28">
      <c r="A24" s="55" t="n"/>
      <c r="B24" s="35" t="inlineStr">
        <is>
          <t>Sel input: diisi pengguna</t>
        </is>
      </c>
      <c r="C24" s="52" t="n"/>
      <c r="D24" s="52" t="n"/>
      <c r="E24" s="52" t="n"/>
    </row>
    <row r="25" ht="30" customHeight="1" s="28">
      <c r="A25" s="56" t="n"/>
      <c r="B25" s="35" t="inlineStr">
        <is>
          <t>Biru muda: warna baris contoh, sudah dikosongkan dan tidak dipakai</t>
        </is>
      </c>
      <c r="C25" s="52" t="n"/>
      <c r="D25" s="52" t="n"/>
      <c r="E25" s="52" t="n"/>
    </row>
    <row r="26" ht="16.5" customHeight="1" s="28">
      <c r="A26" s="57" t="n"/>
      <c r="B26" s="35" t="inlineStr">
        <is>
          <t>Sel rumus: jangan diubah</t>
        </is>
      </c>
      <c r="C26" s="52" t="n"/>
      <c r="D26" s="52" t="n"/>
      <c r="E26" s="52" t="n"/>
    </row>
    <row r="27" s="28">
      <c r="A27" s="52" t="n"/>
      <c r="B27" s="52" t="n"/>
      <c r="C27" s="52" t="n"/>
      <c r="D27" s="52" t="n"/>
      <c r="E27" s="52" t="n"/>
    </row>
    <row r="28" ht="16.5" customHeight="1" s="28">
      <c r="A28" s="54" t="inlineStr">
        <is>
          <t>Riwayat revisi</t>
        </is>
      </c>
      <c r="B28" s="52" t="n"/>
      <c r="C28" s="52" t="n"/>
      <c r="D28" s="52" t="n"/>
      <c r="E28" s="52" t="n"/>
    </row>
    <row r="29" ht="16.5" customHeight="1" s="28">
      <c r="A29" s="43" t="inlineStr">
        <is>
          <t>Revisi</t>
        </is>
      </c>
      <c r="B29" s="43" t="inlineStr">
        <is>
          <t>Tanggal</t>
        </is>
      </c>
      <c r="C29" s="43" t="inlineStr">
        <is>
          <t>Uraian perubahan</t>
        </is>
      </c>
      <c r="D29" s="43" t="inlineStr">
        <is>
          <t>Disusun</t>
        </is>
      </c>
      <c r="E29" s="43" t="inlineStr">
        <is>
          <t>Disetujui</t>
        </is>
      </c>
    </row>
    <row r="30" ht="30" customHeight="1" s="28">
      <c r="A30" s="32" t="inlineStr">
        <is>
          <t>00</t>
        </is>
      </c>
      <c r="B30" s="32" t="inlineStr">
        <is>
          <t>13 Oktober 2026</t>
        </is>
      </c>
      <c r="C30" s="32" t="inlineStr">
        <is>
          <t>Draft awal untuk review dan pengesahan</t>
        </is>
      </c>
      <c r="D30" s="32" t="inlineStr">
        <is>
          <t>Divisi Operation</t>
        </is>
      </c>
      <c r="E30" s="32" t="inlineStr">
        <is>
          <t>Menunggu</t>
        </is>
      </c>
    </row>
    <row r="31" ht="57.45" customHeight="1" s="28">
      <c r="A31" s="32" t="n"/>
      <c r="B31" s="32" t="n"/>
      <c r="C31" s="32" t="n"/>
      <c r="D31" s="32" t="n"/>
      <c r="E31" s="32" t="n"/>
    </row>
    <row r="32" s="28">
      <c r="A32" s="52" t="n"/>
      <c r="B32" s="52" t="n"/>
      <c r="C32" s="52" t="n"/>
      <c r="D32" s="52" t="n"/>
      <c r="E32" s="52" t="n"/>
    </row>
    <row r="33" ht="16.5" customHeight="1" s="28">
      <c r="A33" s="54" t="inlineStr">
        <is>
          <t>Pengesahan</t>
        </is>
      </c>
      <c r="B33" s="52" t="n"/>
      <c r="C33" s="52" t="n"/>
      <c r="D33" s="52" t="n"/>
      <c r="E33" s="52" t="n"/>
    </row>
    <row r="34" ht="16.5" customHeight="1" s="28">
      <c r="A34" s="43" t="inlineStr">
        <is>
          <t>Peran</t>
        </is>
      </c>
      <c r="B34" s="43" t="inlineStr">
        <is>
          <t>Nama dan jabatan</t>
        </is>
      </c>
      <c r="C34" s="43" t="inlineStr">
        <is>
          <t>Tanda tangan</t>
        </is>
      </c>
      <c r="D34" s="43" t="inlineStr">
        <is>
          <t>Tanggal</t>
        </is>
      </c>
      <c r="E34" s="52" t="n"/>
    </row>
    <row r="35" ht="27.75" customHeight="1" s="28">
      <c r="A35" s="32" t="inlineStr">
        <is>
          <t>Disusun oleh</t>
        </is>
      </c>
      <c r="B35" s="32" t="inlineStr">
        <is>
          <t>Erik Dwi Yanto / Technical/Operation Engineer L1</t>
        </is>
      </c>
      <c r="C35" s="32" t="n"/>
      <c r="D35" s="32" t="n"/>
      <c r="E35" s="52" t="n"/>
    </row>
    <row r="36" ht="27.75" customHeight="1" s="28">
      <c r="A36" s="32" t="inlineStr">
        <is>
          <t>Diperiksa oleh</t>
        </is>
      </c>
      <c r="B36" s="32" t="inlineStr">
        <is>
          <t>Fani Fatullah / VP Tech Operation and Services</t>
        </is>
      </c>
      <c r="C36" s="32" t="n"/>
      <c r="D36" s="32" t="n"/>
      <c r="E36" s="52" t="n"/>
    </row>
    <row r="37" ht="27.75" customHeight="1" s="28">
      <c r="A37" s="32" t="inlineStr">
        <is>
          <t>Disetujui oleh</t>
        </is>
      </c>
      <c r="B37" s="32" t="inlineStr">
        <is>
          <t>Samuel Kristanto Utomo / President Director</t>
        </is>
      </c>
      <c r="C37" s="32" t="n"/>
      <c r="D37" s="32" t="n"/>
      <c r="E37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8">
      <c r="A1" s="41" t="inlineStr">
        <is>
          <t>Diagram alur proses</t>
        </is>
      </c>
    </row>
    <row r="2" ht="15" customHeight="1" s="28">
      <c r="A2" s="30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7" min="1" max="4"/>
    <col width="13" customWidth="1" style="28" min="2" max="2"/>
    <col width="13" customWidth="1" style="28" min="3" max="3"/>
    <col width="13" customWidth="1" style="28" min="4" max="4"/>
  </cols>
  <sheetData>
    <row r="1" ht="16.5" customHeight="1" s="28">
      <c r="A1" s="58" t="inlineStr">
        <is>
          <t>Jenis</t>
        </is>
      </c>
      <c r="B1" s="58" t="inlineStr">
        <is>
          <t>Approval</t>
        </is>
      </c>
      <c r="C1" s="58" t="inlineStr">
        <is>
          <t>Ack</t>
        </is>
      </c>
      <c r="D1" s="58" t="inlineStr">
        <is>
          <t>Hasil</t>
        </is>
      </c>
    </row>
    <row r="2" ht="16.5" customHeight="1" s="28">
      <c r="A2" s="59" t="inlineStr">
        <is>
          <t>Standar</t>
        </is>
      </c>
      <c r="B2" s="59" t="inlineStr">
        <is>
          <t>Menunggu</t>
        </is>
      </c>
      <c r="C2" s="59" t="inlineStr">
        <is>
          <t>Ya</t>
        </is>
      </c>
      <c r="D2" s="59" t="inlineStr">
        <is>
          <t>Berhasil</t>
        </is>
      </c>
    </row>
    <row r="3" ht="16.5" customHeight="1" s="28">
      <c r="A3" s="59" t="inlineStr">
        <is>
          <t>Normal</t>
        </is>
      </c>
      <c r="B3" s="59" t="inlineStr">
        <is>
          <t>Disetujui</t>
        </is>
      </c>
      <c r="C3" s="59" t="inlineStr">
        <is>
          <t>Tidak</t>
        </is>
      </c>
      <c r="D3" s="59" t="inlineStr">
        <is>
          <t>Rollback</t>
        </is>
      </c>
    </row>
    <row r="4" ht="16.5" customHeight="1" s="28">
      <c r="A4" s="59" t="inlineStr">
        <is>
          <t>Major</t>
        </is>
      </c>
      <c r="B4" s="59" t="inlineStr">
        <is>
          <t>Ditolak</t>
        </is>
      </c>
      <c r="C4" s="59" t="inlineStr">
        <is>
          <t>Tidak perlu</t>
        </is>
      </c>
      <c r="D4" s="59" t="inlineStr">
        <is>
          <t>Gagal</t>
        </is>
      </c>
    </row>
    <row r="5" ht="16.5" customHeight="1" s="28">
      <c r="A5" s="59" t="inlineStr">
        <is>
          <t>Emergency</t>
        </is>
      </c>
      <c r="B5" s="59" t="inlineStr">
        <is>
          <t>Revisi</t>
        </is>
      </c>
      <c r="C5" s="60" t="n"/>
      <c r="D5" s="59" t="inlineStr">
        <is>
          <t>Dibatalkan</t>
        </is>
      </c>
    </row>
    <row r="6" ht="16.5" customHeight="1" s="28">
      <c r="A6" s="59" t="inlineStr">
        <is>
          <t>Proyek</t>
        </is>
      </c>
      <c r="B6" s="60" t="n"/>
      <c r="C6" s="60" t="n"/>
      <c r="D6" s="60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U1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27" min="1" max="1"/>
    <col width="11" customWidth="1" style="27" min="2" max="2"/>
    <col width="14" customWidth="1" style="27" min="3" max="3"/>
    <col width="20" customWidth="1" style="27" min="4" max="4"/>
    <col width="16" customWidth="1" style="27" min="5" max="5"/>
    <col width="11" customWidth="1" style="27" min="6" max="6"/>
    <col width="34" customWidth="1" style="27" min="7" max="7"/>
    <col width="26" customWidth="1" style="27" min="8" max="8"/>
    <col width="18" customWidth="1" style="27" min="9" max="9"/>
    <col width="20" customWidth="1" style="27" min="10" max="10"/>
    <col width="14" customWidth="1" style="27" min="11" max="11"/>
    <col width="12" customWidth="1" style="27" min="12" max="13"/>
    <col width="13" customWidth="1" style="28" min="13" max="13"/>
    <col width="14" customWidth="1" style="27" min="14" max="14"/>
    <col width="15" customWidth="1" style="27" min="15" max="15"/>
    <col width="14" customWidth="1" style="27" min="16" max="16"/>
    <col width="11" customWidth="1" style="27" min="17" max="17"/>
    <col width="15" customWidth="1" style="27" min="18" max="18"/>
    <col width="11" customWidth="1" style="27" min="19" max="20"/>
    <col width="13" customWidth="1" style="28" min="20" max="20"/>
    <col width="22" customWidth="1" style="27" min="21" max="21"/>
  </cols>
  <sheetData>
    <row r="1" ht="16.15" customHeight="1" s="28">
      <c r="A1" s="41" t="inlineStr">
        <is>
          <t>Change request and approval log</t>
        </is>
      </c>
    </row>
    <row r="2" ht="15" customHeight="1" s="28">
      <c r="A2" s="30" t="inlineStr">
        <is>
          <t>Approver sesuai SNX-OPS-SOP-02 Bagian 5.</t>
        </is>
      </c>
    </row>
    <row r="4" ht="31.5" customHeight="1" s="28">
      <c r="A4" s="43" t="inlineStr">
        <is>
          <t>No CR</t>
        </is>
      </c>
      <c r="B4" s="43" t="inlineStr">
        <is>
          <t>Tanggal ajukan</t>
        </is>
      </c>
      <c r="C4" s="43" t="inlineStr">
        <is>
          <t>Pengaju</t>
        </is>
      </c>
      <c r="D4" s="43" t="inlineStr">
        <is>
          <t>Pelanggan / layanan</t>
        </is>
      </c>
      <c r="E4" s="43" t="inlineStr">
        <is>
          <t>Sistem target</t>
        </is>
      </c>
      <c r="F4" s="43" t="inlineStr">
        <is>
          <t>Jenis</t>
        </is>
      </c>
      <c r="G4" s="43" t="inlineStr">
        <is>
          <t>Uraian perubahan</t>
        </is>
      </c>
      <c r="H4" s="43" t="inlineStr">
        <is>
          <t>Dampak dan risiko</t>
        </is>
      </c>
      <c r="I4" s="43" t="inlineStr">
        <is>
          <t>Backup (lokasi)</t>
        </is>
      </c>
      <c r="J4" s="43" t="inlineStr">
        <is>
          <t>Rollback</t>
        </is>
      </c>
      <c r="K4" s="43" t="inlineStr">
        <is>
          <t>Approver</t>
        </is>
      </c>
      <c r="L4" s="43" t="inlineStr">
        <is>
          <t>Status approval</t>
        </is>
      </c>
      <c r="M4" s="43" t="inlineStr">
        <is>
          <t>Tgl approval</t>
        </is>
      </c>
      <c r="N4" s="43" t="inlineStr">
        <is>
          <t>Ack pelanggan</t>
        </is>
      </c>
      <c r="O4" s="43" t="inlineStr">
        <is>
          <t>Jadwal eksekusi</t>
        </is>
      </c>
      <c r="P4" s="43" t="inlineStr">
        <is>
          <t>Pelaksana</t>
        </is>
      </c>
      <c r="Q4" s="43" t="inlineStr">
        <is>
          <t>Hasil</t>
        </is>
      </c>
      <c r="R4" s="43" t="inlineStr">
        <is>
          <t>Selesai</t>
        </is>
      </c>
      <c r="S4" s="43" t="inlineStr">
        <is>
          <t>Go-gate</t>
        </is>
      </c>
      <c r="T4" s="43" t="inlineStr">
        <is>
          <t>PIR wajib</t>
        </is>
      </c>
      <c r="U4" s="43" t="inlineStr">
        <is>
          <t>Catatan</t>
        </is>
      </c>
    </row>
    <row r="5" ht="23.85" customHeight="1" s="28">
      <c r="A5" s="44" t="n"/>
      <c r="B5" s="45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5" t="n"/>
      <c r="N5" s="44" t="n"/>
      <c r="O5" s="46" t="n"/>
      <c r="P5" s="44" t="n"/>
      <c r="Q5" s="44" t="n"/>
      <c r="R5" s="46" t="n"/>
      <c r="S5" s="47">
        <f>IF(A5="","",IF(F5="Emergency","Emergency",IF(AND(I5&lt;&gt;"",J5&lt;&gt;"",L5="Disetujui"),"OK","CEK")))</f>
        <v/>
      </c>
      <c r="T5" s="47">
        <f>IF(A5="","",IF(OR(F5="Major",Q5="Rollback"),"Ya","Tidak"))</f>
        <v/>
      </c>
      <c r="U5" s="44" t="n"/>
    </row>
    <row r="6" ht="15" customHeight="1" s="28">
      <c r="A6" s="44" t="n"/>
      <c r="B6" s="45" t="n"/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5" t="n"/>
      <c r="N6" s="44" t="n"/>
      <c r="O6" s="46" t="n"/>
      <c r="P6" s="44" t="n"/>
      <c r="Q6" s="44" t="n"/>
      <c r="R6" s="46" t="n"/>
      <c r="S6" s="47">
        <f>IF(A6="","",IF(F6="Emergency","Emergency",IF(AND(I6&lt;&gt;"",J6&lt;&gt;"",L6="Disetujui"),"OK","CEK")))</f>
        <v/>
      </c>
      <c r="T6" s="47">
        <f>IF(A6="","",IF(OR(F6="Major",Q6="Rollback"),"Ya","Tidak"))</f>
        <v/>
      </c>
      <c r="U6" s="44" t="n"/>
    </row>
    <row r="7" ht="15" customHeight="1" s="28">
      <c r="A7" s="44" t="n"/>
      <c r="B7" s="45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  <c r="N7" s="44" t="n"/>
      <c r="O7" s="46" t="n"/>
      <c r="P7" s="44" t="n"/>
      <c r="Q7" s="44" t="n"/>
      <c r="R7" s="46" t="n"/>
      <c r="S7" s="47">
        <f>IF(A7="","",IF(F7="Emergency","Emergency",IF(AND(I7&lt;&gt;"",J7&lt;&gt;"",L7="Disetujui"),"OK","CEK")))</f>
        <v/>
      </c>
      <c r="T7" s="47">
        <f>IF(A7="","",IF(OR(F7="Major",Q7="Rollback"),"Ya","Tidak"))</f>
        <v/>
      </c>
      <c r="U7" s="44" t="n"/>
    </row>
    <row r="8" ht="15" customHeight="1" s="28">
      <c r="A8" s="44" t="n"/>
      <c r="B8" s="45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5" t="n"/>
      <c r="N8" s="44" t="n"/>
      <c r="O8" s="46" t="n"/>
      <c r="P8" s="44" t="n"/>
      <c r="Q8" s="44" t="n"/>
      <c r="R8" s="46" t="n"/>
      <c r="S8" s="47">
        <f>IF(A8="","",IF(F8="Emergency","Emergency",IF(AND(I8&lt;&gt;"",J8&lt;&gt;"",L8="Disetujui"),"OK","CEK")))</f>
        <v/>
      </c>
      <c r="T8" s="47">
        <f>IF(A8="","",IF(OR(F8="Major",Q8="Rollback"),"Ya","Tidak"))</f>
        <v/>
      </c>
      <c r="U8" s="44" t="n"/>
    </row>
    <row r="9" ht="15" customHeight="1" s="28">
      <c r="A9" s="44" t="n"/>
      <c r="B9" s="45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5" t="n"/>
      <c r="N9" s="44" t="n"/>
      <c r="O9" s="46" t="n"/>
      <c r="P9" s="44" t="n"/>
      <c r="Q9" s="44" t="n"/>
      <c r="R9" s="46" t="n"/>
      <c r="S9" s="47">
        <f>IF(A9="","",IF(F9="Emergency","Emergency",IF(AND(I9&lt;&gt;"",J9&lt;&gt;"",L9="Disetujui"),"OK","CEK")))</f>
        <v/>
      </c>
      <c r="T9" s="47">
        <f>IF(A9="","",IF(OR(F9="Major",Q9="Rollback"),"Ya","Tidak"))</f>
        <v/>
      </c>
      <c r="U9" s="44" t="n"/>
    </row>
    <row r="10" ht="15" customHeight="1" s="28">
      <c r="A10" s="44" t="n"/>
      <c r="B10" s="45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5" t="n"/>
      <c r="N10" s="44" t="n"/>
      <c r="O10" s="46" t="n"/>
      <c r="P10" s="44" t="n"/>
      <c r="Q10" s="44" t="n"/>
      <c r="R10" s="46" t="n"/>
      <c r="S10" s="47">
        <f>IF(A10="","",IF(F10="Emergency","Emergency",IF(AND(I10&lt;&gt;"",J10&lt;&gt;"",L10="Disetujui"),"OK","CEK")))</f>
        <v/>
      </c>
      <c r="T10" s="47">
        <f>IF(A10="","",IF(OR(F10="Major",Q10="Rollback"),"Ya","Tidak"))</f>
        <v/>
      </c>
      <c r="U10" s="44" t="n"/>
    </row>
    <row r="11" ht="15" customHeight="1" s="28">
      <c r="A11" s="44" t="n"/>
      <c r="B11" s="45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5" t="n"/>
      <c r="N11" s="44" t="n"/>
      <c r="O11" s="46" t="n"/>
      <c r="P11" s="44" t="n"/>
      <c r="Q11" s="44" t="n"/>
      <c r="R11" s="46" t="n"/>
      <c r="S11" s="47">
        <f>IF(A11="","",IF(F11="Emergency","Emergency",IF(AND(I11&lt;&gt;"",J11&lt;&gt;"",L11="Disetujui"),"OK","CEK")))</f>
        <v/>
      </c>
      <c r="T11" s="47">
        <f>IF(A11="","",IF(OR(F11="Major",Q11="Rollback"),"Ya","Tidak"))</f>
        <v/>
      </c>
      <c r="U11" s="44" t="n"/>
    </row>
    <row r="12" ht="15" customHeight="1" s="28">
      <c r="A12" s="44" t="n"/>
      <c r="B12" s="45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5" t="n"/>
      <c r="N12" s="44" t="n"/>
      <c r="O12" s="46" t="n"/>
      <c r="P12" s="44" t="n"/>
      <c r="Q12" s="44" t="n"/>
      <c r="R12" s="46" t="n"/>
      <c r="S12" s="47">
        <f>IF(A12="","",IF(F12="Emergency","Emergency",IF(AND(I12&lt;&gt;"",J12&lt;&gt;"",L12="Disetujui"),"OK","CEK")))</f>
        <v/>
      </c>
      <c r="T12" s="47">
        <f>IF(A12="","",IF(OR(F12="Major",Q12="Rollback"),"Ya","Tidak"))</f>
        <v/>
      </c>
      <c r="U12" s="44" t="n"/>
    </row>
    <row r="13" ht="15" customHeight="1" s="28">
      <c r="A13" s="44" t="n"/>
      <c r="B13" s="45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5" t="n"/>
      <c r="N13" s="44" t="n"/>
      <c r="O13" s="46" t="n"/>
      <c r="P13" s="44" t="n"/>
      <c r="Q13" s="44" t="n"/>
      <c r="R13" s="46" t="n"/>
      <c r="S13" s="47">
        <f>IF(A13="","",IF(F13="Emergency","Emergency",IF(AND(I13&lt;&gt;"",J13&lt;&gt;"",L13="Disetujui"),"OK","CEK")))</f>
        <v/>
      </c>
      <c r="T13" s="47">
        <f>IF(A13="","",IF(OR(F13="Major",Q13="Rollback"),"Ya","Tidak"))</f>
        <v/>
      </c>
      <c r="U13" s="44" t="n"/>
    </row>
    <row r="14" ht="15" customHeight="1" s="28">
      <c r="A14" s="44" t="n"/>
      <c r="B14" s="45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5" t="n"/>
      <c r="N14" s="44" t="n"/>
      <c r="O14" s="46" t="n"/>
      <c r="P14" s="44" t="n"/>
      <c r="Q14" s="44" t="n"/>
      <c r="R14" s="46" t="n"/>
      <c r="S14" s="47">
        <f>IF(A14="","",IF(F14="Emergency","Emergency",IF(AND(I14&lt;&gt;"",J14&lt;&gt;"",L14="Disetujui"),"OK","CEK")))</f>
        <v/>
      </c>
      <c r="T14" s="47">
        <f>IF(A14="","",IF(OR(F14="Major",Q14="Rollback"),"Ya","Tidak"))</f>
        <v/>
      </c>
      <c r="U14" s="44" t="n"/>
    </row>
    <row r="15" ht="15" customHeight="1" s="28">
      <c r="A15" s="44" t="n"/>
      <c r="B15" s="45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5" t="n"/>
      <c r="N15" s="44" t="n"/>
      <c r="O15" s="46" t="n"/>
      <c r="P15" s="44" t="n"/>
      <c r="Q15" s="44" t="n"/>
      <c r="R15" s="46" t="n"/>
      <c r="S15" s="47">
        <f>IF(A15="","",IF(F15="Emergency","Emergency",IF(AND(I15&lt;&gt;"",J15&lt;&gt;"",L15="Disetujui"),"OK","CEK")))</f>
        <v/>
      </c>
      <c r="T15" s="47">
        <f>IF(A15="","",IF(OR(F15="Major",Q15="Rollback"),"Ya","Tidak"))</f>
        <v/>
      </c>
      <c r="U15" s="44" t="n"/>
    </row>
    <row r="16" ht="15" customHeight="1" s="28">
      <c r="A16" s="44" t="n"/>
      <c r="B16" s="45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5" t="n"/>
      <c r="N16" s="44" t="n"/>
      <c r="O16" s="46" t="n"/>
      <c r="P16" s="44" t="n"/>
      <c r="Q16" s="44" t="n"/>
      <c r="R16" s="46" t="n"/>
      <c r="S16" s="47">
        <f>IF(A16="","",IF(F16="Emergency","Emergency",IF(AND(I16&lt;&gt;"",J16&lt;&gt;"",L16="Disetujui"),"OK","CEK")))</f>
        <v/>
      </c>
      <c r="T16" s="47">
        <f>IF(A16="","",IF(OR(F16="Major",Q16="Rollback"),"Ya","Tidak"))</f>
        <v/>
      </c>
      <c r="U16" s="44" t="n"/>
    </row>
    <row r="17" ht="15" customHeight="1" s="28">
      <c r="A17" s="44" t="n"/>
      <c r="B17" s="45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5" t="n"/>
      <c r="N17" s="44" t="n"/>
      <c r="O17" s="46" t="n"/>
      <c r="P17" s="44" t="n"/>
      <c r="Q17" s="44" t="n"/>
      <c r="R17" s="46" t="n"/>
      <c r="S17" s="47">
        <f>IF(A17="","",IF(F17="Emergency","Emergency",IF(AND(I17&lt;&gt;"",J17&lt;&gt;"",L17="Disetujui"),"OK","CEK")))</f>
        <v/>
      </c>
      <c r="T17" s="47">
        <f>IF(A17="","",IF(OR(F17="Major",Q17="Rollback"),"Ya","Tidak"))</f>
        <v/>
      </c>
      <c r="U17" s="44" t="n"/>
    </row>
    <row r="18" ht="15" customHeight="1" s="28">
      <c r="A18" s="44" t="n"/>
      <c r="B18" s="45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5" t="n"/>
      <c r="N18" s="44" t="n"/>
      <c r="O18" s="46" t="n"/>
      <c r="P18" s="44" t="n"/>
      <c r="Q18" s="44" t="n"/>
      <c r="R18" s="46" t="n"/>
      <c r="S18" s="47">
        <f>IF(A18="","",IF(F18="Emergency","Emergency",IF(AND(I18&lt;&gt;"",J18&lt;&gt;"",L18="Disetujui"),"OK","CEK")))</f>
        <v/>
      </c>
      <c r="T18" s="47">
        <f>IF(A18="","",IF(OR(F18="Major",Q18="Rollback"),"Ya","Tidak"))</f>
        <v/>
      </c>
      <c r="U18" s="44" t="n"/>
    </row>
    <row r="19" ht="15" customHeight="1" s="28">
      <c r="A19" s="44" t="n"/>
      <c r="B19" s="45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5" t="n"/>
      <c r="N19" s="44" t="n"/>
      <c r="O19" s="46" t="n"/>
      <c r="P19" s="44" t="n"/>
      <c r="Q19" s="44" t="n"/>
      <c r="R19" s="46" t="n"/>
      <c r="S19" s="47">
        <f>IF(A19="","",IF(F19="Emergency","Emergency",IF(AND(I19&lt;&gt;"",J19&lt;&gt;"",L19="Disetujui"),"OK","CEK")))</f>
        <v/>
      </c>
      <c r="T19" s="47">
        <f>IF(A19="","",IF(OR(F19="Major",Q19="Rollback"),"Ya","Tidak"))</f>
        <v/>
      </c>
      <c r="U19" s="44" t="n"/>
    </row>
    <row r="20" ht="15" customHeight="1" s="28">
      <c r="A20" s="44" t="n"/>
      <c r="B20" s="45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5" t="n"/>
      <c r="N20" s="44" t="n"/>
      <c r="O20" s="46" t="n"/>
      <c r="P20" s="44" t="n"/>
      <c r="Q20" s="44" t="n"/>
      <c r="R20" s="46" t="n"/>
      <c r="S20" s="47">
        <f>IF(A20="","",IF(F20="Emergency","Emergency",IF(AND(I20&lt;&gt;"",J20&lt;&gt;"",L20="Disetujui"),"OK","CEK")))</f>
        <v/>
      </c>
      <c r="T20" s="47">
        <f>IF(A20="","",IF(OR(F20="Major",Q20="Rollback"),"Ya","Tidak"))</f>
        <v/>
      </c>
      <c r="U20" s="44" t="n"/>
    </row>
    <row r="21" ht="15" customHeight="1" s="28">
      <c r="A21" s="44" t="n"/>
      <c r="B21" s="45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5" t="n"/>
      <c r="N21" s="44" t="n"/>
      <c r="O21" s="46" t="n"/>
      <c r="P21" s="44" t="n"/>
      <c r="Q21" s="44" t="n"/>
      <c r="R21" s="46" t="n"/>
      <c r="S21" s="47">
        <f>IF(A21="","",IF(F21="Emergency","Emergency",IF(AND(I21&lt;&gt;"",J21&lt;&gt;"",L21="Disetujui"),"OK","CEK")))</f>
        <v/>
      </c>
      <c r="T21" s="47">
        <f>IF(A21="","",IF(OR(F21="Major",Q21="Rollback"),"Ya","Tidak"))</f>
        <v/>
      </c>
      <c r="U21" s="44" t="n"/>
    </row>
    <row r="22" ht="15" customHeight="1" s="28">
      <c r="A22" s="44" t="n"/>
      <c r="B22" s="45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5" t="n"/>
      <c r="N22" s="44" t="n"/>
      <c r="O22" s="46" t="n"/>
      <c r="P22" s="44" t="n"/>
      <c r="Q22" s="44" t="n"/>
      <c r="R22" s="46" t="n"/>
      <c r="S22" s="47">
        <f>IF(A22="","",IF(F22="Emergency","Emergency",IF(AND(I22&lt;&gt;"",J22&lt;&gt;"",L22="Disetujui"),"OK","CEK")))</f>
        <v/>
      </c>
      <c r="T22" s="47">
        <f>IF(A22="","",IF(OR(F22="Major",Q22="Rollback"),"Ya","Tidak"))</f>
        <v/>
      </c>
      <c r="U22" s="44" t="n"/>
    </row>
    <row r="23" ht="15" customHeight="1" s="28">
      <c r="A23" s="44" t="n"/>
      <c r="B23" s="45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5" t="n"/>
      <c r="N23" s="44" t="n"/>
      <c r="O23" s="46" t="n"/>
      <c r="P23" s="44" t="n"/>
      <c r="Q23" s="44" t="n"/>
      <c r="R23" s="46" t="n"/>
      <c r="S23" s="47">
        <f>IF(A23="","",IF(F23="Emergency","Emergency",IF(AND(I23&lt;&gt;"",J23&lt;&gt;"",L23="Disetujui"),"OK","CEK")))</f>
        <v/>
      </c>
      <c r="T23" s="47">
        <f>IF(A23="","",IF(OR(F23="Major",Q23="Rollback"),"Ya","Tidak"))</f>
        <v/>
      </c>
      <c r="U23" s="44" t="n"/>
    </row>
    <row r="24" ht="15" customHeight="1" s="28">
      <c r="A24" s="44" t="n"/>
      <c r="B24" s="45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5" t="n"/>
      <c r="N24" s="44" t="n"/>
      <c r="O24" s="46" t="n"/>
      <c r="P24" s="44" t="n"/>
      <c r="Q24" s="44" t="n"/>
      <c r="R24" s="46" t="n"/>
      <c r="S24" s="47">
        <f>IF(A24="","",IF(F24="Emergency","Emergency",IF(AND(I24&lt;&gt;"",J24&lt;&gt;"",L24="Disetujui"),"OK","CEK")))</f>
        <v/>
      </c>
      <c r="T24" s="47">
        <f>IF(A24="","",IF(OR(F24="Major",Q24="Rollback"),"Ya","Tidak"))</f>
        <v/>
      </c>
      <c r="U24" s="44" t="n"/>
    </row>
    <row r="25" ht="15" customHeight="1" s="28">
      <c r="A25" s="44" t="n"/>
      <c r="B25" s="45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5" t="n"/>
      <c r="N25" s="44" t="n"/>
      <c r="O25" s="46" t="n"/>
      <c r="P25" s="44" t="n"/>
      <c r="Q25" s="44" t="n"/>
      <c r="R25" s="46" t="n"/>
      <c r="S25" s="47">
        <f>IF(A25="","",IF(F25="Emergency","Emergency",IF(AND(I25&lt;&gt;"",J25&lt;&gt;"",L25="Disetujui"),"OK","CEK")))</f>
        <v/>
      </c>
      <c r="T25" s="47">
        <f>IF(A25="","",IF(OR(F25="Major",Q25="Rollback"),"Ya","Tidak"))</f>
        <v/>
      </c>
      <c r="U25" s="44" t="n"/>
    </row>
    <row r="26" ht="15" customHeight="1" s="28">
      <c r="A26" s="44" t="n"/>
      <c r="B26" s="45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5" t="n"/>
      <c r="N26" s="44" t="n"/>
      <c r="O26" s="46" t="n"/>
      <c r="P26" s="44" t="n"/>
      <c r="Q26" s="44" t="n"/>
      <c r="R26" s="46" t="n"/>
      <c r="S26" s="47">
        <f>IF(A26="","",IF(F26="Emergency","Emergency",IF(AND(I26&lt;&gt;"",J26&lt;&gt;"",L26="Disetujui"),"OK","CEK")))</f>
        <v/>
      </c>
      <c r="T26" s="47">
        <f>IF(A26="","",IF(OR(F26="Major",Q26="Rollback"),"Ya","Tidak"))</f>
        <v/>
      </c>
      <c r="U26" s="44" t="n"/>
    </row>
    <row r="27" ht="15" customHeight="1" s="28">
      <c r="A27" s="44" t="n"/>
      <c r="B27" s="45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5" t="n"/>
      <c r="N27" s="44" t="n"/>
      <c r="O27" s="46" t="n"/>
      <c r="P27" s="44" t="n"/>
      <c r="Q27" s="44" t="n"/>
      <c r="R27" s="46" t="n"/>
      <c r="S27" s="47">
        <f>IF(A27="","",IF(F27="Emergency","Emergency",IF(AND(I27&lt;&gt;"",J27&lt;&gt;"",L27="Disetujui"),"OK","CEK")))</f>
        <v/>
      </c>
      <c r="T27" s="47">
        <f>IF(A27="","",IF(OR(F27="Major",Q27="Rollback"),"Ya","Tidak"))</f>
        <v/>
      </c>
      <c r="U27" s="44" t="n"/>
    </row>
    <row r="28" ht="15" customHeight="1" s="28">
      <c r="A28" s="44" t="n"/>
      <c r="B28" s="45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5" t="n"/>
      <c r="N28" s="44" t="n"/>
      <c r="O28" s="46" t="n"/>
      <c r="P28" s="44" t="n"/>
      <c r="Q28" s="44" t="n"/>
      <c r="R28" s="46" t="n"/>
      <c r="S28" s="47">
        <f>IF(A28="","",IF(F28="Emergency","Emergency",IF(AND(I28&lt;&gt;"",J28&lt;&gt;"",L28="Disetujui"),"OK","CEK")))</f>
        <v/>
      </c>
      <c r="T28" s="47">
        <f>IF(A28="","",IF(OR(F28="Major",Q28="Rollback"),"Ya","Tidak"))</f>
        <v/>
      </c>
      <c r="U28" s="44" t="n"/>
    </row>
    <row r="29" ht="15" customHeight="1" s="28">
      <c r="A29" s="44" t="n"/>
      <c r="B29" s="45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5" t="n"/>
      <c r="N29" s="44" t="n"/>
      <c r="O29" s="46" t="n"/>
      <c r="P29" s="44" t="n"/>
      <c r="Q29" s="44" t="n"/>
      <c r="R29" s="46" t="n"/>
      <c r="S29" s="47">
        <f>IF(A29="","",IF(F29="Emergency","Emergency",IF(AND(I29&lt;&gt;"",J29&lt;&gt;"",L29="Disetujui"),"OK","CEK")))</f>
        <v/>
      </c>
      <c r="T29" s="47">
        <f>IF(A29="","",IF(OR(F29="Major",Q29="Rollback"),"Ya","Tidak"))</f>
        <v/>
      </c>
      <c r="U29" s="44" t="n"/>
    </row>
    <row r="30" ht="15" customHeight="1" s="28">
      <c r="A30" s="44" t="n"/>
      <c r="B30" s="45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5" t="n"/>
      <c r="N30" s="44" t="n"/>
      <c r="O30" s="46" t="n"/>
      <c r="P30" s="44" t="n"/>
      <c r="Q30" s="44" t="n"/>
      <c r="R30" s="46" t="n"/>
      <c r="S30" s="47">
        <f>IF(A30="","",IF(F30="Emergency","Emergency",IF(AND(I30&lt;&gt;"",J30&lt;&gt;"",L30="Disetujui"),"OK","CEK")))</f>
        <v/>
      </c>
      <c r="T30" s="47">
        <f>IF(A30="","",IF(OR(F30="Major",Q30="Rollback"),"Ya","Tidak"))</f>
        <v/>
      </c>
      <c r="U30" s="44" t="n"/>
    </row>
    <row r="31" ht="15" customHeight="1" s="28">
      <c r="A31" s="44" t="n"/>
      <c r="B31" s="45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5" t="n"/>
      <c r="N31" s="44" t="n"/>
      <c r="O31" s="46" t="n"/>
      <c r="P31" s="44" t="n"/>
      <c r="Q31" s="44" t="n"/>
      <c r="R31" s="46" t="n"/>
      <c r="S31" s="47">
        <f>IF(A31="","",IF(F31="Emergency","Emergency",IF(AND(I31&lt;&gt;"",J31&lt;&gt;"",L31="Disetujui"),"OK","CEK")))</f>
        <v/>
      </c>
      <c r="T31" s="47">
        <f>IF(A31="","",IF(OR(F31="Major",Q31="Rollback"),"Ya","Tidak"))</f>
        <v/>
      </c>
      <c r="U31" s="44" t="n"/>
    </row>
    <row r="32" ht="15" customHeight="1" s="28">
      <c r="A32" s="44" t="n"/>
      <c r="B32" s="45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5" t="n"/>
      <c r="N32" s="44" t="n"/>
      <c r="O32" s="46" t="n"/>
      <c r="P32" s="44" t="n"/>
      <c r="Q32" s="44" t="n"/>
      <c r="R32" s="46" t="n"/>
      <c r="S32" s="47">
        <f>IF(A32="","",IF(F32="Emergency","Emergency",IF(AND(I32&lt;&gt;"",J32&lt;&gt;"",L32="Disetujui"),"OK","CEK")))</f>
        <v/>
      </c>
      <c r="T32" s="47">
        <f>IF(A32="","",IF(OR(F32="Major",Q32="Rollback"),"Ya","Tidak"))</f>
        <v/>
      </c>
      <c r="U32" s="44" t="n"/>
    </row>
    <row r="33" ht="15" customHeight="1" s="28">
      <c r="A33" s="44" t="n"/>
      <c r="B33" s="45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5" t="n"/>
      <c r="N33" s="44" t="n"/>
      <c r="O33" s="46" t="n"/>
      <c r="P33" s="44" t="n"/>
      <c r="Q33" s="44" t="n"/>
      <c r="R33" s="46" t="n"/>
      <c r="S33" s="47">
        <f>IF(A33="","",IF(F33="Emergency","Emergency",IF(AND(I33&lt;&gt;"",J33&lt;&gt;"",L33="Disetujui"),"OK","CEK")))</f>
        <v/>
      </c>
      <c r="T33" s="47">
        <f>IF(A33="","",IF(OR(F33="Major",Q33="Rollback"),"Ya","Tidak"))</f>
        <v/>
      </c>
      <c r="U33" s="44" t="n"/>
    </row>
    <row r="34" ht="15" customHeight="1" s="28">
      <c r="A34" s="44" t="n"/>
      <c r="B34" s="45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5" t="n"/>
      <c r="N34" s="44" t="n"/>
      <c r="O34" s="46" t="n"/>
      <c r="P34" s="44" t="n"/>
      <c r="Q34" s="44" t="n"/>
      <c r="R34" s="46" t="n"/>
      <c r="S34" s="47">
        <f>IF(A34="","",IF(F34="Emergency","Emergency",IF(AND(I34&lt;&gt;"",J34&lt;&gt;"",L34="Disetujui"),"OK","CEK")))</f>
        <v/>
      </c>
      <c r="T34" s="47">
        <f>IF(A34="","",IF(OR(F34="Major",Q34="Rollback"),"Ya","Tidak"))</f>
        <v/>
      </c>
      <c r="U34" s="44" t="n"/>
    </row>
    <row r="35" ht="15" customHeight="1" s="28">
      <c r="A35" s="44" t="n"/>
      <c r="B35" s="45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5" t="n"/>
      <c r="N35" s="44" t="n"/>
      <c r="O35" s="46" t="n"/>
      <c r="P35" s="44" t="n"/>
      <c r="Q35" s="44" t="n"/>
      <c r="R35" s="46" t="n"/>
      <c r="S35" s="47">
        <f>IF(A35="","",IF(F35="Emergency","Emergency",IF(AND(I35&lt;&gt;"",J35&lt;&gt;"",L35="Disetujui"),"OK","CEK")))</f>
        <v/>
      </c>
      <c r="T35" s="47">
        <f>IF(A35="","",IF(OR(F35="Major",Q35="Rollback"),"Ya","Tidak"))</f>
        <v/>
      </c>
      <c r="U35" s="44" t="n"/>
    </row>
    <row r="36" ht="15" customHeight="1" s="28">
      <c r="A36" s="44" t="n"/>
      <c r="B36" s="45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5" t="n"/>
      <c r="N36" s="44" t="n"/>
      <c r="O36" s="46" t="n"/>
      <c r="P36" s="44" t="n"/>
      <c r="Q36" s="44" t="n"/>
      <c r="R36" s="46" t="n"/>
      <c r="S36" s="47">
        <f>IF(A36="","",IF(F36="Emergency","Emergency",IF(AND(I36&lt;&gt;"",J36&lt;&gt;"",L36="Disetujui"),"OK","CEK")))</f>
        <v/>
      </c>
      <c r="T36" s="47">
        <f>IF(A36="","",IF(OR(F36="Major",Q36="Rollback"),"Ya","Tidak"))</f>
        <v/>
      </c>
      <c r="U36" s="44" t="n"/>
    </row>
    <row r="37" ht="15" customHeight="1" s="28">
      <c r="A37" s="44" t="n"/>
      <c r="B37" s="45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5" t="n"/>
      <c r="N37" s="44" t="n"/>
      <c r="O37" s="46" t="n"/>
      <c r="P37" s="44" t="n"/>
      <c r="Q37" s="44" t="n"/>
      <c r="R37" s="46" t="n"/>
      <c r="S37" s="47">
        <f>IF(A37="","",IF(F37="Emergency","Emergency",IF(AND(I37&lt;&gt;"",J37&lt;&gt;"",L37="Disetujui"),"OK","CEK")))</f>
        <v/>
      </c>
      <c r="T37" s="47">
        <f>IF(A37="","",IF(OR(F37="Major",Q37="Rollback"),"Ya","Tidak"))</f>
        <v/>
      </c>
      <c r="U37" s="44" t="n"/>
    </row>
    <row r="38" ht="15" customHeight="1" s="28">
      <c r="A38" s="44" t="n"/>
      <c r="B38" s="45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5" t="n"/>
      <c r="N38" s="44" t="n"/>
      <c r="O38" s="46" t="n"/>
      <c r="P38" s="44" t="n"/>
      <c r="Q38" s="44" t="n"/>
      <c r="R38" s="46" t="n"/>
      <c r="S38" s="47">
        <f>IF(A38="","",IF(F38="Emergency","Emergency",IF(AND(I38&lt;&gt;"",J38&lt;&gt;"",L38="Disetujui"),"OK","CEK")))</f>
        <v/>
      </c>
      <c r="T38" s="47">
        <f>IF(A38="","",IF(OR(F38="Major",Q38="Rollback"),"Ya","Tidak"))</f>
        <v/>
      </c>
      <c r="U38" s="44" t="n"/>
    </row>
    <row r="39" ht="15" customHeight="1" s="28">
      <c r="A39" s="44" t="n"/>
      <c r="B39" s="45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5" t="n"/>
      <c r="N39" s="44" t="n"/>
      <c r="O39" s="46" t="n"/>
      <c r="P39" s="44" t="n"/>
      <c r="Q39" s="44" t="n"/>
      <c r="R39" s="46" t="n"/>
      <c r="S39" s="47">
        <f>IF(A39="","",IF(F39="Emergency","Emergency",IF(AND(I39&lt;&gt;"",J39&lt;&gt;"",L39="Disetujui"),"OK","CEK")))</f>
        <v/>
      </c>
      <c r="T39" s="47">
        <f>IF(A39="","",IF(OR(F39="Major",Q39="Rollback"),"Ya","Tidak"))</f>
        <v/>
      </c>
      <c r="U39" s="44" t="n"/>
    </row>
    <row r="40" ht="15" customHeight="1" s="28">
      <c r="A40" s="44" t="n"/>
      <c r="B40" s="45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5" t="n"/>
      <c r="N40" s="44" t="n"/>
      <c r="O40" s="46" t="n"/>
      <c r="P40" s="44" t="n"/>
      <c r="Q40" s="44" t="n"/>
      <c r="R40" s="46" t="n"/>
      <c r="S40" s="47">
        <f>IF(A40="","",IF(F40="Emergency","Emergency",IF(AND(I40&lt;&gt;"",J40&lt;&gt;"",L40="Disetujui"),"OK","CEK")))</f>
        <v/>
      </c>
      <c r="T40" s="47">
        <f>IF(A40="","",IF(OR(F40="Major",Q40="Rollback"),"Ya","Tidak"))</f>
        <v/>
      </c>
      <c r="U40" s="44" t="n"/>
    </row>
    <row r="41" ht="15" customHeight="1" s="28">
      <c r="A41" s="44" t="n"/>
      <c r="B41" s="45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5" t="n"/>
      <c r="N41" s="44" t="n"/>
      <c r="O41" s="46" t="n"/>
      <c r="P41" s="44" t="n"/>
      <c r="Q41" s="44" t="n"/>
      <c r="R41" s="46" t="n"/>
      <c r="S41" s="47">
        <f>IF(A41="","",IF(F41="Emergency","Emergency",IF(AND(I41&lt;&gt;"",J41&lt;&gt;"",L41="Disetujui"),"OK","CEK")))</f>
        <v/>
      </c>
      <c r="T41" s="47">
        <f>IF(A41="","",IF(OR(F41="Major",Q41="Rollback"),"Ya","Tidak"))</f>
        <v/>
      </c>
      <c r="U41" s="44" t="n"/>
    </row>
    <row r="42" ht="15" customHeight="1" s="28">
      <c r="A42" s="44" t="n"/>
      <c r="B42" s="45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5" t="n"/>
      <c r="N42" s="44" t="n"/>
      <c r="O42" s="46" t="n"/>
      <c r="P42" s="44" t="n"/>
      <c r="Q42" s="44" t="n"/>
      <c r="R42" s="46" t="n"/>
      <c r="S42" s="47">
        <f>IF(A42="","",IF(F42="Emergency","Emergency",IF(AND(I42&lt;&gt;"",J42&lt;&gt;"",L42="Disetujui"),"OK","CEK")))</f>
        <v/>
      </c>
      <c r="T42" s="47">
        <f>IF(A42="","",IF(OR(F42="Major",Q42="Rollback"),"Ya","Tidak"))</f>
        <v/>
      </c>
      <c r="U42" s="44" t="n"/>
    </row>
    <row r="43" ht="15" customHeight="1" s="28">
      <c r="A43" s="44" t="n"/>
      <c r="B43" s="45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5" t="n"/>
      <c r="N43" s="44" t="n"/>
      <c r="O43" s="46" t="n"/>
      <c r="P43" s="44" t="n"/>
      <c r="Q43" s="44" t="n"/>
      <c r="R43" s="46" t="n"/>
      <c r="S43" s="47">
        <f>IF(A43="","",IF(F43="Emergency","Emergency",IF(AND(I43&lt;&gt;"",J43&lt;&gt;"",L43="Disetujui"),"OK","CEK")))</f>
        <v/>
      </c>
      <c r="T43" s="47">
        <f>IF(A43="","",IF(OR(F43="Major",Q43="Rollback"),"Ya","Tidak"))</f>
        <v/>
      </c>
      <c r="U43" s="44" t="n"/>
    </row>
    <row r="44" ht="15" customHeight="1" s="28">
      <c r="A44" s="44" t="n"/>
      <c r="B44" s="45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5" t="n"/>
      <c r="N44" s="44" t="n"/>
      <c r="O44" s="46" t="n"/>
      <c r="P44" s="44" t="n"/>
      <c r="Q44" s="44" t="n"/>
      <c r="R44" s="46" t="n"/>
      <c r="S44" s="47">
        <f>IF(A44="","",IF(F44="Emergency","Emergency",IF(AND(I44&lt;&gt;"",J44&lt;&gt;"",L44="Disetujui"),"OK","CEK")))</f>
        <v/>
      </c>
      <c r="T44" s="47">
        <f>IF(A44="","",IF(OR(F44="Major",Q44="Rollback"),"Ya","Tidak"))</f>
        <v/>
      </c>
      <c r="U44" s="44" t="n"/>
    </row>
    <row r="45" ht="15" customHeight="1" s="28">
      <c r="A45" s="44" t="n"/>
      <c r="B45" s="45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5" t="n"/>
      <c r="N45" s="44" t="n"/>
      <c r="O45" s="46" t="n"/>
      <c r="P45" s="44" t="n"/>
      <c r="Q45" s="44" t="n"/>
      <c r="R45" s="46" t="n"/>
      <c r="S45" s="47">
        <f>IF(A45="","",IF(F45="Emergency","Emergency",IF(AND(I45&lt;&gt;"",J45&lt;&gt;"",L45="Disetujui"),"OK","CEK")))</f>
        <v/>
      </c>
      <c r="T45" s="47">
        <f>IF(A45="","",IF(OR(F45="Major",Q45="Rollback"),"Ya","Tidak"))</f>
        <v/>
      </c>
      <c r="U45" s="44" t="n"/>
    </row>
    <row r="46" ht="15" customHeight="1" s="28">
      <c r="A46" s="44" t="n"/>
      <c r="B46" s="45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5" t="n"/>
      <c r="N46" s="44" t="n"/>
      <c r="O46" s="46" t="n"/>
      <c r="P46" s="44" t="n"/>
      <c r="Q46" s="44" t="n"/>
      <c r="R46" s="46" t="n"/>
      <c r="S46" s="47">
        <f>IF(A46="","",IF(F46="Emergency","Emergency",IF(AND(I46&lt;&gt;"",J46&lt;&gt;"",L46="Disetujui"),"OK","CEK")))</f>
        <v/>
      </c>
      <c r="T46" s="47">
        <f>IF(A46="","",IF(OR(F46="Major",Q46="Rollback"),"Ya","Tidak"))</f>
        <v/>
      </c>
      <c r="U46" s="44" t="n"/>
    </row>
    <row r="47" ht="15" customHeight="1" s="28">
      <c r="A47" s="44" t="n"/>
      <c r="B47" s="45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5" t="n"/>
      <c r="N47" s="44" t="n"/>
      <c r="O47" s="46" t="n"/>
      <c r="P47" s="44" t="n"/>
      <c r="Q47" s="44" t="n"/>
      <c r="R47" s="46" t="n"/>
      <c r="S47" s="47">
        <f>IF(A47="","",IF(F47="Emergency","Emergency",IF(AND(I47&lt;&gt;"",J47&lt;&gt;"",L47="Disetujui"),"OK","CEK")))</f>
        <v/>
      </c>
      <c r="T47" s="47">
        <f>IF(A47="","",IF(OR(F47="Major",Q47="Rollback"),"Ya","Tidak"))</f>
        <v/>
      </c>
      <c r="U47" s="44" t="n"/>
    </row>
    <row r="48" ht="15" customHeight="1" s="28">
      <c r="A48" s="44" t="n"/>
      <c r="B48" s="45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5" t="n"/>
      <c r="N48" s="44" t="n"/>
      <c r="O48" s="46" t="n"/>
      <c r="P48" s="44" t="n"/>
      <c r="Q48" s="44" t="n"/>
      <c r="R48" s="46" t="n"/>
      <c r="S48" s="47">
        <f>IF(A48="","",IF(F48="Emergency","Emergency",IF(AND(I48&lt;&gt;"",J48&lt;&gt;"",L48="Disetujui"),"OK","CEK")))</f>
        <v/>
      </c>
      <c r="T48" s="47">
        <f>IF(A48="","",IF(OR(F48="Major",Q48="Rollback"),"Ya","Tidak"))</f>
        <v/>
      </c>
      <c r="U48" s="44" t="n"/>
    </row>
    <row r="49" ht="15" customHeight="1" s="28">
      <c r="A49" s="44" t="n"/>
      <c r="B49" s="45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5" t="n"/>
      <c r="N49" s="44" t="n"/>
      <c r="O49" s="46" t="n"/>
      <c r="P49" s="44" t="n"/>
      <c r="Q49" s="44" t="n"/>
      <c r="R49" s="46" t="n"/>
      <c r="S49" s="47">
        <f>IF(A49="","",IF(F49="Emergency","Emergency",IF(AND(I49&lt;&gt;"",J49&lt;&gt;"",L49="Disetujui"),"OK","CEK")))</f>
        <v/>
      </c>
      <c r="T49" s="47">
        <f>IF(A49="","",IF(OR(F49="Major",Q49="Rollback"),"Ya","Tidak"))</f>
        <v/>
      </c>
      <c r="U49" s="44" t="n"/>
    </row>
    <row r="50" ht="15" customHeight="1" s="28">
      <c r="A50" s="44" t="n"/>
      <c r="B50" s="45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5" t="n"/>
      <c r="N50" s="44" t="n"/>
      <c r="O50" s="46" t="n"/>
      <c r="P50" s="44" t="n"/>
      <c r="Q50" s="44" t="n"/>
      <c r="R50" s="46" t="n"/>
      <c r="S50" s="47">
        <f>IF(A50="","",IF(F50="Emergency","Emergency",IF(AND(I50&lt;&gt;"",J50&lt;&gt;"",L50="Disetujui"),"OK","CEK")))</f>
        <v/>
      </c>
      <c r="T50" s="47">
        <f>IF(A50="","",IF(OR(F50="Major",Q50="Rollback"),"Ya","Tidak"))</f>
        <v/>
      </c>
      <c r="U50" s="44" t="n"/>
    </row>
    <row r="51" ht="15" customHeight="1" s="28">
      <c r="A51" s="44" t="n"/>
      <c r="B51" s="45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5" t="n"/>
      <c r="N51" s="44" t="n"/>
      <c r="O51" s="46" t="n"/>
      <c r="P51" s="44" t="n"/>
      <c r="Q51" s="44" t="n"/>
      <c r="R51" s="46" t="n"/>
      <c r="S51" s="47">
        <f>IF(A51="","",IF(F51="Emergency","Emergency",IF(AND(I51&lt;&gt;"",J51&lt;&gt;"",L51="Disetujui"),"OK","CEK")))</f>
        <v/>
      </c>
      <c r="T51" s="47">
        <f>IF(A51="","",IF(OR(F51="Major",Q51="Rollback"),"Ya","Tidak"))</f>
        <v/>
      </c>
      <c r="U51" s="44" t="n"/>
    </row>
    <row r="52" ht="15" customHeight="1" s="28">
      <c r="A52" s="44" t="n"/>
      <c r="B52" s="45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5" t="n"/>
      <c r="N52" s="44" t="n"/>
      <c r="O52" s="46" t="n"/>
      <c r="P52" s="44" t="n"/>
      <c r="Q52" s="44" t="n"/>
      <c r="R52" s="46" t="n"/>
      <c r="S52" s="47">
        <f>IF(A52="","",IF(F52="Emergency","Emergency",IF(AND(I52&lt;&gt;"",J52&lt;&gt;"",L52="Disetujui"),"OK","CEK")))</f>
        <v/>
      </c>
      <c r="T52" s="47">
        <f>IF(A52="","",IF(OR(F52="Major",Q52="Rollback"),"Ya","Tidak"))</f>
        <v/>
      </c>
      <c r="U52" s="44" t="n"/>
    </row>
    <row r="53" ht="15" customHeight="1" s="28">
      <c r="A53" s="44" t="n"/>
      <c r="B53" s="45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5" t="n"/>
      <c r="N53" s="44" t="n"/>
      <c r="O53" s="46" t="n"/>
      <c r="P53" s="44" t="n"/>
      <c r="Q53" s="44" t="n"/>
      <c r="R53" s="46" t="n"/>
      <c r="S53" s="47">
        <f>IF(A53="","",IF(F53="Emergency","Emergency",IF(AND(I53&lt;&gt;"",J53&lt;&gt;"",L53="Disetujui"),"OK","CEK")))</f>
        <v/>
      </c>
      <c r="T53" s="47">
        <f>IF(A53="","",IF(OR(F53="Major",Q53="Rollback"),"Ya","Tidak"))</f>
        <v/>
      </c>
      <c r="U53" s="44" t="n"/>
    </row>
    <row r="54" ht="15" customHeight="1" s="28">
      <c r="A54" s="44" t="n"/>
      <c r="B54" s="45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5" t="n"/>
      <c r="N54" s="44" t="n"/>
      <c r="O54" s="46" t="n"/>
      <c r="P54" s="44" t="n"/>
      <c r="Q54" s="44" t="n"/>
      <c r="R54" s="46" t="n"/>
      <c r="S54" s="47">
        <f>IF(A54="","",IF(F54="Emergency","Emergency",IF(AND(I54&lt;&gt;"",J54&lt;&gt;"",L54="Disetujui"),"OK","CEK")))</f>
        <v/>
      </c>
      <c r="T54" s="47">
        <f>IF(A54="","",IF(OR(F54="Major",Q54="Rollback"),"Ya","Tidak"))</f>
        <v/>
      </c>
      <c r="U54" s="44" t="n"/>
    </row>
    <row r="55" ht="15" customHeight="1" s="28">
      <c r="A55" s="44" t="n"/>
      <c r="B55" s="45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5" t="n"/>
      <c r="N55" s="44" t="n"/>
      <c r="O55" s="46" t="n"/>
      <c r="P55" s="44" t="n"/>
      <c r="Q55" s="44" t="n"/>
      <c r="R55" s="46" t="n"/>
      <c r="S55" s="47">
        <f>IF(A55="","",IF(F55="Emergency","Emergency",IF(AND(I55&lt;&gt;"",J55&lt;&gt;"",L55="Disetujui"),"OK","CEK")))</f>
        <v/>
      </c>
      <c r="T55" s="47">
        <f>IF(A55="","",IF(OR(F55="Major",Q55="Rollback"),"Ya","Tidak"))</f>
        <v/>
      </c>
      <c r="U55" s="44" t="n"/>
    </row>
    <row r="56" ht="15" customHeight="1" s="28">
      <c r="A56" s="44" t="n"/>
      <c r="B56" s="45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5" t="n"/>
      <c r="N56" s="44" t="n"/>
      <c r="O56" s="46" t="n"/>
      <c r="P56" s="44" t="n"/>
      <c r="Q56" s="44" t="n"/>
      <c r="R56" s="46" t="n"/>
      <c r="S56" s="47">
        <f>IF(A56="","",IF(F56="Emergency","Emergency",IF(AND(I56&lt;&gt;"",J56&lt;&gt;"",L56="Disetujui"),"OK","CEK")))</f>
        <v/>
      </c>
      <c r="T56" s="47">
        <f>IF(A56="","",IF(OR(F56="Major",Q56="Rollback"),"Ya","Tidak"))</f>
        <v/>
      </c>
      <c r="U56" s="44" t="n"/>
    </row>
    <row r="57" ht="15" customHeight="1" s="28">
      <c r="A57" s="44" t="n"/>
      <c r="B57" s="45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5" t="n"/>
      <c r="N57" s="44" t="n"/>
      <c r="O57" s="46" t="n"/>
      <c r="P57" s="44" t="n"/>
      <c r="Q57" s="44" t="n"/>
      <c r="R57" s="46" t="n"/>
      <c r="S57" s="47">
        <f>IF(A57="","",IF(F57="Emergency","Emergency",IF(AND(I57&lt;&gt;"",J57&lt;&gt;"",L57="Disetujui"),"OK","CEK")))</f>
        <v/>
      </c>
      <c r="T57" s="47">
        <f>IF(A57="","",IF(OR(F57="Major",Q57="Rollback"),"Ya","Tidak"))</f>
        <v/>
      </c>
      <c r="U57" s="44" t="n"/>
    </row>
    <row r="58" ht="15" customHeight="1" s="28">
      <c r="A58" s="44" t="n"/>
      <c r="B58" s="45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5" t="n"/>
      <c r="N58" s="44" t="n"/>
      <c r="O58" s="46" t="n"/>
      <c r="P58" s="44" t="n"/>
      <c r="Q58" s="44" t="n"/>
      <c r="R58" s="46" t="n"/>
      <c r="S58" s="47">
        <f>IF(A58="","",IF(F58="Emergency","Emergency",IF(AND(I58&lt;&gt;"",J58&lt;&gt;"",L58="Disetujui"),"OK","CEK")))</f>
        <v/>
      </c>
      <c r="T58" s="47">
        <f>IF(A58="","",IF(OR(F58="Major",Q58="Rollback"),"Ya","Tidak"))</f>
        <v/>
      </c>
      <c r="U58" s="44" t="n"/>
    </row>
    <row r="59" ht="15" customHeight="1" s="28">
      <c r="A59" s="44" t="n"/>
      <c r="B59" s="45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5" t="n"/>
      <c r="N59" s="44" t="n"/>
      <c r="O59" s="46" t="n"/>
      <c r="P59" s="44" t="n"/>
      <c r="Q59" s="44" t="n"/>
      <c r="R59" s="46" t="n"/>
      <c r="S59" s="47">
        <f>IF(A59="","",IF(F59="Emergency","Emergency",IF(AND(I59&lt;&gt;"",J59&lt;&gt;"",L59="Disetujui"),"OK","CEK")))</f>
        <v/>
      </c>
      <c r="T59" s="47">
        <f>IF(A59="","",IF(OR(F59="Major",Q59="Rollback"),"Ya","Tidak"))</f>
        <v/>
      </c>
      <c r="U59" s="44" t="n"/>
    </row>
    <row r="60" ht="15" customHeight="1" s="28">
      <c r="A60" s="44" t="n"/>
      <c r="B60" s="45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5" t="n"/>
      <c r="N60" s="44" t="n"/>
      <c r="O60" s="46" t="n"/>
      <c r="P60" s="44" t="n"/>
      <c r="Q60" s="44" t="n"/>
      <c r="R60" s="46" t="n"/>
      <c r="S60" s="47">
        <f>IF(A60="","",IF(F60="Emergency","Emergency",IF(AND(I60&lt;&gt;"",J60&lt;&gt;"",L60="Disetujui"),"OK","CEK")))</f>
        <v/>
      </c>
      <c r="T60" s="47">
        <f>IF(A60="","",IF(OR(F60="Major",Q60="Rollback"),"Ya","Tidak"))</f>
        <v/>
      </c>
      <c r="U60" s="44" t="n"/>
    </row>
    <row r="61" ht="15" customHeight="1" s="28">
      <c r="A61" s="44" t="n"/>
      <c r="B61" s="45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5" t="n"/>
      <c r="N61" s="44" t="n"/>
      <c r="O61" s="46" t="n"/>
      <c r="P61" s="44" t="n"/>
      <c r="Q61" s="44" t="n"/>
      <c r="R61" s="46" t="n"/>
      <c r="S61" s="47">
        <f>IF(A61="","",IF(F61="Emergency","Emergency",IF(AND(I61&lt;&gt;"",J61&lt;&gt;"",L61="Disetujui"),"OK","CEK")))</f>
        <v/>
      </c>
      <c r="T61" s="47">
        <f>IF(A61="","",IF(OR(F61="Major",Q61="Rollback"),"Ya","Tidak"))</f>
        <v/>
      </c>
      <c r="U61" s="44" t="n"/>
    </row>
    <row r="62" ht="15" customHeight="1" s="28">
      <c r="A62" s="44" t="n"/>
      <c r="B62" s="45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5" t="n"/>
      <c r="N62" s="44" t="n"/>
      <c r="O62" s="46" t="n"/>
      <c r="P62" s="44" t="n"/>
      <c r="Q62" s="44" t="n"/>
      <c r="R62" s="46" t="n"/>
      <c r="S62" s="47">
        <f>IF(A62="","",IF(F62="Emergency","Emergency",IF(AND(I62&lt;&gt;"",J62&lt;&gt;"",L62="Disetujui"),"OK","CEK")))</f>
        <v/>
      </c>
      <c r="T62" s="47">
        <f>IF(A62="","",IF(OR(F62="Major",Q62="Rollback"),"Ya","Tidak"))</f>
        <v/>
      </c>
      <c r="U62" s="44" t="n"/>
    </row>
    <row r="63" ht="15" customHeight="1" s="28">
      <c r="A63" s="44" t="n"/>
      <c r="B63" s="45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5" t="n"/>
      <c r="N63" s="44" t="n"/>
      <c r="O63" s="46" t="n"/>
      <c r="P63" s="44" t="n"/>
      <c r="Q63" s="44" t="n"/>
      <c r="R63" s="46" t="n"/>
      <c r="S63" s="47">
        <f>IF(A63="","",IF(F63="Emergency","Emergency",IF(AND(I63&lt;&gt;"",J63&lt;&gt;"",L63="Disetujui"),"OK","CEK")))</f>
        <v/>
      </c>
      <c r="T63" s="47">
        <f>IF(A63="","",IF(OR(F63="Major",Q63="Rollback"),"Ya","Tidak"))</f>
        <v/>
      </c>
      <c r="U63" s="44" t="n"/>
    </row>
    <row r="64" ht="15" customHeight="1" s="28">
      <c r="A64" s="44" t="n"/>
      <c r="B64" s="45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5" t="n"/>
      <c r="N64" s="44" t="n"/>
      <c r="O64" s="46" t="n"/>
      <c r="P64" s="44" t="n"/>
      <c r="Q64" s="44" t="n"/>
      <c r="R64" s="46" t="n"/>
      <c r="S64" s="47">
        <f>IF(A64="","",IF(F64="Emergency","Emergency",IF(AND(I64&lt;&gt;"",J64&lt;&gt;"",L64="Disetujui"),"OK","CEK")))</f>
        <v/>
      </c>
      <c r="T64" s="47">
        <f>IF(A64="","",IF(OR(F64="Major",Q64="Rollback"),"Ya","Tidak"))</f>
        <v/>
      </c>
      <c r="U64" s="44" t="n"/>
    </row>
    <row r="65" ht="15" customHeight="1" s="28">
      <c r="A65" s="44" t="n"/>
      <c r="B65" s="45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5" t="n"/>
      <c r="N65" s="44" t="n"/>
      <c r="O65" s="46" t="n"/>
      <c r="P65" s="44" t="n"/>
      <c r="Q65" s="44" t="n"/>
      <c r="R65" s="46" t="n"/>
      <c r="S65" s="47">
        <f>IF(A65="","",IF(F65="Emergency","Emergency",IF(AND(I65&lt;&gt;"",J65&lt;&gt;"",L65="Disetujui"),"OK","CEK")))</f>
        <v/>
      </c>
      <c r="T65" s="47">
        <f>IF(A65="","",IF(OR(F65="Major",Q65="Rollback"),"Ya","Tidak"))</f>
        <v/>
      </c>
      <c r="U65" s="44" t="n"/>
    </row>
    <row r="66" ht="15" customHeight="1" s="28">
      <c r="A66" s="44" t="n"/>
      <c r="B66" s="45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5" t="n"/>
      <c r="N66" s="44" t="n"/>
      <c r="O66" s="46" t="n"/>
      <c r="P66" s="44" t="n"/>
      <c r="Q66" s="44" t="n"/>
      <c r="R66" s="46" t="n"/>
      <c r="S66" s="47">
        <f>IF(A66="","",IF(F66="Emergency","Emergency",IF(AND(I66&lt;&gt;"",J66&lt;&gt;"",L66="Disetujui"),"OK","CEK")))</f>
        <v/>
      </c>
      <c r="T66" s="47">
        <f>IF(A66="","",IF(OR(F66="Major",Q66="Rollback"),"Ya","Tidak"))</f>
        <v/>
      </c>
      <c r="U66" s="44" t="n"/>
    </row>
    <row r="67" ht="15" customHeight="1" s="28">
      <c r="A67" s="44" t="n"/>
      <c r="B67" s="45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5" t="n"/>
      <c r="N67" s="44" t="n"/>
      <c r="O67" s="46" t="n"/>
      <c r="P67" s="44" t="n"/>
      <c r="Q67" s="44" t="n"/>
      <c r="R67" s="46" t="n"/>
      <c r="S67" s="47">
        <f>IF(A67="","",IF(F67="Emergency","Emergency",IF(AND(I67&lt;&gt;"",J67&lt;&gt;"",L67="Disetujui"),"OK","CEK")))</f>
        <v/>
      </c>
      <c r="T67" s="47">
        <f>IF(A67="","",IF(OR(F67="Major",Q67="Rollback"),"Ya","Tidak"))</f>
        <v/>
      </c>
      <c r="U67" s="44" t="n"/>
    </row>
    <row r="68" ht="15" customHeight="1" s="28">
      <c r="A68" s="44" t="n"/>
      <c r="B68" s="45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5" t="n"/>
      <c r="N68" s="44" t="n"/>
      <c r="O68" s="46" t="n"/>
      <c r="P68" s="44" t="n"/>
      <c r="Q68" s="44" t="n"/>
      <c r="R68" s="46" t="n"/>
      <c r="S68" s="47">
        <f>IF(A68="","",IF(F68="Emergency","Emergency",IF(AND(I68&lt;&gt;"",J68&lt;&gt;"",L68="Disetujui"),"OK","CEK")))</f>
        <v/>
      </c>
      <c r="T68" s="47">
        <f>IF(A68="","",IF(OR(F68="Major",Q68="Rollback"),"Ya","Tidak"))</f>
        <v/>
      </c>
      <c r="U68" s="44" t="n"/>
    </row>
    <row r="69" ht="15" customHeight="1" s="28">
      <c r="A69" s="44" t="n"/>
      <c r="B69" s="45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5" t="n"/>
      <c r="N69" s="44" t="n"/>
      <c r="O69" s="46" t="n"/>
      <c r="P69" s="44" t="n"/>
      <c r="Q69" s="44" t="n"/>
      <c r="R69" s="46" t="n"/>
      <c r="S69" s="47">
        <f>IF(A69="","",IF(F69="Emergency","Emergency",IF(AND(I69&lt;&gt;"",J69&lt;&gt;"",L69="Disetujui"),"OK","CEK")))</f>
        <v/>
      </c>
      <c r="T69" s="47">
        <f>IF(A69="","",IF(OR(F69="Major",Q69="Rollback"),"Ya","Tidak"))</f>
        <v/>
      </c>
      <c r="U69" s="44" t="n"/>
    </row>
    <row r="70" ht="15" customHeight="1" s="28">
      <c r="A70" s="44" t="n"/>
      <c r="B70" s="45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5" t="n"/>
      <c r="N70" s="44" t="n"/>
      <c r="O70" s="46" t="n"/>
      <c r="P70" s="44" t="n"/>
      <c r="Q70" s="44" t="n"/>
      <c r="R70" s="46" t="n"/>
      <c r="S70" s="47">
        <f>IF(A70="","",IF(F70="Emergency","Emergency",IF(AND(I70&lt;&gt;"",J70&lt;&gt;"",L70="Disetujui"),"OK","CEK")))</f>
        <v/>
      </c>
      <c r="T70" s="47">
        <f>IF(A70="","",IF(OR(F70="Major",Q70="Rollback"),"Ya","Tidak"))</f>
        <v/>
      </c>
      <c r="U70" s="44" t="n"/>
    </row>
    <row r="71" ht="15" customHeight="1" s="28">
      <c r="A71" s="44" t="n"/>
      <c r="B71" s="45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5" t="n"/>
      <c r="N71" s="44" t="n"/>
      <c r="O71" s="46" t="n"/>
      <c r="P71" s="44" t="n"/>
      <c r="Q71" s="44" t="n"/>
      <c r="R71" s="46" t="n"/>
      <c r="S71" s="47">
        <f>IF(A71="","",IF(F71="Emergency","Emergency",IF(AND(I71&lt;&gt;"",J71&lt;&gt;"",L71="Disetujui"),"OK","CEK")))</f>
        <v/>
      </c>
      <c r="T71" s="47">
        <f>IF(A71="","",IF(OR(F71="Major",Q71="Rollback"),"Ya","Tidak"))</f>
        <v/>
      </c>
      <c r="U71" s="44" t="n"/>
    </row>
    <row r="72" ht="15" customHeight="1" s="28">
      <c r="A72" s="44" t="n"/>
      <c r="B72" s="45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5" t="n"/>
      <c r="N72" s="44" t="n"/>
      <c r="O72" s="46" t="n"/>
      <c r="P72" s="44" t="n"/>
      <c r="Q72" s="44" t="n"/>
      <c r="R72" s="46" t="n"/>
      <c r="S72" s="47">
        <f>IF(A72="","",IF(F72="Emergency","Emergency",IF(AND(I72&lt;&gt;"",J72&lt;&gt;"",L72="Disetujui"),"OK","CEK")))</f>
        <v/>
      </c>
      <c r="T72" s="47">
        <f>IF(A72="","",IF(OR(F72="Major",Q72="Rollback"),"Ya","Tidak"))</f>
        <v/>
      </c>
      <c r="U72" s="44" t="n"/>
    </row>
    <row r="73" ht="15" customHeight="1" s="28">
      <c r="A73" s="44" t="n"/>
      <c r="B73" s="45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5" t="n"/>
      <c r="N73" s="44" t="n"/>
      <c r="O73" s="46" t="n"/>
      <c r="P73" s="44" t="n"/>
      <c r="Q73" s="44" t="n"/>
      <c r="R73" s="46" t="n"/>
      <c r="S73" s="47">
        <f>IF(A73="","",IF(F73="Emergency","Emergency",IF(AND(I73&lt;&gt;"",J73&lt;&gt;"",L73="Disetujui"),"OK","CEK")))</f>
        <v/>
      </c>
      <c r="T73" s="47">
        <f>IF(A73="","",IF(OR(F73="Major",Q73="Rollback"),"Ya","Tidak"))</f>
        <v/>
      </c>
      <c r="U73" s="44" t="n"/>
    </row>
    <row r="74" ht="15" customHeight="1" s="28">
      <c r="A74" s="44" t="n"/>
      <c r="B74" s="45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5" t="n"/>
      <c r="N74" s="44" t="n"/>
      <c r="O74" s="46" t="n"/>
      <c r="P74" s="44" t="n"/>
      <c r="Q74" s="44" t="n"/>
      <c r="R74" s="46" t="n"/>
      <c r="S74" s="47">
        <f>IF(A74="","",IF(F74="Emergency","Emergency",IF(AND(I74&lt;&gt;"",J74&lt;&gt;"",L74="Disetujui"),"OK","CEK")))</f>
        <v/>
      </c>
      <c r="T74" s="47">
        <f>IF(A74="","",IF(OR(F74="Major",Q74="Rollback"),"Ya","Tidak"))</f>
        <v/>
      </c>
      <c r="U74" s="44" t="n"/>
    </row>
    <row r="75" ht="15" customHeight="1" s="28">
      <c r="A75" s="44" t="n"/>
      <c r="B75" s="45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5" t="n"/>
      <c r="N75" s="44" t="n"/>
      <c r="O75" s="46" t="n"/>
      <c r="P75" s="44" t="n"/>
      <c r="Q75" s="44" t="n"/>
      <c r="R75" s="46" t="n"/>
      <c r="S75" s="47">
        <f>IF(A75="","",IF(F75="Emergency","Emergency",IF(AND(I75&lt;&gt;"",J75&lt;&gt;"",L75="Disetujui"),"OK","CEK")))</f>
        <v/>
      </c>
      <c r="T75" s="47">
        <f>IF(A75="","",IF(OR(F75="Major",Q75="Rollback"),"Ya","Tidak"))</f>
        <v/>
      </c>
      <c r="U75" s="44" t="n"/>
    </row>
    <row r="76" ht="15" customHeight="1" s="28">
      <c r="A76" s="44" t="n"/>
      <c r="B76" s="45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5" t="n"/>
      <c r="N76" s="44" t="n"/>
      <c r="O76" s="46" t="n"/>
      <c r="P76" s="44" t="n"/>
      <c r="Q76" s="44" t="n"/>
      <c r="R76" s="46" t="n"/>
      <c r="S76" s="47">
        <f>IF(A76="","",IF(F76="Emergency","Emergency",IF(AND(I76&lt;&gt;"",J76&lt;&gt;"",L76="Disetujui"),"OK","CEK")))</f>
        <v/>
      </c>
      <c r="T76" s="47">
        <f>IF(A76="","",IF(OR(F76="Major",Q76="Rollback"),"Ya","Tidak"))</f>
        <v/>
      </c>
      <c r="U76" s="44" t="n"/>
    </row>
    <row r="77" ht="15" customHeight="1" s="28">
      <c r="A77" s="44" t="n"/>
      <c r="B77" s="45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5" t="n"/>
      <c r="N77" s="44" t="n"/>
      <c r="O77" s="46" t="n"/>
      <c r="P77" s="44" t="n"/>
      <c r="Q77" s="44" t="n"/>
      <c r="R77" s="46" t="n"/>
      <c r="S77" s="47">
        <f>IF(A77="","",IF(F77="Emergency","Emergency",IF(AND(I77&lt;&gt;"",J77&lt;&gt;"",L77="Disetujui"),"OK","CEK")))</f>
        <v/>
      </c>
      <c r="T77" s="47">
        <f>IF(A77="","",IF(OR(F77="Major",Q77="Rollback"),"Ya","Tidak"))</f>
        <v/>
      </c>
      <c r="U77" s="44" t="n"/>
    </row>
    <row r="78" ht="15" customHeight="1" s="28">
      <c r="A78" s="44" t="n"/>
      <c r="B78" s="45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5" t="n"/>
      <c r="N78" s="44" t="n"/>
      <c r="O78" s="46" t="n"/>
      <c r="P78" s="44" t="n"/>
      <c r="Q78" s="44" t="n"/>
      <c r="R78" s="46" t="n"/>
      <c r="S78" s="47">
        <f>IF(A78="","",IF(F78="Emergency","Emergency",IF(AND(I78&lt;&gt;"",J78&lt;&gt;"",L78="Disetujui"),"OK","CEK")))</f>
        <v/>
      </c>
      <c r="T78" s="47">
        <f>IF(A78="","",IF(OR(F78="Major",Q78="Rollback"),"Ya","Tidak"))</f>
        <v/>
      </c>
      <c r="U78" s="44" t="n"/>
    </row>
    <row r="79" ht="15" customHeight="1" s="28">
      <c r="A79" s="44" t="n"/>
      <c r="B79" s="45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5" t="n"/>
      <c r="N79" s="44" t="n"/>
      <c r="O79" s="46" t="n"/>
      <c r="P79" s="44" t="n"/>
      <c r="Q79" s="44" t="n"/>
      <c r="R79" s="46" t="n"/>
      <c r="S79" s="47">
        <f>IF(A79="","",IF(F79="Emergency","Emergency",IF(AND(I79&lt;&gt;"",J79&lt;&gt;"",L79="Disetujui"),"OK","CEK")))</f>
        <v/>
      </c>
      <c r="T79" s="47">
        <f>IF(A79="","",IF(OR(F79="Major",Q79="Rollback"),"Ya","Tidak"))</f>
        <v/>
      </c>
      <c r="U79" s="44" t="n"/>
    </row>
    <row r="80" ht="15" customHeight="1" s="28">
      <c r="A80" s="44" t="n"/>
      <c r="B80" s="45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5" t="n"/>
      <c r="N80" s="44" t="n"/>
      <c r="O80" s="46" t="n"/>
      <c r="P80" s="44" t="n"/>
      <c r="Q80" s="44" t="n"/>
      <c r="R80" s="46" t="n"/>
      <c r="S80" s="47">
        <f>IF(A80="","",IF(F80="Emergency","Emergency",IF(AND(I80&lt;&gt;"",J80&lt;&gt;"",L80="Disetujui"),"OK","CEK")))</f>
        <v/>
      </c>
      <c r="T80" s="47">
        <f>IF(A80="","",IF(OR(F80="Major",Q80="Rollback"),"Ya","Tidak"))</f>
        <v/>
      </c>
      <c r="U80" s="44" t="n"/>
    </row>
    <row r="81" ht="15" customHeight="1" s="28">
      <c r="A81" s="44" t="n"/>
      <c r="B81" s="45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5" t="n"/>
      <c r="N81" s="44" t="n"/>
      <c r="O81" s="46" t="n"/>
      <c r="P81" s="44" t="n"/>
      <c r="Q81" s="44" t="n"/>
      <c r="R81" s="46" t="n"/>
      <c r="S81" s="47">
        <f>IF(A81="","",IF(F81="Emergency","Emergency",IF(AND(I81&lt;&gt;"",J81&lt;&gt;"",L81="Disetujui"),"OK","CEK")))</f>
        <v/>
      </c>
      <c r="T81" s="47">
        <f>IF(A81="","",IF(OR(F81="Major",Q81="Rollback"),"Ya","Tidak"))</f>
        <v/>
      </c>
      <c r="U81" s="44" t="n"/>
    </row>
    <row r="82" ht="15" customHeight="1" s="28">
      <c r="A82" s="44" t="n"/>
      <c r="B82" s="45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5" t="n"/>
      <c r="N82" s="44" t="n"/>
      <c r="O82" s="46" t="n"/>
      <c r="P82" s="44" t="n"/>
      <c r="Q82" s="44" t="n"/>
      <c r="R82" s="46" t="n"/>
      <c r="S82" s="47">
        <f>IF(A82="","",IF(F82="Emergency","Emergency",IF(AND(I82&lt;&gt;"",J82&lt;&gt;"",L82="Disetujui"),"OK","CEK")))</f>
        <v/>
      </c>
      <c r="T82" s="47">
        <f>IF(A82="","",IF(OR(F82="Major",Q82="Rollback"),"Ya","Tidak"))</f>
        <v/>
      </c>
      <c r="U82" s="44" t="n"/>
    </row>
    <row r="83" ht="15" customHeight="1" s="28">
      <c r="A83" s="44" t="n"/>
      <c r="B83" s="45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5" t="n"/>
      <c r="N83" s="44" t="n"/>
      <c r="O83" s="46" t="n"/>
      <c r="P83" s="44" t="n"/>
      <c r="Q83" s="44" t="n"/>
      <c r="R83" s="46" t="n"/>
      <c r="S83" s="47">
        <f>IF(A83="","",IF(F83="Emergency","Emergency",IF(AND(I83&lt;&gt;"",J83&lt;&gt;"",L83="Disetujui"),"OK","CEK")))</f>
        <v/>
      </c>
      <c r="T83" s="47">
        <f>IF(A83="","",IF(OR(F83="Major",Q83="Rollback"),"Ya","Tidak"))</f>
        <v/>
      </c>
      <c r="U83" s="44" t="n"/>
    </row>
    <row r="84" ht="15" customHeight="1" s="28">
      <c r="A84" s="44" t="n"/>
      <c r="B84" s="45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5" t="n"/>
      <c r="N84" s="44" t="n"/>
      <c r="O84" s="46" t="n"/>
      <c r="P84" s="44" t="n"/>
      <c r="Q84" s="44" t="n"/>
      <c r="R84" s="46" t="n"/>
      <c r="S84" s="47">
        <f>IF(A84="","",IF(F84="Emergency","Emergency",IF(AND(I84&lt;&gt;"",J84&lt;&gt;"",L84="Disetujui"),"OK","CEK")))</f>
        <v/>
      </c>
      <c r="T84" s="47">
        <f>IF(A84="","",IF(OR(F84="Major",Q84="Rollback"),"Ya","Tidak"))</f>
        <v/>
      </c>
      <c r="U84" s="44" t="n"/>
    </row>
    <row r="85" ht="15" customHeight="1" s="28">
      <c r="A85" s="44" t="n"/>
      <c r="B85" s="45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5" t="n"/>
      <c r="N85" s="44" t="n"/>
      <c r="O85" s="46" t="n"/>
      <c r="P85" s="44" t="n"/>
      <c r="Q85" s="44" t="n"/>
      <c r="R85" s="46" t="n"/>
      <c r="S85" s="47">
        <f>IF(A85="","",IF(F85="Emergency","Emergency",IF(AND(I85&lt;&gt;"",J85&lt;&gt;"",L85="Disetujui"),"OK","CEK")))</f>
        <v/>
      </c>
      <c r="T85" s="47">
        <f>IF(A85="","",IF(OR(F85="Major",Q85="Rollback"),"Ya","Tidak"))</f>
        <v/>
      </c>
      <c r="U85" s="44" t="n"/>
    </row>
    <row r="86" ht="15" customHeight="1" s="28">
      <c r="A86" s="44" t="n"/>
      <c r="B86" s="45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5" t="n"/>
      <c r="N86" s="44" t="n"/>
      <c r="O86" s="46" t="n"/>
      <c r="P86" s="44" t="n"/>
      <c r="Q86" s="44" t="n"/>
      <c r="R86" s="46" t="n"/>
      <c r="S86" s="47">
        <f>IF(A86="","",IF(F86="Emergency","Emergency",IF(AND(I86&lt;&gt;"",J86&lt;&gt;"",L86="Disetujui"),"OK","CEK")))</f>
        <v/>
      </c>
      <c r="T86" s="47">
        <f>IF(A86="","",IF(OR(F86="Major",Q86="Rollback"),"Ya","Tidak"))</f>
        <v/>
      </c>
      <c r="U86" s="44" t="n"/>
    </row>
    <row r="87" ht="15" customHeight="1" s="28">
      <c r="A87" s="44" t="n"/>
      <c r="B87" s="45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5" t="n"/>
      <c r="N87" s="44" t="n"/>
      <c r="O87" s="46" t="n"/>
      <c r="P87" s="44" t="n"/>
      <c r="Q87" s="44" t="n"/>
      <c r="R87" s="46" t="n"/>
      <c r="S87" s="47">
        <f>IF(A87="","",IF(F87="Emergency","Emergency",IF(AND(I87&lt;&gt;"",J87&lt;&gt;"",L87="Disetujui"),"OK","CEK")))</f>
        <v/>
      </c>
      <c r="T87" s="47">
        <f>IF(A87="","",IF(OR(F87="Major",Q87="Rollback"),"Ya","Tidak"))</f>
        <v/>
      </c>
      <c r="U87" s="44" t="n"/>
    </row>
    <row r="88" ht="15" customHeight="1" s="28">
      <c r="A88" s="44" t="n"/>
      <c r="B88" s="45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5" t="n"/>
      <c r="N88" s="44" t="n"/>
      <c r="O88" s="46" t="n"/>
      <c r="P88" s="44" t="n"/>
      <c r="Q88" s="44" t="n"/>
      <c r="R88" s="46" t="n"/>
      <c r="S88" s="47">
        <f>IF(A88="","",IF(F88="Emergency","Emergency",IF(AND(I88&lt;&gt;"",J88&lt;&gt;"",L88="Disetujui"),"OK","CEK")))</f>
        <v/>
      </c>
      <c r="T88" s="47">
        <f>IF(A88="","",IF(OR(F88="Major",Q88="Rollback"),"Ya","Tidak"))</f>
        <v/>
      </c>
      <c r="U88" s="44" t="n"/>
    </row>
    <row r="89" ht="15" customHeight="1" s="28">
      <c r="A89" s="44" t="n"/>
      <c r="B89" s="45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5" t="n"/>
      <c r="N89" s="44" t="n"/>
      <c r="O89" s="46" t="n"/>
      <c r="P89" s="44" t="n"/>
      <c r="Q89" s="44" t="n"/>
      <c r="R89" s="46" t="n"/>
      <c r="S89" s="47">
        <f>IF(A89="","",IF(F89="Emergency","Emergency",IF(AND(I89&lt;&gt;"",J89&lt;&gt;"",L89="Disetujui"),"OK","CEK")))</f>
        <v/>
      </c>
      <c r="T89" s="47">
        <f>IF(A89="","",IF(OR(F89="Major",Q89="Rollback"),"Ya","Tidak"))</f>
        <v/>
      </c>
      <c r="U89" s="44" t="n"/>
    </row>
    <row r="90" ht="15" customHeight="1" s="28">
      <c r="A90" s="44" t="n"/>
      <c r="B90" s="45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5" t="n"/>
      <c r="N90" s="44" t="n"/>
      <c r="O90" s="46" t="n"/>
      <c r="P90" s="44" t="n"/>
      <c r="Q90" s="44" t="n"/>
      <c r="R90" s="46" t="n"/>
      <c r="S90" s="47">
        <f>IF(A90="","",IF(F90="Emergency","Emergency",IF(AND(I90&lt;&gt;"",J90&lt;&gt;"",L90="Disetujui"),"OK","CEK")))</f>
        <v/>
      </c>
      <c r="T90" s="47">
        <f>IF(A90="","",IF(OR(F90="Major",Q90="Rollback"),"Ya","Tidak"))</f>
        <v/>
      </c>
      <c r="U90" s="44" t="n"/>
    </row>
    <row r="91" ht="15" customHeight="1" s="28">
      <c r="A91" s="44" t="n"/>
      <c r="B91" s="45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5" t="n"/>
      <c r="N91" s="44" t="n"/>
      <c r="O91" s="46" t="n"/>
      <c r="P91" s="44" t="n"/>
      <c r="Q91" s="44" t="n"/>
      <c r="R91" s="46" t="n"/>
      <c r="S91" s="47">
        <f>IF(A91="","",IF(F91="Emergency","Emergency",IF(AND(I91&lt;&gt;"",J91&lt;&gt;"",L91="Disetujui"),"OK","CEK")))</f>
        <v/>
      </c>
      <c r="T91" s="47">
        <f>IF(A91="","",IF(OR(F91="Major",Q91="Rollback"),"Ya","Tidak"))</f>
        <v/>
      </c>
      <c r="U91" s="44" t="n"/>
    </row>
    <row r="92" ht="15" customHeight="1" s="28">
      <c r="A92" s="44" t="n"/>
      <c r="B92" s="45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5" t="n"/>
      <c r="N92" s="44" t="n"/>
      <c r="O92" s="46" t="n"/>
      <c r="P92" s="44" t="n"/>
      <c r="Q92" s="44" t="n"/>
      <c r="R92" s="46" t="n"/>
      <c r="S92" s="47">
        <f>IF(A92="","",IF(F92="Emergency","Emergency",IF(AND(I92&lt;&gt;"",J92&lt;&gt;"",L92="Disetujui"),"OK","CEK")))</f>
        <v/>
      </c>
      <c r="T92" s="47">
        <f>IF(A92="","",IF(OR(F92="Major",Q92="Rollback"),"Ya","Tidak"))</f>
        <v/>
      </c>
      <c r="U92" s="44" t="n"/>
    </row>
    <row r="93" ht="15" customHeight="1" s="28">
      <c r="A93" s="44" t="n"/>
      <c r="B93" s="45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5" t="n"/>
      <c r="N93" s="44" t="n"/>
      <c r="O93" s="46" t="n"/>
      <c r="P93" s="44" t="n"/>
      <c r="Q93" s="44" t="n"/>
      <c r="R93" s="46" t="n"/>
      <c r="S93" s="47">
        <f>IF(A93="","",IF(F93="Emergency","Emergency",IF(AND(I93&lt;&gt;"",J93&lt;&gt;"",L93="Disetujui"),"OK","CEK")))</f>
        <v/>
      </c>
      <c r="T93" s="47">
        <f>IF(A93="","",IF(OR(F93="Major",Q93="Rollback"),"Ya","Tidak"))</f>
        <v/>
      </c>
      <c r="U93" s="44" t="n"/>
    </row>
    <row r="94" ht="15" customHeight="1" s="28">
      <c r="A94" s="44" t="n"/>
      <c r="B94" s="45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5" t="n"/>
      <c r="N94" s="44" t="n"/>
      <c r="O94" s="46" t="n"/>
      <c r="P94" s="44" t="n"/>
      <c r="Q94" s="44" t="n"/>
      <c r="R94" s="46" t="n"/>
      <c r="S94" s="47">
        <f>IF(A94="","",IF(F94="Emergency","Emergency",IF(AND(I94&lt;&gt;"",J94&lt;&gt;"",L94="Disetujui"),"OK","CEK")))</f>
        <v/>
      </c>
      <c r="T94" s="47">
        <f>IF(A94="","",IF(OR(F94="Major",Q94="Rollback"),"Ya","Tidak"))</f>
        <v/>
      </c>
      <c r="U94" s="44" t="n"/>
    </row>
    <row r="95" ht="15" customHeight="1" s="28">
      <c r="A95" s="44" t="n"/>
      <c r="B95" s="45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5" t="n"/>
      <c r="N95" s="44" t="n"/>
      <c r="O95" s="46" t="n"/>
      <c r="P95" s="44" t="n"/>
      <c r="Q95" s="44" t="n"/>
      <c r="R95" s="46" t="n"/>
      <c r="S95" s="47">
        <f>IF(A95="","",IF(F95="Emergency","Emergency",IF(AND(I95&lt;&gt;"",J95&lt;&gt;"",L95="Disetujui"),"OK","CEK")))</f>
        <v/>
      </c>
      <c r="T95" s="47">
        <f>IF(A95="","",IF(OR(F95="Major",Q95="Rollback"),"Ya","Tidak"))</f>
        <v/>
      </c>
      <c r="U95" s="44" t="n"/>
    </row>
    <row r="96" ht="15" customHeight="1" s="28">
      <c r="A96" s="44" t="n"/>
      <c r="B96" s="45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5" t="n"/>
      <c r="N96" s="44" t="n"/>
      <c r="O96" s="46" t="n"/>
      <c r="P96" s="44" t="n"/>
      <c r="Q96" s="44" t="n"/>
      <c r="R96" s="46" t="n"/>
      <c r="S96" s="47">
        <f>IF(A96="","",IF(F96="Emergency","Emergency",IF(AND(I96&lt;&gt;"",J96&lt;&gt;"",L96="Disetujui"),"OK","CEK")))</f>
        <v/>
      </c>
      <c r="T96" s="47">
        <f>IF(A96="","",IF(OR(F96="Major",Q96="Rollback"),"Ya","Tidak"))</f>
        <v/>
      </c>
      <c r="U96" s="44" t="n"/>
    </row>
    <row r="97" ht="15" customHeight="1" s="28">
      <c r="A97" s="44" t="n"/>
      <c r="B97" s="45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5" t="n"/>
      <c r="N97" s="44" t="n"/>
      <c r="O97" s="46" t="n"/>
      <c r="P97" s="44" t="n"/>
      <c r="Q97" s="44" t="n"/>
      <c r="R97" s="46" t="n"/>
      <c r="S97" s="47">
        <f>IF(A97="","",IF(F97="Emergency","Emergency",IF(AND(I97&lt;&gt;"",J97&lt;&gt;"",L97="Disetujui"),"OK","CEK")))</f>
        <v/>
      </c>
      <c r="T97" s="47">
        <f>IF(A97="","",IF(OR(F97="Major",Q97="Rollback"),"Ya","Tidak"))</f>
        <v/>
      </c>
      <c r="U97" s="44" t="n"/>
    </row>
    <row r="98" ht="15" customHeight="1" s="28">
      <c r="A98" s="44" t="n"/>
      <c r="B98" s="45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5" t="n"/>
      <c r="N98" s="44" t="n"/>
      <c r="O98" s="46" t="n"/>
      <c r="P98" s="44" t="n"/>
      <c r="Q98" s="44" t="n"/>
      <c r="R98" s="46" t="n"/>
      <c r="S98" s="47">
        <f>IF(A98="","",IF(F98="Emergency","Emergency",IF(AND(I98&lt;&gt;"",J98&lt;&gt;"",L98="Disetujui"),"OK","CEK")))</f>
        <v/>
      </c>
      <c r="T98" s="47">
        <f>IF(A98="","",IF(OR(F98="Major",Q98="Rollback"),"Ya","Tidak"))</f>
        <v/>
      </c>
      <c r="U98" s="44" t="n"/>
    </row>
    <row r="99" ht="15" customHeight="1" s="28">
      <c r="A99" s="44" t="n"/>
      <c r="B99" s="45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5" t="n"/>
      <c r="N99" s="44" t="n"/>
      <c r="O99" s="46" t="n"/>
      <c r="P99" s="44" t="n"/>
      <c r="Q99" s="44" t="n"/>
      <c r="R99" s="46" t="n"/>
      <c r="S99" s="47">
        <f>IF(A99="","",IF(F99="Emergency","Emergency",IF(AND(I99&lt;&gt;"",J99&lt;&gt;"",L99="Disetujui"),"OK","CEK")))</f>
        <v/>
      </c>
      <c r="T99" s="47">
        <f>IF(A99="","",IF(OR(F99="Major",Q99="Rollback"),"Ya","Tidak"))</f>
        <v/>
      </c>
      <c r="U99" s="44" t="n"/>
    </row>
    <row r="100" ht="15" customHeight="1" s="28">
      <c r="A100" s="44" t="n"/>
      <c r="B100" s="45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5" t="n"/>
      <c r="N100" s="44" t="n"/>
      <c r="O100" s="46" t="n"/>
      <c r="P100" s="44" t="n"/>
      <c r="Q100" s="44" t="n"/>
      <c r="R100" s="46" t="n"/>
      <c r="S100" s="47">
        <f>IF(A100="","",IF(F100="Emergency","Emergency",IF(AND(I100&lt;&gt;"",J100&lt;&gt;"",L100="Disetujui"),"OK","CEK")))</f>
        <v/>
      </c>
      <c r="T100" s="47">
        <f>IF(A100="","",IF(OR(F100="Major",Q100="Rollback"),"Ya","Tidak"))</f>
        <v/>
      </c>
      <c r="U100" s="44" t="n"/>
    </row>
    <row r="101" ht="15" customHeight="1" s="28">
      <c r="A101" s="44" t="n"/>
      <c r="B101" s="45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5" t="n"/>
      <c r="N101" s="44" t="n"/>
      <c r="O101" s="46" t="n"/>
      <c r="P101" s="44" t="n"/>
      <c r="Q101" s="44" t="n"/>
      <c r="R101" s="46" t="n"/>
      <c r="S101" s="47">
        <f>IF(A101="","",IF(F101="Emergency","Emergency",IF(AND(I101&lt;&gt;"",J101&lt;&gt;"",L101="Disetujui"),"OK","CEK")))</f>
        <v/>
      </c>
      <c r="T101" s="47">
        <f>IF(A101="","",IF(OR(F101="Major",Q101="Rollback"),"Ya","Tidak"))</f>
        <v/>
      </c>
      <c r="U101" s="44" t="n"/>
    </row>
    <row r="102" ht="15" customHeight="1" s="28">
      <c r="A102" s="44" t="n"/>
      <c r="B102" s="45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5" t="n"/>
      <c r="N102" s="44" t="n"/>
      <c r="O102" s="46" t="n"/>
      <c r="P102" s="44" t="n"/>
      <c r="Q102" s="44" t="n"/>
      <c r="R102" s="46" t="n"/>
      <c r="S102" s="47">
        <f>IF(A102="","",IF(F102="Emergency","Emergency",IF(AND(I102&lt;&gt;"",J102&lt;&gt;"",L102="Disetujui"),"OK","CEK")))</f>
        <v/>
      </c>
      <c r="T102" s="47">
        <f>IF(A102="","",IF(OR(F102="Major",Q102="Rollback"),"Ya","Tidak"))</f>
        <v/>
      </c>
      <c r="U102" s="44" t="n"/>
    </row>
    <row r="103" ht="15" customHeight="1" s="28">
      <c r="A103" s="44" t="n"/>
      <c r="B103" s="45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5" t="n"/>
      <c r="N103" s="44" t="n"/>
      <c r="O103" s="46" t="n"/>
      <c r="P103" s="44" t="n"/>
      <c r="Q103" s="44" t="n"/>
      <c r="R103" s="46" t="n"/>
      <c r="S103" s="47">
        <f>IF(A103="","",IF(F103="Emergency","Emergency",IF(AND(I103&lt;&gt;"",J103&lt;&gt;"",L103="Disetujui"),"OK","CEK")))</f>
        <v/>
      </c>
      <c r="T103" s="47">
        <f>IF(A103="","",IF(OR(F103="Major",Q103="Rollback"),"Ya","Tidak"))</f>
        <v/>
      </c>
      <c r="U103" s="44" t="n"/>
    </row>
    <row r="104" ht="15" customHeight="1" s="28">
      <c r="A104" s="44" t="n"/>
      <c r="B104" s="45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5" t="n"/>
      <c r="N104" s="44" t="n"/>
      <c r="O104" s="46" t="n"/>
      <c r="P104" s="44" t="n"/>
      <c r="Q104" s="44" t="n"/>
      <c r="R104" s="46" t="n"/>
      <c r="S104" s="47">
        <f>IF(A104="","",IF(F104="Emergency","Emergency",IF(AND(I104&lt;&gt;"",J104&lt;&gt;"",L104="Disetujui"),"OK","CEK")))</f>
        <v/>
      </c>
      <c r="T104" s="47">
        <f>IF(A104="","",IF(OR(F104="Major",Q104="Rollback"),"Ya","Tidak"))</f>
        <v/>
      </c>
      <c r="U104" s="44" t="n"/>
    </row>
    <row r="105" ht="15" customHeight="1" s="28">
      <c r="A105" s="44" t="n"/>
      <c r="B105" s="45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5" t="n"/>
      <c r="N105" s="44" t="n"/>
      <c r="O105" s="46" t="n"/>
      <c r="P105" s="44" t="n"/>
      <c r="Q105" s="44" t="n"/>
      <c r="R105" s="46" t="n"/>
      <c r="S105" s="47">
        <f>IF(A105="","",IF(F105="Emergency","Emergency",IF(AND(I105&lt;&gt;"",J105&lt;&gt;"",L105="Disetujui"),"OK","CEK")))</f>
        <v/>
      </c>
      <c r="T105" s="47">
        <f>IF(A105="","",IF(OR(F105="Major",Q105="Rollback"),"Ya","Tidak"))</f>
        <v/>
      </c>
      <c r="U105" s="44" t="n"/>
    </row>
    <row r="106" ht="15" customHeight="1" s="28">
      <c r="A106" s="44" t="n"/>
      <c r="B106" s="45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5" t="n"/>
      <c r="N106" s="44" t="n"/>
      <c r="O106" s="46" t="n"/>
      <c r="P106" s="44" t="n"/>
      <c r="Q106" s="44" t="n"/>
      <c r="R106" s="46" t="n"/>
      <c r="S106" s="47">
        <f>IF(A106="","",IF(F106="Emergency","Emergency",IF(AND(I106&lt;&gt;"",J106&lt;&gt;"",L106="Disetujui"),"OK","CEK")))</f>
        <v/>
      </c>
      <c r="T106" s="47">
        <f>IF(A106="","",IF(OR(F106="Major",Q106="Rollback"),"Ya","Tidak"))</f>
        <v/>
      </c>
      <c r="U106" s="44" t="n"/>
    </row>
    <row r="107" ht="15" customHeight="1" s="28">
      <c r="A107" s="44" t="n"/>
      <c r="B107" s="45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5" t="n"/>
      <c r="N107" s="44" t="n"/>
      <c r="O107" s="46" t="n"/>
      <c r="P107" s="44" t="n"/>
      <c r="Q107" s="44" t="n"/>
      <c r="R107" s="46" t="n"/>
      <c r="S107" s="47">
        <f>IF(A107="","",IF(F107="Emergency","Emergency",IF(AND(I107&lt;&gt;"",J107&lt;&gt;"",L107="Disetujui"),"OK","CEK")))</f>
        <v/>
      </c>
      <c r="T107" s="47">
        <f>IF(A107="","",IF(OR(F107="Major",Q107="Rollback"),"Ya","Tidak"))</f>
        <v/>
      </c>
      <c r="U107" s="44" t="n"/>
    </row>
    <row r="108" ht="15" customHeight="1" s="28">
      <c r="A108" s="44" t="n"/>
      <c r="B108" s="45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5" t="n"/>
      <c r="N108" s="44" t="n"/>
      <c r="O108" s="46" t="n"/>
      <c r="P108" s="44" t="n"/>
      <c r="Q108" s="44" t="n"/>
      <c r="R108" s="46" t="n"/>
      <c r="S108" s="47">
        <f>IF(A108="","",IF(F108="Emergency","Emergency",IF(AND(I108&lt;&gt;"",J108&lt;&gt;"",L108="Disetujui"),"OK","CEK")))</f>
        <v/>
      </c>
      <c r="T108" s="47">
        <f>IF(A108="","",IF(OR(F108="Major",Q108="Rollback"),"Ya","Tidak"))</f>
        <v/>
      </c>
      <c r="U108" s="44" t="n"/>
    </row>
    <row r="109" ht="15" customHeight="1" s="28">
      <c r="A109" s="44" t="n"/>
      <c r="B109" s="45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5" t="n"/>
      <c r="N109" s="44" t="n"/>
      <c r="O109" s="46" t="n"/>
      <c r="P109" s="44" t="n"/>
      <c r="Q109" s="44" t="n"/>
      <c r="R109" s="46" t="n"/>
      <c r="S109" s="47">
        <f>IF(A109="","",IF(F109="Emergency","Emergency",IF(AND(I109&lt;&gt;"",J109&lt;&gt;"",L109="Disetujui"),"OK","CEK")))</f>
        <v/>
      </c>
      <c r="T109" s="47">
        <f>IF(A109="","",IF(OR(F109="Major",Q109="Rollback"),"Ya","Tidak"))</f>
        <v/>
      </c>
      <c r="U109" s="44" t="n"/>
    </row>
    <row r="110" ht="15" customHeight="1" s="28">
      <c r="A110" s="44" t="n"/>
      <c r="B110" s="45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5" t="n"/>
      <c r="N110" s="44" t="n"/>
      <c r="O110" s="46" t="n"/>
      <c r="P110" s="44" t="n"/>
      <c r="Q110" s="44" t="n"/>
      <c r="R110" s="46" t="n"/>
      <c r="S110" s="47">
        <f>IF(A110="","",IF(F110="Emergency","Emergency",IF(AND(I110&lt;&gt;"",J110&lt;&gt;"",L110="Disetujui"),"OK","CEK")))</f>
        <v/>
      </c>
      <c r="T110" s="47">
        <f>IF(A110="","",IF(OR(F110="Major",Q110="Rollback"),"Ya","Tidak"))</f>
        <v/>
      </c>
      <c r="U110" s="44" t="n"/>
    </row>
    <row r="111" ht="15" customHeight="1" s="28">
      <c r="A111" s="44" t="n"/>
      <c r="B111" s="45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5" t="n"/>
      <c r="N111" s="44" t="n"/>
      <c r="O111" s="46" t="n"/>
      <c r="P111" s="44" t="n"/>
      <c r="Q111" s="44" t="n"/>
      <c r="R111" s="46" t="n"/>
      <c r="S111" s="47">
        <f>IF(A111="","",IF(F111="Emergency","Emergency",IF(AND(I111&lt;&gt;"",J111&lt;&gt;"",L111="Disetujui"),"OK","CEK")))</f>
        <v/>
      </c>
      <c r="T111" s="47">
        <f>IF(A111="","",IF(OR(F111="Major",Q111="Rollback"),"Ya","Tidak"))</f>
        <v/>
      </c>
      <c r="U111" s="44" t="n"/>
    </row>
    <row r="112" ht="15" customHeight="1" s="28">
      <c r="A112" s="44" t="n"/>
      <c r="B112" s="45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5" t="n"/>
      <c r="N112" s="44" t="n"/>
      <c r="O112" s="46" t="n"/>
      <c r="P112" s="44" t="n"/>
      <c r="Q112" s="44" t="n"/>
      <c r="R112" s="46" t="n"/>
      <c r="S112" s="47">
        <f>IF(A112="","",IF(F112="Emergency","Emergency",IF(AND(I112&lt;&gt;"",J112&lt;&gt;"",L112="Disetujui"),"OK","CEK")))</f>
        <v/>
      </c>
      <c r="T112" s="47">
        <f>IF(A112="","",IF(OR(F112="Major",Q112="Rollback"),"Ya","Tidak"))</f>
        <v/>
      </c>
      <c r="U112" s="44" t="n"/>
    </row>
    <row r="113" ht="15" customHeight="1" s="28">
      <c r="A113" s="44" t="n"/>
      <c r="B113" s="45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5" t="n"/>
      <c r="N113" s="44" t="n"/>
      <c r="O113" s="46" t="n"/>
      <c r="P113" s="44" t="n"/>
      <c r="Q113" s="44" t="n"/>
      <c r="R113" s="46" t="n"/>
      <c r="S113" s="47">
        <f>IF(A113="","",IF(F113="Emergency","Emergency",IF(AND(I113&lt;&gt;"",J113&lt;&gt;"",L113="Disetujui"),"OK","CEK")))</f>
        <v/>
      </c>
      <c r="T113" s="47">
        <f>IF(A113="","",IF(OR(F113="Major",Q113="Rollback"),"Ya","Tidak"))</f>
        <v/>
      </c>
      <c r="U113" s="44" t="n"/>
    </row>
    <row r="114" ht="15" customHeight="1" s="28">
      <c r="A114" s="44" t="n"/>
      <c r="B114" s="45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5" t="n"/>
      <c r="N114" s="44" t="n"/>
      <c r="O114" s="46" t="n"/>
      <c r="P114" s="44" t="n"/>
      <c r="Q114" s="44" t="n"/>
      <c r="R114" s="46" t="n"/>
      <c r="S114" s="47">
        <f>IF(A114="","",IF(F114="Emergency","Emergency",IF(AND(I114&lt;&gt;"",J114&lt;&gt;"",L114="Disetujui"),"OK","CEK")))</f>
        <v/>
      </c>
      <c r="T114" s="47">
        <f>IF(A114="","",IF(OR(F114="Major",Q114="Rollback"),"Ya","Tidak"))</f>
        <v/>
      </c>
      <c r="U114" s="44" t="n"/>
    </row>
    <row r="115" ht="15" customHeight="1" s="28">
      <c r="A115" s="44" t="n"/>
      <c r="B115" s="45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5" t="n"/>
      <c r="N115" s="44" t="n"/>
      <c r="O115" s="46" t="n"/>
      <c r="P115" s="44" t="n"/>
      <c r="Q115" s="44" t="n"/>
      <c r="R115" s="46" t="n"/>
      <c r="S115" s="47">
        <f>IF(A115="","",IF(F115="Emergency","Emergency",IF(AND(I115&lt;&gt;"",J115&lt;&gt;"",L115="Disetujui"),"OK","CEK")))</f>
        <v/>
      </c>
      <c r="T115" s="47">
        <f>IF(A115="","",IF(OR(F115="Major",Q115="Rollback"),"Ya","Tidak"))</f>
        <v/>
      </c>
      <c r="U115" s="44" t="n"/>
    </row>
    <row r="116" ht="15" customHeight="1" s="28">
      <c r="A116" s="44" t="n"/>
      <c r="B116" s="45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5" t="n"/>
      <c r="N116" s="44" t="n"/>
      <c r="O116" s="46" t="n"/>
      <c r="P116" s="44" t="n"/>
      <c r="Q116" s="44" t="n"/>
      <c r="R116" s="46" t="n"/>
      <c r="S116" s="47">
        <f>IF(A116="","",IF(F116="Emergency","Emergency",IF(AND(I116&lt;&gt;"",J116&lt;&gt;"",L116="Disetujui"),"OK","CEK")))</f>
        <v/>
      </c>
      <c r="T116" s="47">
        <f>IF(A116="","",IF(OR(F116="Major",Q116="Rollback"),"Ya","Tidak"))</f>
        <v/>
      </c>
      <c r="U116" s="44" t="n"/>
    </row>
    <row r="117" ht="15" customHeight="1" s="28">
      <c r="A117" s="44" t="n"/>
      <c r="B117" s="45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5" t="n"/>
      <c r="N117" s="44" t="n"/>
      <c r="O117" s="46" t="n"/>
      <c r="P117" s="44" t="n"/>
      <c r="Q117" s="44" t="n"/>
      <c r="R117" s="46" t="n"/>
      <c r="S117" s="47">
        <f>IF(A117="","",IF(F117="Emergency","Emergency",IF(AND(I117&lt;&gt;"",J117&lt;&gt;"",L117="Disetujui"),"OK","CEK")))</f>
        <v/>
      </c>
      <c r="T117" s="47">
        <f>IF(A117="","",IF(OR(F117="Major",Q117="Rollback"),"Ya","Tidak"))</f>
        <v/>
      </c>
      <c r="U117" s="44" t="n"/>
    </row>
    <row r="118" ht="15" customHeight="1" s="28">
      <c r="A118" s="44" t="n"/>
      <c r="B118" s="45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5" t="n"/>
      <c r="N118" s="44" t="n"/>
      <c r="O118" s="46" t="n"/>
      <c r="P118" s="44" t="n"/>
      <c r="Q118" s="44" t="n"/>
      <c r="R118" s="46" t="n"/>
      <c r="S118" s="47">
        <f>IF(A118="","",IF(F118="Emergency","Emergency",IF(AND(I118&lt;&gt;"",J118&lt;&gt;"",L118="Disetujui"),"OK","CEK")))</f>
        <v/>
      </c>
      <c r="T118" s="47">
        <f>IF(A118="","",IF(OR(F118="Major",Q118="Rollback"),"Ya","Tidak"))</f>
        <v/>
      </c>
      <c r="U118" s="44" t="n"/>
    </row>
    <row r="119" ht="15" customHeight="1" s="28">
      <c r="A119" s="44" t="n"/>
      <c r="B119" s="45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5" t="n"/>
      <c r="N119" s="44" t="n"/>
      <c r="O119" s="46" t="n"/>
      <c r="P119" s="44" t="n"/>
      <c r="Q119" s="44" t="n"/>
      <c r="R119" s="46" t="n"/>
      <c r="S119" s="47">
        <f>IF(A119="","",IF(F119="Emergency","Emergency",IF(AND(I119&lt;&gt;"",J119&lt;&gt;"",L119="Disetujui"),"OK","CEK")))</f>
        <v/>
      </c>
      <c r="T119" s="47">
        <f>IF(A119="","",IF(OR(F119="Major",Q119="Rollback"),"Ya","Tidak"))</f>
        <v/>
      </c>
      <c r="U119" s="44" t="n"/>
    </row>
    <row r="120" ht="15" customHeight="1" s="28">
      <c r="A120" s="44" t="n"/>
      <c r="B120" s="45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5" t="n"/>
      <c r="N120" s="44" t="n"/>
      <c r="O120" s="46" t="n"/>
      <c r="P120" s="44" t="n"/>
      <c r="Q120" s="44" t="n"/>
      <c r="R120" s="46" t="n"/>
      <c r="S120" s="47">
        <f>IF(A120="","",IF(F120="Emergency","Emergency",IF(AND(I120&lt;&gt;"",J120&lt;&gt;"",L120="Disetujui"),"OK","CEK")))</f>
        <v/>
      </c>
      <c r="T120" s="47">
        <f>IF(A120="","",IF(OR(F120="Major",Q120="Rollback"),"Ya","Tidak"))</f>
        <v/>
      </c>
      <c r="U120" s="44" t="n"/>
    </row>
    <row r="121" ht="15" customHeight="1" s="28">
      <c r="A121" s="44" t="n"/>
      <c r="B121" s="45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5" t="n"/>
      <c r="N121" s="44" t="n"/>
      <c r="O121" s="46" t="n"/>
      <c r="P121" s="44" t="n"/>
      <c r="Q121" s="44" t="n"/>
      <c r="R121" s="46" t="n"/>
      <c r="S121" s="47">
        <f>IF(A121="","",IF(F121="Emergency","Emergency",IF(AND(I121&lt;&gt;"",J121&lt;&gt;"",L121="Disetujui"),"OK","CEK")))</f>
        <v/>
      </c>
      <c r="T121" s="47">
        <f>IF(A121="","",IF(OR(F121="Major",Q121="Rollback"),"Ya","Tidak"))</f>
        <v/>
      </c>
      <c r="U121" s="44" t="n"/>
    </row>
    <row r="122" ht="15" customHeight="1" s="28">
      <c r="A122" s="44" t="n"/>
      <c r="B122" s="45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5" t="n"/>
      <c r="N122" s="44" t="n"/>
      <c r="O122" s="46" t="n"/>
      <c r="P122" s="44" t="n"/>
      <c r="Q122" s="44" t="n"/>
      <c r="R122" s="46" t="n"/>
      <c r="S122" s="47">
        <f>IF(A122="","",IF(F122="Emergency","Emergency",IF(AND(I122&lt;&gt;"",J122&lt;&gt;"",L122="Disetujui"),"OK","CEK")))</f>
        <v/>
      </c>
      <c r="T122" s="47">
        <f>IF(A122="","",IF(OR(F122="Major",Q122="Rollback"),"Ya","Tidak"))</f>
        <v/>
      </c>
      <c r="U122" s="44" t="n"/>
    </row>
    <row r="123" ht="15" customHeight="1" s="28">
      <c r="A123" s="44" t="n"/>
      <c r="B123" s="45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5" t="n"/>
      <c r="N123" s="44" t="n"/>
      <c r="O123" s="46" t="n"/>
      <c r="P123" s="44" t="n"/>
      <c r="Q123" s="44" t="n"/>
      <c r="R123" s="46" t="n"/>
      <c r="S123" s="47">
        <f>IF(A123="","",IF(F123="Emergency","Emergency",IF(AND(I123&lt;&gt;"",J123&lt;&gt;"",L123="Disetujui"),"OK","CEK")))</f>
        <v/>
      </c>
      <c r="T123" s="47">
        <f>IF(A123="","",IF(OR(F123="Major",Q123="Rollback"),"Ya","Tidak"))</f>
        <v/>
      </c>
      <c r="U123" s="44" t="n"/>
    </row>
    <row r="124" ht="15" customHeight="1" s="28">
      <c r="A124" s="44" t="n"/>
      <c r="B124" s="45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5" t="n"/>
      <c r="N124" s="44" t="n"/>
      <c r="O124" s="46" t="n"/>
      <c r="P124" s="44" t="n"/>
      <c r="Q124" s="44" t="n"/>
      <c r="R124" s="46" t="n"/>
      <c r="S124" s="47">
        <f>IF(A124="","",IF(F124="Emergency","Emergency",IF(AND(I124&lt;&gt;"",J124&lt;&gt;"",L124="Disetujui"),"OK","CEK")))</f>
        <v/>
      </c>
      <c r="T124" s="47">
        <f>IF(A124="","",IF(OR(F124="Major",Q124="Rollback"),"Ya","Tidak"))</f>
        <v/>
      </c>
      <c r="U124" s="44" t="n"/>
    </row>
    <row r="125" ht="15" customHeight="1" s="28">
      <c r="A125" s="44" t="n"/>
      <c r="B125" s="45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5" t="n"/>
      <c r="N125" s="44" t="n"/>
      <c r="O125" s="46" t="n"/>
      <c r="P125" s="44" t="n"/>
      <c r="Q125" s="44" t="n"/>
      <c r="R125" s="46" t="n"/>
      <c r="S125" s="47">
        <f>IF(A125="","",IF(F125="Emergency","Emergency",IF(AND(I125&lt;&gt;"",J125&lt;&gt;"",L125="Disetujui"),"OK","CEK")))</f>
        <v/>
      </c>
      <c r="T125" s="47">
        <f>IF(A125="","",IF(OR(F125="Major",Q125="Rollback"),"Ya","Tidak"))</f>
        <v/>
      </c>
      <c r="U125" s="44" t="n"/>
    </row>
    <row r="126" ht="15" customHeight="1" s="28">
      <c r="A126" s="44" t="n"/>
      <c r="B126" s="45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5" t="n"/>
      <c r="N126" s="44" t="n"/>
      <c r="O126" s="46" t="n"/>
      <c r="P126" s="44" t="n"/>
      <c r="Q126" s="44" t="n"/>
      <c r="R126" s="46" t="n"/>
      <c r="S126" s="47">
        <f>IF(A126="","",IF(F126="Emergency","Emergency",IF(AND(I126&lt;&gt;"",J126&lt;&gt;"",L126="Disetujui"),"OK","CEK")))</f>
        <v/>
      </c>
      <c r="T126" s="47">
        <f>IF(A126="","",IF(OR(F126="Major",Q126="Rollback"),"Ya","Tidak"))</f>
        <v/>
      </c>
      <c r="U126" s="44" t="n"/>
    </row>
    <row r="127" ht="15" customHeight="1" s="28">
      <c r="A127" s="44" t="n"/>
      <c r="B127" s="45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5" t="n"/>
      <c r="N127" s="44" t="n"/>
      <c r="O127" s="46" t="n"/>
      <c r="P127" s="44" t="n"/>
      <c r="Q127" s="44" t="n"/>
      <c r="R127" s="46" t="n"/>
      <c r="S127" s="47">
        <f>IF(A127="","",IF(F127="Emergency","Emergency",IF(AND(I127&lt;&gt;"",J127&lt;&gt;"",L127="Disetujui"),"OK","CEK")))</f>
        <v/>
      </c>
      <c r="T127" s="47">
        <f>IF(A127="","",IF(OR(F127="Major",Q127="Rollback"),"Ya","Tidak"))</f>
        <v/>
      </c>
      <c r="U127" s="44" t="n"/>
    </row>
    <row r="128" ht="15" customHeight="1" s="28">
      <c r="A128" s="44" t="n"/>
      <c r="B128" s="45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5" t="n"/>
      <c r="N128" s="44" t="n"/>
      <c r="O128" s="46" t="n"/>
      <c r="P128" s="44" t="n"/>
      <c r="Q128" s="44" t="n"/>
      <c r="R128" s="46" t="n"/>
      <c r="S128" s="47">
        <f>IF(A128="","",IF(F128="Emergency","Emergency",IF(AND(I128&lt;&gt;"",J128&lt;&gt;"",L128="Disetujui"),"OK","CEK")))</f>
        <v/>
      </c>
      <c r="T128" s="47">
        <f>IF(A128="","",IF(OR(F128="Major",Q128="Rollback"),"Ya","Tidak"))</f>
        <v/>
      </c>
      <c r="U128" s="44" t="n"/>
    </row>
    <row r="129" ht="15" customHeight="1" s="28">
      <c r="A129" s="44" t="n"/>
      <c r="B129" s="45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5" t="n"/>
      <c r="N129" s="44" t="n"/>
      <c r="O129" s="46" t="n"/>
      <c r="P129" s="44" t="n"/>
      <c r="Q129" s="44" t="n"/>
      <c r="R129" s="46" t="n"/>
      <c r="S129" s="47">
        <f>IF(A129="","",IF(F129="Emergency","Emergency",IF(AND(I129&lt;&gt;"",J129&lt;&gt;"",L129="Disetujui"),"OK","CEK")))</f>
        <v/>
      </c>
      <c r="T129" s="47">
        <f>IF(A129="","",IF(OR(F129="Major",Q129="Rollback"),"Ya","Tidak"))</f>
        <v/>
      </c>
      <c r="U129" s="44" t="n"/>
    </row>
    <row r="130" ht="15" customHeight="1" s="28">
      <c r="A130" s="44" t="n"/>
      <c r="B130" s="45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5" t="n"/>
      <c r="N130" s="44" t="n"/>
      <c r="O130" s="46" t="n"/>
      <c r="P130" s="44" t="n"/>
      <c r="Q130" s="44" t="n"/>
      <c r="R130" s="46" t="n"/>
      <c r="S130" s="47">
        <f>IF(A130="","",IF(F130="Emergency","Emergency",IF(AND(I130&lt;&gt;"",J130&lt;&gt;"",L130="Disetujui"),"OK","CEK")))</f>
        <v/>
      </c>
      <c r="T130" s="47">
        <f>IF(A130="","",IF(OR(F130="Major",Q130="Rollback"),"Ya","Tidak"))</f>
        <v/>
      </c>
      <c r="U130" s="44" t="n"/>
    </row>
    <row r="131" ht="15" customHeight="1" s="28">
      <c r="A131" s="44" t="n"/>
      <c r="B131" s="45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5" t="n"/>
      <c r="N131" s="44" t="n"/>
      <c r="O131" s="46" t="n"/>
      <c r="P131" s="44" t="n"/>
      <c r="Q131" s="44" t="n"/>
      <c r="R131" s="46" t="n"/>
      <c r="S131" s="47">
        <f>IF(A131="","",IF(F131="Emergency","Emergency",IF(AND(I131&lt;&gt;"",J131&lt;&gt;"",L131="Disetujui"),"OK","CEK")))</f>
        <v/>
      </c>
      <c r="T131" s="47">
        <f>IF(A131="","",IF(OR(F131="Major",Q131="Rollback"),"Ya","Tidak"))</f>
        <v/>
      </c>
      <c r="U131" s="44" t="n"/>
    </row>
    <row r="132" ht="15" customHeight="1" s="28">
      <c r="A132" s="44" t="n"/>
      <c r="B132" s="45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5" t="n"/>
      <c r="N132" s="44" t="n"/>
      <c r="O132" s="46" t="n"/>
      <c r="P132" s="44" t="n"/>
      <c r="Q132" s="44" t="n"/>
      <c r="R132" s="46" t="n"/>
      <c r="S132" s="47">
        <f>IF(A132="","",IF(F132="Emergency","Emergency",IF(AND(I132&lt;&gt;"",J132&lt;&gt;"",L132="Disetujui"),"OK","CEK")))</f>
        <v/>
      </c>
      <c r="T132" s="47">
        <f>IF(A132="","",IF(OR(F132="Major",Q132="Rollback"),"Ya","Tidak"))</f>
        <v/>
      </c>
      <c r="U132" s="44" t="n"/>
    </row>
    <row r="133" ht="15" customHeight="1" s="28">
      <c r="A133" s="44" t="n"/>
      <c r="B133" s="45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5" t="n"/>
      <c r="N133" s="44" t="n"/>
      <c r="O133" s="46" t="n"/>
      <c r="P133" s="44" t="n"/>
      <c r="Q133" s="44" t="n"/>
      <c r="R133" s="46" t="n"/>
      <c r="S133" s="47">
        <f>IF(A133="","",IF(F133="Emergency","Emergency",IF(AND(I133&lt;&gt;"",J133&lt;&gt;"",L133="Disetujui"),"OK","CEK")))</f>
        <v/>
      </c>
      <c r="T133" s="47">
        <f>IF(A133="","",IF(OR(F133="Major",Q133="Rollback"),"Ya","Tidak"))</f>
        <v/>
      </c>
      <c r="U133" s="44" t="n"/>
    </row>
    <row r="134" ht="15" customHeight="1" s="28">
      <c r="A134" s="44" t="n"/>
      <c r="B134" s="45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5" t="n"/>
      <c r="N134" s="44" t="n"/>
      <c r="O134" s="46" t="n"/>
      <c r="P134" s="44" t="n"/>
      <c r="Q134" s="44" t="n"/>
      <c r="R134" s="46" t="n"/>
      <c r="S134" s="47">
        <f>IF(A134="","",IF(F134="Emergency","Emergency",IF(AND(I134&lt;&gt;"",J134&lt;&gt;"",L134="Disetujui"),"OK","CEK")))</f>
        <v/>
      </c>
      <c r="T134" s="47">
        <f>IF(A134="","",IF(OR(F134="Major",Q134="Rollback"),"Ya","Tidak"))</f>
        <v/>
      </c>
      <c r="U134" s="44" t="n"/>
    </row>
    <row r="135" ht="15" customHeight="1" s="28">
      <c r="A135" s="44" t="n"/>
      <c r="B135" s="45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5" t="n"/>
      <c r="N135" s="44" t="n"/>
      <c r="O135" s="46" t="n"/>
      <c r="P135" s="44" t="n"/>
      <c r="Q135" s="44" t="n"/>
      <c r="R135" s="46" t="n"/>
      <c r="S135" s="47">
        <f>IF(A135="","",IF(F135="Emergency","Emergency",IF(AND(I135&lt;&gt;"",J135&lt;&gt;"",L135="Disetujui"),"OK","CEK")))</f>
        <v/>
      </c>
      <c r="T135" s="47">
        <f>IF(A135="","",IF(OR(F135="Major",Q135="Rollback"),"Ya","Tidak"))</f>
        <v/>
      </c>
      <c r="U135" s="44" t="n"/>
    </row>
    <row r="136" ht="15" customHeight="1" s="28">
      <c r="A136" s="44" t="n"/>
      <c r="B136" s="45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5" t="n"/>
      <c r="N136" s="44" t="n"/>
      <c r="O136" s="46" t="n"/>
      <c r="P136" s="44" t="n"/>
      <c r="Q136" s="44" t="n"/>
      <c r="R136" s="46" t="n"/>
      <c r="S136" s="47">
        <f>IF(A136="","",IF(F136="Emergency","Emergency",IF(AND(I136&lt;&gt;"",J136&lt;&gt;"",L136="Disetujui"),"OK","CEK")))</f>
        <v/>
      </c>
      <c r="T136" s="47">
        <f>IF(A136="","",IF(OR(F136="Major",Q136="Rollback"),"Ya","Tidak"))</f>
        <v/>
      </c>
      <c r="U136" s="44" t="n"/>
    </row>
    <row r="137" ht="15" customHeight="1" s="28">
      <c r="A137" s="44" t="n"/>
      <c r="B137" s="45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5" t="n"/>
      <c r="N137" s="44" t="n"/>
      <c r="O137" s="46" t="n"/>
      <c r="P137" s="44" t="n"/>
      <c r="Q137" s="44" t="n"/>
      <c r="R137" s="46" t="n"/>
      <c r="S137" s="47">
        <f>IF(A137="","",IF(F137="Emergency","Emergency",IF(AND(I137&lt;&gt;"",J137&lt;&gt;"",L137="Disetujui"),"OK","CEK")))</f>
        <v/>
      </c>
      <c r="T137" s="47">
        <f>IF(A137="","",IF(OR(F137="Major",Q137="Rollback"),"Ya","Tidak"))</f>
        <v/>
      </c>
      <c r="U137" s="44" t="n"/>
    </row>
    <row r="138" ht="15" customHeight="1" s="28">
      <c r="A138" s="44" t="n"/>
      <c r="B138" s="45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5" t="n"/>
      <c r="N138" s="44" t="n"/>
      <c r="O138" s="46" t="n"/>
      <c r="P138" s="44" t="n"/>
      <c r="Q138" s="44" t="n"/>
      <c r="R138" s="46" t="n"/>
      <c r="S138" s="47">
        <f>IF(A138="","",IF(F138="Emergency","Emergency",IF(AND(I138&lt;&gt;"",J138&lt;&gt;"",L138="Disetujui"),"OK","CEK")))</f>
        <v/>
      </c>
      <c r="T138" s="47">
        <f>IF(A138="","",IF(OR(F138="Major",Q138="Rollback"),"Ya","Tidak"))</f>
        <v/>
      </c>
      <c r="U138" s="44" t="n"/>
    </row>
    <row r="139" ht="15" customHeight="1" s="28">
      <c r="A139" s="44" t="n"/>
      <c r="B139" s="45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5" t="n"/>
      <c r="N139" s="44" t="n"/>
      <c r="O139" s="46" t="n"/>
      <c r="P139" s="44" t="n"/>
      <c r="Q139" s="44" t="n"/>
      <c r="R139" s="46" t="n"/>
      <c r="S139" s="47">
        <f>IF(A139="","",IF(F139="Emergency","Emergency",IF(AND(I139&lt;&gt;"",J139&lt;&gt;"",L139="Disetujui"),"OK","CEK")))</f>
        <v/>
      </c>
      <c r="T139" s="47">
        <f>IF(A139="","",IF(OR(F139="Major",Q139="Rollback"),"Ya","Tidak"))</f>
        <v/>
      </c>
      <c r="U139" s="44" t="n"/>
    </row>
    <row r="140" ht="15" customHeight="1" s="28">
      <c r="A140" s="44" t="n"/>
      <c r="B140" s="45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5" t="n"/>
      <c r="N140" s="44" t="n"/>
      <c r="O140" s="46" t="n"/>
      <c r="P140" s="44" t="n"/>
      <c r="Q140" s="44" t="n"/>
      <c r="R140" s="46" t="n"/>
      <c r="S140" s="47">
        <f>IF(A140="","",IF(F140="Emergency","Emergency",IF(AND(I140&lt;&gt;"",J140&lt;&gt;"",L140="Disetujui"),"OK","CEK")))</f>
        <v/>
      </c>
      <c r="T140" s="47">
        <f>IF(A140="","",IF(OR(F140="Major",Q140="Rollback"),"Ya","Tidak"))</f>
        <v/>
      </c>
      <c r="U140" s="44" t="n"/>
    </row>
    <row r="141" ht="15" customHeight="1" s="28">
      <c r="A141" s="44" t="n"/>
      <c r="B141" s="45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5" t="n"/>
      <c r="N141" s="44" t="n"/>
      <c r="O141" s="46" t="n"/>
      <c r="P141" s="44" t="n"/>
      <c r="Q141" s="44" t="n"/>
      <c r="R141" s="46" t="n"/>
      <c r="S141" s="47">
        <f>IF(A141="","",IF(F141="Emergency","Emergency",IF(AND(I141&lt;&gt;"",J141&lt;&gt;"",L141="Disetujui"),"OK","CEK")))</f>
        <v/>
      </c>
      <c r="T141" s="47">
        <f>IF(A141="","",IF(OR(F141="Major",Q141="Rollback"),"Ya","Tidak"))</f>
        <v/>
      </c>
      <c r="U141" s="44" t="n"/>
    </row>
    <row r="142" ht="15" customHeight="1" s="28">
      <c r="A142" s="44" t="n"/>
      <c r="B142" s="45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5" t="n"/>
      <c r="N142" s="44" t="n"/>
      <c r="O142" s="46" t="n"/>
      <c r="P142" s="44" t="n"/>
      <c r="Q142" s="44" t="n"/>
      <c r="R142" s="46" t="n"/>
      <c r="S142" s="47">
        <f>IF(A142="","",IF(F142="Emergency","Emergency",IF(AND(I142&lt;&gt;"",J142&lt;&gt;"",L142="Disetujui"),"OK","CEK")))</f>
        <v/>
      </c>
      <c r="T142" s="47">
        <f>IF(A142="","",IF(OR(F142="Major",Q142="Rollback"),"Ya","Tidak"))</f>
        <v/>
      </c>
      <c r="U142" s="44" t="n"/>
    </row>
    <row r="143" ht="15" customHeight="1" s="28">
      <c r="A143" s="44" t="n"/>
      <c r="B143" s="45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5" t="n"/>
      <c r="N143" s="44" t="n"/>
      <c r="O143" s="46" t="n"/>
      <c r="P143" s="44" t="n"/>
      <c r="Q143" s="44" t="n"/>
      <c r="R143" s="46" t="n"/>
      <c r="S143" s="47">
        <f>IF(A143="","",IF(F143="Emergency","Emergency",IF(AND(I143&lt;&gt;"",J143&lt;&gt;"",L143="Disetujui"),"OK","CEK")))</f>
        <v/>
      </c>
      <c r="T143" s="47">
        <f>IF(A143="","",IF(OR(F143="Major",Q143="Rollback"),"Ya","Tidak"))</f>
        <v/>
      </c>
      <c r="U143" s="44" t="n"/>
    </row>
    <row r="144" ht="15" customHeight="1" s="28">
      <c r="A144" s="44" t="n"/>
      <c r="B144" s="45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5" t="n"/>
      <c r="N144" s="44" t="n"/>
      <c r="O144" s="46" t="n"/>
      <c r="P144" s="44" t="n"/>
      <c r="Q144" s="44" t="n"/>
      <c r="R144" s="46" t="n"/>
      <c r="S144" s="47">
        <f>IF(A144="","",IF(F144="Emergency","Emergency",IF(AND(I144&lt;&gt;"",J144&lt;&gt;"",L144="Disetujui"),"OK","CEK")))</f>
        <v/>
      </c>
      <c r="T144" s="47">
        <f>IF(A144="","",IF(OR(F144="Major",Q144="Rollback"),"Ya","Tidak"))</f>
        <v/>
      </c>
      <c r="U144" s="44" t="n"/>
    </row>
    <row r="145" ht="15" customHeight="1" s="28">
      <c r="A145" s="44" t="n"/>
      <c r="B145" s="45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5" t="n"/>
      <c r="N145" s="44" t="n"/>
      <c r="O145" s="46" t="n"/>
      <c r="P145" s="44" t="n"/>
      <c r="Q145" s="44" t="n"/>
      <c r="R145" s="46" t="n"/>
      <c r="S145" s="47">
        <f>IF(A145="","",IF(F145="Emergency","Emergency",IF(AND(I145&lt;&gt;"",J145&lt;&gt;"",L145="Disetujui"),"OK","CEK")))</f>
        <v/>
      </c>
      <c r="T145" s="47">
        <f>IF(A145="","",IF(OR(F145="Major",Q145="Rollback"),"Ya","Tidak"))</f>
        <v/>
      </c>
      <c r="U145" s="44" t="n"/>
    </row>
    <row r="146" ht="15" customHeight="1" s="28">
      <c r="A146" s="44" t="n"/>
      <c r="B146" s="45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5" t="n"/>
      <c r="N146" s="44" t="n"/>
      <c r="O146" s="46" t="n"/>
      <c r="P146" s="44" t="n"/>
      <c r="Q146" s="44" t="n"/>
      <c r="R146" s="46" t="n"/>
      <c r="S146" s="47">
        <f>IF(A146="","",IF(F146="Emergency","Emergency",IF(AND(I146&lt;&gt;"",J146&lt;&gt;"",L146="Disetujui"),"OK","CEK")))</f>
        <v/>
      </c>
      <c r="T146" s="47">
        <f>IF(A146="","",IF(OR(F146="Major",Q146="Rollback"),"Ya","Tidak"))</f>
        <v/>
      </c>
      <c r="U146" s="44" t="n"/>
    </row>
    <row r="147" ht="15" customHeight="1" s="28">
      <c r="A147" s="44" t="n"/>
      <c r="B147" s="45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5" t="n"/>
      <c r="N147" s="44" t="n"/>
      <c r="O147" s="46" t="n"/>
      <c r="P147" s="44" t="n"/>
      <c r="Q147" s="44" t="n"/>
      <c r="R147" s="46" t="n"/>
      <c r="S147" s="47">
        <f>IF(A147="","",IF(F147="Emergency","Emergency",IF(AND(I147&lt;&gt;"",J147&lt;&gt;"",L147="Disetujui"),"OK","CEK")))</f>
        <v/>
      </c>
      <c r="T147" s="47">
        <f>IF(A147="","",IF(OR(F147="Major",Q147="Rollback"),"Ya","Tidak"))</f>
        <v/>
      </c>
      <c r="U147" s="44" t="n"/>
    </row>
    <row r="148" ht="15" customHeight="1" s="28">
      <c r="A148" s="44" t="n"/>
      <c r="B148" s="45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5" t="n"/>
      <c r="N148" s="44" t="n"/>
      <c r="O148" s="46" t="n"/>
      <c r="P148" s="44" t="n"/>
      <c r="Q148" s="44" t="n"/>
      <c r="R148" s="46" t="n"/>
      <c r="S148" s="47">
        <f>IF(A148="","",IF(F148="Emergency","Emergency",IF(AND(I148&lt;&gt;"",J148&lt;&gt;"",L148="Disetujui"),"OK","CEK")))</f>
        <v/>
      </c>
      <c r="T148" s="47">
        <f>IF(A148="","",IF(OR(F148="Major",Q148="Rollback"),"Ya","Tidak"))</f>
        <v/>
      </c>
      <c r="U148" s="44" t="n"/>
    </row>
    <row r="149" ht="15" customHeight="1" s="28">
      <c r="A149" s="44" t="n"/>
      <c r="B149" s="45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5" t="n"/>
      <c r="N149" s="44" t="n"/>
      <c r="O149" s="46" t="n"/>
      <c r="P149" s="44" t="n"/>
      <c r="Q149" s="44" t="n"/>
      <c r="R149" s="46" t="n"/>
      <c r="S149" s="47">
        <f>IF(A149="","",IF(F149="Emergency","Emergency",IF(AND(I149&lt;&gt;"",J149&lt;&gt;"",L149="Disetujui"),"OK","CEK")))</f>
        <v/>
      </c>
      <c r="T149" s="47">
        <f>IF(A149="","",IF(OR(F149="Major",Q149="Rollback"),"Ya","Tidak"))</f>
        <v/>
      </c>
      <c r="U149" s="44" t="n"/>
    </row>
    <row r="150" ht="15" customHeight="1" s="28">
      <c r="A150" s="44" t="n"/>
      <c r="B150" s="45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5" t="n"/>
      <c r="N150" s="44" t="n"/>
      <c r="O150" s="46" t="n"/>
      <c r="P150" s="44" t="n"/>
      <c r="Q150" s="44" t="n"/>
      <c r="R150" s="46" t="n"/>
      <c r="S150" s="47">
        <f>IF(A150="","",IF(F150="Emergency","Emergency",IF(AND(I150&lt;&gt;"",J150&lt;&gt;"",L150="Disetujui"),"OK","CEK")))</f>
        <v/>
      </c>
      <c r="T150" s="47">
        <f>IF(A150="","",IF(OR(F150="Major",Q150="Rollback"),"Ya","Tidak"))</f>
        <v/>
      </c>
      <c r="U150" s="44" t="n"/>
    </row>
    <row r="151" ht="15" customHeight="1" s="28">
      <c r="A151" s="44" t="n"/>
      <c r="B151" s="45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5" t="n"/>
      <c r="N151" s="44" t="n"/>
      <c r="O151" s="46" t="n"/>
      <c r="P151" s="44" t="n"/>
      <c r="Q151" s="44" t="n"/>
      <c r="R151" s="46" t="n"/>
      <c r="S151" s="47">
        <f>IF(A151="","",IF(F151="Emergency","Emergency",IF(AND(I151&lt;&gt;"",J151&lt;&gt;"",L151="Disetujui"),"OK","CEK")))</f>
        <v/>
      </c>
      <c r="T151" s="47">
        <f>IF(A151="","",IF(OR(F151="Major",Q151="Rollback"),"Ya","Tidak"))</f>
        <v/>
      </c>
      <c r="U151" s="44" t="n"/>
    </row>
    <row r="152" ht="15" customHeight="1" s="28">
      <c r="A152" s="44" t="n"/>
      <c r="B152" s="45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5" t="n"/>
      <c r="N152" s="44" t="n"/>
      <c r="O152" s="46" t="n"/>
      <c r="P152" s="44" t="n"/>
      <c r="Q152" s="44" t="n"/>
      <c r="R152" s="46" t="n"/>
      <c r="S152" s="47">
        <f>IF(A152="","",IF(F152="Emergency","Emergency",IF(AND(I152&lt;&gt;"",J152&lt;&gt;"",L152="Disetujui"),"OK","CEK")))</f>
        <v/>
      </c>
      <c r="T152" s="47">
        <f>IF(A152="","",IF(OR(F152="Major",Q152="Rollback"),"Ya","Tidak"))</f>
        <v/>
      </c>
      <c r="U152" s="44" t="n"/>
    </row>
    <row r="153" ht="15" customHeight="1" s="28">
      <c r="A153" s="44" t="n"/>
      <c r="B153" s="45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5" t="n"/>
      <c r="N153" s="44" t="n"/>
      <c r="O153" s="46" t="n"/>
      <c r="P153" s="44" t="n"/>
      <c r="Q153" s="44" t="n"/>
      <c r="R153" s="46" t="n"/>
      <c r="S153" s="47">
        <f>IF(A153="","",IF(F153="Emergency","Emergency",IF(AND(I153&lt;&gt;"",J153&lt;&gt;"",L153="Disetujui"),"OK","CEK")))</f>
        <v/>
      </c>
      <c r="T153" s="47">
        <f>IF(A153="","",IF(OR(F153="Major",Q153="Rollback"),"Ya","Tidak"))</f>
        <v/>
      </c>
      <c r="U153" s="44" t="n"/>
    </row>
    <row r="154" ht="15" customHeight="1" s="28">
      <c r="A154" s="44" t="n"/>
      <c r="B154" s="45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5" t="n"/>
      <c r="N154" s="44" t="n"/>
      <c r="O154" s="46" t="n"/>
      <c r="P154" s="44" t="n"/>
      <c r="Q154" s="44" t="n"/>
      <c r="R154" s="46" t="n"/>
      <c r="S154" s="47">
        <f>IF(A154="","",IF(F154="Emergency","Emergency",IF(AND(I154&lt;&gt;"",J154&lt;&gt;"",L154="Disetujui"),"OK","CEK")))</f>
        <v/>
      </c>
      <c r="T154" s="47">
        <f>IF(A154="","",IF(OR(F154="Major",Q154="Rollback"),"Ya","Tidak"))</f>
        <v/>
      </c>
      <c r="U154" s="44" t="n"/>
    </row>
    <row r="155" ht="15" customHeight="1" s="28">
      <c r="A155" s="44" t="n"/>
      <c r="B155" s="45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5" t="n"/>
      <c r="N155" s="44" t="n"/>
      <c r="O155" s="46" t="n"/>
      <c r="P155" s="44" t="n"/>
      <c r="Q155" s="44" t="n"/>
      <c r="R155" s="46" t="n"/>
      <c r="S155" s="47">
        <f>IF(A155="","",IF(F155="Emergency","Emergency",IF(AND(I155&lt;&gt;"",J155&lt;&gt;"",L155="Disetujui"),"OK","CEK")))</f>
        <v/>
      </c>
      <c r="T155" s="47">
        <f>IF(A155="","",IF(OR(F155="Major",Q155="Rollback"),"Ya","Tidak"))</f>
        <v/>
      </c>
      <c r="U155" s="44" t="n"/>
    </row>
  </sheetData>
  <autoFilter ref="A4:U155"/>
  <conditionalFormatting sqref="S5:S155">
    <cfRule type="cellIs" rank="0" priority="2" equalAverage="0" operator="equal" aboveAverage="0" dxfId="7" text="" percent="0" bottom="0">
      <formula>"OK"</formula>
    </cfRule>
    <cfRule type="cellIs" rank="0" priority="3" equalAverage="0" operator="equal" aboveAverage="0" dxfId="8" text="" percent="0" bottom="0">
      <formula>"CEK"</formula>
    </cfRule>
    <cfRule type="cellIs" rank="0" priority="4" equalAverage="0" operator="equal" aboveAverage="0" dxfId="9" text="" percent="0" bottom="0">
      <formula>"Emergency"</formula>
    </cfRule>
  </conditionalFormatting>
  <conditionalFormatting sqref="Q5:Q155">
    <cfRule type="cellIs" rank="0" priority="5" equalAverage="0" operator="equal" aboveAverage="0" dxfId="7" text="" percent="0" bottom="0">
      <formula>"Berhasil"</formula>
    </cfRule>
    <cfRule type="cellIs" rank="0" priority="6" equalAverage="0" operator="equal" aboveAverage="0" dxfId="8" text="" percent="0" bottom="0">
      <formula>"Gagal"</formula>
    </cfRule>
    <cfRule type="cellIs" rank="0" priority="7" equalAverage="0" operator="equal" aboveAverage="0" dxfId="9" text="" percent="0" bottom="0">
      <formula>"Rollback"</formula>
    </cfRule>
  </conditionalFormatting>
  <dataValidations count="4">
    <dataValidation sqref="F5:F155" showDropDown="0" showInputMessage="0" showErrorMessage="0" allowBlank="1" type="list" errorStyle="stop" operator="between">
      <formula1>Daftar!$A$2:$A$6</formula1>
      <formula2>0</formula2>
    </dataValidation>
    <dataValidation sqref="L5:L155" showDropDown="0" showInputMessage="0" showErrorMessage="0" allowBlank="1" type="list" errorStyle="stop" operator="between">
      <formula1>Daftar!$B$2:$B$5</formula1>
      <formula2>0</formula2>
    </dataValidation>
    <dataValidation sqref="N5:N155" showDropDown="0" showInputMessage="0" showErrorMessage="0" allowBlank="1" type="list" errorStyle="stop" operator="between">
      <formula1>Daftar!$C$2:$C$4</formula1>
      <formula2>0</formula2>
    </dataValidation>
    <dataValidation sqref="Q5:Q155" showDropDown="0" showInputMessage="0" showErrorMessage="0" allowBlank="1" type="list" errorStyle="stop" operator="between">
      <formula1>Daftar!$D$2:$D$5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6" topLeftCell="A7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27" min="1" max="1"/>
    <col width="14" customWidth="1" style="27" min="2" max="6"/>
    <col width="13" customWidth="1" style="28" min="3" max="3"/>
    <col width="13" customWidth="1" style="28" min="4" max="4"/>
    <col width="13" customWidth="1" style="28" min="5" max="5"/>
    <col width="13" customWidth="1" style="28" min="6" max="6"/>
  </cols>
  <sheetData>
    <row r="1" ht="16.15" customHeight="1" s="28">
      <c r="A1" s="41" t="inlineStr">
        <is>
          <t>Ringkasan change</t>
        </is>
      </c>
    </row>
    <row r="2" ht="15" customHeight="1" s="28">
      <c r="A2" s="48" t="inlineStr">
        <is>
          <t>Isi periode di sel B3 dan B4. Semua angka dihitung dari sheet Change Log berdasarkan Tanggal ajukan.</t>
        </is>
      </c>
    </row>
    <row r="3" ht="15" customHeight="1" s="28">
      <c r="A3" s="27" t="inlineStr">
        <is>
          <t>Periode mulai</t>
        </is>
      </c>
      <c r="B3" s="49" t="n">
        <v>46327</v>
      </c>
    </row>
    <row r="4" ht="15" customHeight="1" s="28">
      <c r="A4" s="27" t="inlineStr">
        <is>
          <t>Periode akhir</t>
        </is>
      </c>
      <c r="B4" s="49" t="n">
        <v>46356</v>
      </c>
    </row>
    <row r="6" ht="57" customHeight="1" s="28">
      <c r="A6" s="43" t="inlineStr">
        <is>
          <t>Jenis</t>
        </is>
      </c>
      <c r="B6" s="43" t="inlineStr">
        <is>
          <t>Jumlah</t>
        </is>
      </c>
      <c r="C6" s="43" t="inlineStr">
        <is>
          <t>Berhasil</t>
        </is>
      </c>
      <c r="D6" s="43" t="inlineStr">
        <is>
          <t>Rollback</t>
        </is>
      </c>
      <c r="E6" s="43" t="inlineStr">
        <is>
          <t>Gagal</t>
        </is>
      </c>
      <c r="F6" s="43" t="inlineStr">
        <is>
          <t>Tanpa rollback darurat (%)</t>
        </is>
      </c>
    </row>
    <row r="7" ht="16.5" customHeight="1" s="28">
      <c r="A7" s="61" t="inlineStr">
        <is>
          <t>Standar</t>
        </is>
      </c>
      <c r="B7" s="61">
        <f>COUNTIFS('Change Log'!$F$5:$F$155,A7,'Change Log'!$B$5:$B$155,"&gt;="&amp;$B$3,'Change Log'!$B$5:$B$155,"&lt;="&amp;$B$4)</f>
        <v/>
      </c>
      <c r="C7" s="61">
        <f>COUNTIFS('Change Log'!$F$5:$F$155,A7,'Change Log'!$Q$5:$Q$155,"Berhasil",'Change Log'!$B$5:$B$155,"&gt;="&amp;$B$3,'Change Log'!$B$5:$B$155,"&lt;="&amp;$B$4)</f>
        <v/>
      </c>
      <c r="D7" s="61">
        <f>COUNTIFS('Change Log'!$F$5:$F$155,A7,'Change Log'!$Q$5:$Q$155,"Rollback",'Change Log'!$B$5:$B$155,"&gt;="&amp;$B$3,'Change Log'!$B$5:$B$155,"&lt;="&amp;$B$4)</f>
        <v/>
      </c>
      <c r="E7" s="61">
        <f>COUNTIFS('Change Log'!$F$5:$F$155,A7,'Change Log'!$Q$5:$Q$155,"Gagal",'Change Log'!$B$5:$B$155,"&gt;="&amp;$B$3,'Change Log'!$B$5:$B$155,"&lt;="&amp;$B$4)</f>
        <v/>
      </c>
      <c r="F7" s="62">
        <f>IF(B7=0,"",1-D7/B7)</f>
        <v/>
      </c>
    </row>
    <row r="8" ht="16.5" customHeight="1" s="28">
      <c r="A8" s="61" t="inlineStr">
        <is>
          <t>Normal</t>
        </is>
      </c>
      <c r="B8" s="61">
        <f>COUNTIFS('Change Log'!$F$5:$F$155,A8,'Change Log'!$B$5:$B$155,"&gt;="&amp;$B$3,'Change Log'!$B$5:$B$155,"&lt;="&amp;$B$4)</f>
        <v/>
      </c>
      <c r="C8" s="61">
        <f>COUNTIFS('Change Log'!$F$5:$F$155,A8,'Change Log'!$Q$5:$Q$155,"Berhasil",'Change Log'!$B$5:$B$155,"&gt;="&amp;$B$3,'Change Log'!$B$5:$B$155,"&lt;="&amp;$B$4)</f>
        <v/>
      </c>
      <c r="D8" s="61">
        <f>COUNTIFS('Change Log'!$F$5:$F$155,A8,'Change Log'!$Q$5:$Q$155,"Rollback",'Change Log'!$B$5:$B$155,"&gt;="&amp;$B$3,'Change Log'!$B$5:$B$155,"&lt;="&amp;$B$4)</f>
        <v/>
      </c>
      <c r="E8" s="61">
        <f>COUNTIFS('Change Log'!$F$5:$F$155,A8,'Change Log'!$Q$5:$Q$155,"Gagal",'Change Log'!$B$5:$B$155,"&gt;="&amp;$B$3,'Change Log'!$B$5:$B$155,"&lt;="&amp;$B$4)</f>
        <v/>
      </c>
      <c r="F8" s="62">
        <f>IF(B8=0,"",1-D8/B8)</f>
        <v/>
      </c>
    </row>
    <row r="9" ht="16.5" customHeight="1" s="28">
      <c r="A9" s="61" t="inlineStr">
        <is>
          <t>Major</t>
        </is>
      </c>
      <c r="B9" s="61">
        <f>COUNTIFS('Change Log'!$F$5:$F$155,A9,'Change Log'!$B$5:$B$155,"&gt;="&amp;$B$3,'Change Log'!$B$5:$B$155,"&lt;="&amp;$B$4)</f>
        <v/>
      </c>
      <c r="C9" s="61">
        <f>COUNTIFS('Change Log'!$F$5:$F$155,A9,'Change Log'!$Q$5:$Q$155,"Berhasil",'Change Log'!$B$5:$B$155,"&gt;="&amp;$B$3,'Change Log'!$B$5:$B$155,"&lt;="&amp;$B$4)</f>
        <v/>
      </c>
      <c r="D9" s="61">
        <f>COUNTIFS('Change Log'!$F$5:$F$155,A9,'Change Log'!$Q$5:$Q$155,"Rollback",'Change Log'!$B$5:$B$155,"&gt;="&amp;$B$3,'Change Log'!$B$5:$B$155,"&lt;="&amp;$B$4)</f>
        <v/>
      </c>
      <c r="E9" s="61">
        <f>COUNTIFS('Change Log'!$F$5:$F$155,A9,'Change Log'!$Q$5:$Q$155,"Gagal",'Change Log'!$B$5:$B$155,"&gt;="&amp;$B$3,'Change Log'!$B$5:$B$155,"&lt;="&amp;$B$4)</f>
        <v/>
      </c>
      <c r="F9" s="62">
        <f>IF(B9=0,"",1-D9/B9)</f>
        <v/>
      </c>
    </row>
    <row r="10" ht="16.5" customHeight="1" s="28">
      <c r="A10" s="61" t="inlineStr">
        <is>
          <t>Emergency</t>
        </is>
      </c>
      <c r="B10" s="61">
        <f>COUNTIFS('Change Log'!$F$5:$F$155,A10,'Change Log'!$B$5:$B$155,"&gt;="&amp;$B$3,'Change Log'!$B$5:$B$155,"&lt;="&amp;$B$4)</f>
        <v/>
      </c>
      <c r="C10" s="61">
        <f>COUNTIFS('Change Log'!$F$5:$F$155,A10,'Change Log'!$Q$5:$Q$155,"Berhasil",'Change Log'!$B$5:$B$155,"&gt;="&amp;$B$3,'Change Log'!$B$5:$B$155,"&lt;="&amp;$B$4)</f>
        <v/>
      </c>
      <c r="D10" s="61">
        <f>COUNTIFS('Change Log'!$F$5:$F$155,A10,'Change Log'!$Q$5:$Q$155,"Rollback",'Change Log'!$B$5:$B$155,"&gt;="&amp;$B$3,'Change Log'!$B$5:$B$155,"&lt;="&amp;$B$4)</f>
        <v/>
      </c>
      <c r="E10" s="61">
        <f>COUNTIFS('Change Log'!$F$5:$F$155,A10,'Change Log'!$Q$5:$Q$155,"Gagal",'Change Log'!$B$5:$B$155,"&gt;="&amp;$B$3,'Change Log'!$B$5:$B$155,"&lt;="&amp;$B$4)</f>
        <v/>
      </c>
      <c r="F10" s="62">
        <f>IF(B10=0,"",1-D10/B10)</f>
        <v/>
      </c>
    </row>
    <row r="11" ht="16.5" customHeight="1" s="28">
      <c r="A11" s="61" t="inlineStr">
        <is>
          <t>Proyek</t>
        </is>
      </c>
      <c r="B11" s="61">
        <f>COUNTIFS('Change Log'!$F$5:$F$155,A11,'Change Log'!$B$5:$B$155,"&gt;="&amp;$B$3,'Change Log'!$B$5:$B$155,"&lt;="&amp;$B$4)</f>
        <v/>
      </c>
      <c r="C11" s="61">
        <f>COUNTIFS('Change Log'!$F$5:$F$155,A11,'Change Log'!$Q$5:$Q$155,"Berhasil",'Change Log'!$B$5:$B$155,"&gt;="&amp;$B$3,'Change Log'!$B$5:$B$155,"&lt;="&amp;$B$4)</f>
        <v/>
      </c>
      <c r="D11" s="61">
        <f>COUNTIFS('Change Log'!$F$5:$F$155,A11,'Change Log'!$Q$5:$Q$155,"Rollback",'Change Log'!$B$5:$B$155,"&gt;="&amp;$B$3,'Change Log'!$B$5:$B$155,"&lt;="&amp;$B$4)</f>
        <v/>
      </c>
      <c r="E11" s="61">
        <f>COUNTIFS('Change Log'!$F$5:$F$155,A11,'Change Log'!$Q$5:$Q$155,"Gagal",'Change Log'!$B$5:$B$155,"&gt;="&amp;$B$3,'Change Log'!$B$5:$B$155,"&lt;="&amp;$B$4)</f>
        <v/>
      </c>
      <c r="F11" s="62">
        <f>IF(B11=0,"",1-D11/B11)</f>
        <v/>
      </c>
    </row>
    <row r="12" ht="16.5" customHeight="1" s="28">
      <c r="A12" s="63" t="inlineStr">
        <is>
          <t>Total</t>
        </is>
      </c>
      <c r="B12" s="63">
        <f>SUM(B7:B11)</f>
        <v/>
      </c>
      <c r="C12" s="63">
        <f>SUM(C7:C11)</f>
        <v/>
      </c>
      <c r="D12" s="63">
        <f>SUM(D7:D11)</f>
        <v/>
      </c>
      <c r="E12" s="63">
        <f>SUM(E7:E11)</f>
        <v/>
      </c>
      <c r="F12" s="64">
        <f>IF(B12=0,"",1-D12/B12)</f>
        <v/>
      </c>
    </row>
    <row r="13" ht="30" customHeight="1" s="28">
      <c r="A13" s="61" t="inlineStr">
        <is>
          <t>CR dieksekusi tanpa go-gate lengkap (status CEK)</t>
        </is>
      </c>
      <c r="B13" s="61">
        <f>COUNTIFS('Change Log'!$S$5:$S$155,"CEK",'Change Log'!$B$5:$B$155,"&gt;="&amp;$B$3,'Change Log'!$B$5:$B$155,"&lt;="&amp;$B$4)</f>
        <v/>
      </c>
      <c r="C13" s="61" t="n"/>
      <c r="D13" s="61" t="n"/>
      <c r="E13" s="61" t="n"/>
      <c r="F13" s="6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2026-10-13T06:09:05Z</dcterms:created>
  <dcterms:modified xmlns:dcterms="http://purl.org/dc/terms/" xmlns:xsi="http://www.w3.org/2001/XMLSchema-instance" xsi:type="dcterms:W3CDTF">2026-10-15T12:44:01Z</dcterms:modified>
  <cp:revision>0</cp:revision>
</cp:coreProperties>
</file>