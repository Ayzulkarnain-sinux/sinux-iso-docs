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Kontrol Dokumen" sheetId="1" state="visible" r:id="rId1"/>
    <sheet xmlns:r="http://schemas.openxmlformats.org/officeDocument/2006/relationships" name="Alur Proses" sheetId="2" state="visible" r:id="rId2"/>
    <sheet xmlns:r="http://schemas.openxmlformats.org/officeDocument/2006/relationships" name="Target Severity" sheetId="3" state="visible" r:id="rId3"/>
    <sheet xmlns:r="http://schemas.openxmlformats.org/officeDocument/2006/relationships" name="Daftar" sheetId="4" state="visible" r:id="rId4"/>
    <sheet xmlns:r="http://schemas.openxmlformats.org/officeDocument/2006/relationships" name="Register" sheetId="5" state="visible" r:id="rId5"/>
    <sheet xmlns:r="http://schemas.openxmlformats.org/officeDocument/2006/relationships" name="Ringkasan" sheetId="6" state="visible" r:id="rId6"/>
  </sheets>
  <definedNames>
    <definedName name="_xlnm.Print_Titles" localSheetId="2">'Target Severity'!$4:$4</definedName>
    <definedName name="_xlnm.Print_Titles" localSheetId="3">'Daftar'!$1:$1</definedName>
    <definedName name="_xlnm._FilterDatabase" localSheetId="4" hidden="1">'Register'!$A$4:$W$305</definedName>
    <definedName name="_xlnm.Print_Titles" localSheetId="4">'Register'!$4:$4</definedName>
    <definedName name="_xlnm.Print_Titles" localSheetId="5">'Ringkasan'!$6:$6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dd\-mmm\-yyyy\ hh:mm"/>
    <numFmt numFmtId="165" formatCode="dd\-mmm\-yyyy"/>
    <numFmt numFmtId="166" formatCode="0.0%"/>
  </numFmts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A5F"/>
      <sz val="15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1F3A5F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1F3A5F"/>
      <sz val="13"/>
    </font>
    <font>
      <name val="Arial"/>
      <charset val="1"/>
      <family val="0"/>
      <i val="1"/>
      <sz val="9"/>
    </font>
  </fonts>
  <fills count="6">
    <fill>
      <patternFill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E7EEF7"/>
        <bgColor rgb="FFF2F2F2"/>
      </patternFill>
    </fill>
    <fill>
      <patternFill patternType="solid">
        <fgColor rgb="FFF2F2F2"/>
        <bgColor rgb="FFE7EEF7"/>
      </patternFill>
    </fill>
    <fill>
      <patternFill patternType="solid">
        <fgColor rgb="FF1F3A5F"/>
        <bgColor rgb="FF333333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0" fillId="2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9" fillId="5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9" fillId="5" borderId="1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bottom"/>
    </xf>
    <xf numFmtId="0" fontId="7" fillId="3" borderId="1" applyAlignment="1" pivotButton="0" quotePrefix="0" xfId="0">
      <alignment horizontal="general" vertical="top" wrapText="1"/>
    </xf>
    <xf numFmtId="164" fontId="7" fillId="3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general" vertical="top" wrapText="1"/>
    </xf>
    <xf numFmtId="164" fontId="7" fillId="2" borderId="1" applyAlignment="1" pivotButton="0" quotePrefix="0" xfId="0">
      <alignment horizontal="general" vertical="top" wrapText="1"/>
    </xf>
    <xf numFmtId="165" fontId="0" fillId="2" borderId="0" applyAlignment="1" pivotButton="0" quotePrefix="0" xfId="0">
      <alignment horizontal="general" vertical="bottom"/>
    </xf>
    <xf numFmtId="166" fontId="7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66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0" fillId="2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9" fillId="5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9" fillId="5" borderId="1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top" wrapText="1"/>
    </xf>
    <xf numFmtId="164" fontId="7" fillId="2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165" fontId="0" fillId="2" borderId="0" applyAlignment="1" pivotButton="0" quotePrefix="0" xfId="0">
      <alignment horizontal="general" vertical="bottom"/>
    </xf>
    <xf numFmtId="166" fontId="7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66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vertical="top" wrapText="1"/>
    </xf>
    <xf numFmtId="0" fontId="6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0" fillId="2" borderId="1" applyAlignment="1" pivotButton="0" quotePrefix="0" xfId="0">
      <alignment horizontal="general" vertical="top" wrapText="1"/>
    </xf>
    <xf numFmtId="0" fontId="0" fillId="3" borderId="1" applyAlignment="1" pivotButton="0" quotePrefix="0" xfId="0">
      <alignment horizontal="general" vertical="top" wrapText="1"/>
    </xf>
    <xf numFmtId="0" fontId="0" fillId="4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bottom" wrapText="1"/>
    </xf>
    <xf numFmtId="0" fontId="7" fillId="2" borderId="1" applyAlignment="1" pivotButton="0" quotePrefix="0" xfId="0">
      <alignment horizontal="general" vertical="bottom" wrapText="1"/>
    </xf>
    <xf numFmtId="0" fontId="9" fillId="5" borderId="0" applyAlignment="1" pivotButton="0" quotePrefix="0" xfId="0">
      <alignment horizontal="general" vertical="bottom" wrapText="1"/>
    </xf>
    <xf numFmtId="0" fontId="7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wrapText="1"/>
    </xf>
    <xf numFmtId="166" fontId="7" fillId="0" borderId="1" applyAlignment="1" pivotButton="0" quotePrefix="0" xfId="0">
      <alignment horizontal="general" vertical="bottom" wrapText="1"/>
    </xf>
    <xf numFmtId="0" fontId="6" fillId="0" borderId="0" applyAlignment="1" pivotButton="0" quotePrefix="0" xfId="0">
      <alignment horizontal="general" vertical="bottom" wrapText="1"/>
    </xf>
    <xf numFmtId="166" fontId="6" fillId="0" borderId="0" applyAlignment="1" pivotButton="0" quotePrefix="0" xfId="0">
      <alignment horizontal="general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9">
    <dxf>
      <fill>
        <patternFill patternType="solid">
          <fgColor rgb="FF1F3A5F"/>
          <bgColor rgb="FF000000"/>
        </patternFill>
      </fill>
    </dxf>
    <dxf>
      <fill>
        <patternFill patternType="solid">
          <fgColor rgb="FFE7EEF7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7EE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2</row>
      <rowOff>176040</rowOff>
    </from>
    <to>
      <col>9</col>
      <colOff>591840</colOff>
      <row>25</row>
      <rowOff>70920</rowOff>
    </to>
    <pic>
      <nvPicPr>
        <cNvPr id="0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571680"/>
          <a:ext cx="6095520" cy="427644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E37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4" customWidth="1" style="27" min="1" max="1"/>
    <col width="70" customWidth="1" style="27" min="2" max="2"/>
    <col width="30" customWidth="1" style="27" min="3" max="3"/>
    <col width="22" customWidth="1" style="27" min="4" max="4"/>
    <col width="14" customWidth="1" style="27" min="5" max="5"/>
  </cols>
  <sheetData>
    <row r="1" ht="18.55" customHeight="1" s="28">
      <c r="A1" s="29" t="inlineStr">
        <is>
          <t>Technical Ticket / Incident Register</t>
        </is>
      </c>
    </row>
    <row r="2" ht="15" customHeight="1" s="28">
      <c r="A2" s="30" t="inlineStr">
        <is>
          <t>PT Strategi Integrasi Nusantara (SINUX) · Divisi Operation</t>
        </is>
      </c>
    </row>
    <row r="3" s="28">
      <c r="A3" s="53" t="n"/>
      <c r="B3" s="53" t="n"/>
      <c r="C3" s="53" t="n"/>
      <c r="D3" s="53" t="n"/>
      <c r="E3" s="53" t="n"/>
    </row>
    <row r="4" ht="16.5" customHeight="1" s="28">
      <c r="A4" s="54" t="inlineStr">
        <is>
          <t>Nomor dokumen</t>
        </is>
      </c>
      <c r="B4" s="32" t="inlineStr">
        <is>
          <t>SNX-OPS-FRM-08</t>
        </is>
      </c>
      <c r="C4" s="53" t="n"/>
      <c r="D4" s="53" t="n"/>
      <c r="E4" s="53" t="n"/>
    </row>
    <row r="5" ht="16.5" customHeight="1" s="28">
      <c r="A5" s="54" t="inlineStr">
        <is>
          <t>Judul</t>
        </is>
      </c>
      <c r="B5" s="32" t="inlineStr">
        <is>
          <t>Technical Ticket / Incident Register</t>
        </is>
      </c>
      <c r="C5" s="53" t="n"/>
      <c r="D5" s="53" t="n"/>
      <c r="E5" s="53" t="n"/>
    </row>
    <row r="6" ht="16.5" customHeight="1" s="28">
      <c r="A6" s="54" t="inlineStr">
        <is>
          <t>Revisi</t>
        </is>
      </c>
      <c r="B6" s="32" t="inlineStr">
        <is>
          <t>00 (Draft)</t>
        </is>
      </c>
      <c r="C6" s="53" t="n"/>
      <c r="D6" s="53" t="n"/>
      <c r="E6" s="53" t="n"/>
    </row>
    <row r="7" ht="16.5" customHeight="1" s="28">
      <c r="A7" s="54" t="inlineStr">
        <is>
          <t>Tanggal draft</t>
        </is>
      </c>
      <c r="B7" s="32" t="inlineStr">
        <is>
          <t>13 Oktober 2026</t>
        </is>
      </c>
      <c r="C7" s="53" t="n"/>
      <c r="D7" s="53" t="n"/>
      <c r="E7" s="53" t="n"/>
    </row>
    <row r="8" ht="16.5" customHeight="1" s="28">
      <c r="A8" s="54" t="inlineStr">
        <is>
          <t>Tanggal efektif</t>
        </is>
      </c>
      <c r="B8" s="32" t="inlineStr">
        <is>
          <t>Ditetapkan saat pengesahan</t>
        </is>
      </c>
      <c r="C8" s="53" t="n"/>
      <c r="D8" s="53" t="n"/>
      <c r="E8" s="53" t="n"/>
    </row>
    <row r="9" ht="16.5" customHeight="1" s="28">
      <c r="A9" s="54" t="inlineStr">
        <is>
          <t>Klasifikasi</t>
        </is>
      </c>
      <c r="B9" s="32" t="inlineStr">
        <is>
          <t>RESTRICTED (Internal)</t>
        </is>
      </c>
      <c r="C9" s="53" t="n"/>
      <c r="D9" s="53" t="n"/>
      <c r="E9" s="53" t="n"/>
    </row>
    <row r="10" ht="16.5" customHeight="1" s="28">
      <c r="A10" s="54" t="inlineStr">
        <is>
          <t>Pemilik dokumen</t>
        </is>
      </c>
      <c r="B10" s="32" t="inlineStr">
        <is>
          <t>Lead NOC</t>
        </is>
      </c>
      <c r="C10" s="53" t="n"/>
      <c r="D10" s="53" t="n"/>
      <c r="E10" s="53" t="n"/>
    </row>
    <row r="11" ht="16.5" customHeight="1" s="28">
      <c r="A11" s="54" t="inlineStr">
        <is>
          <t>Disetujui oleh</t>
        </is>
      </c>
      <c r="B11" s="32" t="inlineStr">
        <is>
          <t>Samuel Kristanto Utomo / President Director</t>
        </is>
      </c>
      <c r="C11" s="53" t="n"/>
      <c r="D11" s="53" t="n"/>
      <c r="E11" s="53" t="n"/>
    </row>
    <row r="12" ht="30" customHeight="1" s="28">
      <c r="A12" s="54" t="inlineStr">
        <is>
          <t>Acuan ISO 9001:2015</t>
        </is>
      </c>
      <c r="B12" s="32" t="inlineStr">
        <is>
          <t>Klausul 8.5.1, 8.7, 9.1.1</t>
        </is>
      </c>
      <c r="C12" s="53" t="n"/>
      <c r="D12" s="53" t="n"/>
      <c r="E12" s="53" t="n"/>
    </row>
    <row r="13" ht="30" customHeight="1" s="28">
      <c r="A13" s="54" t="inlineStr">
        <is>
          <t>Acuan ISO/IEC 27001:2022</t>
        </is>
      </c>
      <c r="B13" s="32" t="inlineStr">
        <is>
          <t>Kontrol Annex A 5.25, 5.26</t>
        </is>
      </c>
      <c r="C13" s="53" t="n"/>
      <c r="D13" s="53" t="n"/>
      <c r="E13" s="53" t="n"/>
    </row>
    <row r="14" ht="30" customHeight="1" s="28">
      <c r="A14" s="54" t="inlineStr">
        <is>
          <t>Masa simpan record</t>
        </is>
      </c>
      <c r="B14" s="32" t="inlineStr">
        <is>
          <t>3 tahun</t>
        </is>
      </c>
      <c r="C14" s="53" t="n"/>
      <c r="D14" s="53" t="n"/>
      <c r="E14" s="53" t="n"/>
    </row>
    <row r="15" ht="43.5" customHeight="1" s="28">
      <c r="A15" s="54" t="inlineStr">
        <is>
          <t>Tujuan</t>
        </is>
      </c>
      <c r="B15" s="32" t="inlineStr">
        <is>
          <t>Register semua ticket teknis dan insiden, berisi waktu Ack dan pemulihan, status SLA, serta tautan RCA, sesuai SNX-OPS-SOP-04.</t>
        </is>
      </c>
      <c r="C15" s="53" t="n"/>
      <c r="D15" s="53" t="n"/>
      <c r="E15" s="53" t="n"/>
    </row>
    <row r="16" s="28">
      <c r="A16" s="53" t="n"/>
      <c r="B16" s="53" t="n"/>
      <c r="C16" s="53" t="n"/>
      <c r="D16" s="53" t="n"/>
      <c r="E16" s="53" t="n"/>
    </row>
    <row r="17" ht="16.5" customHeight="1" s="28">
      <c r="A17" s="55" t="inlineStr">
        <is>
          <t>Cara pakai</t>
        </is>
      </c>
      <c r="B17" s="53" t="n"/>
      <c r="C17" s="53" t="n"/>
      <c r="D17" s="53" t="n"/>
      <c r="E17" s="53" t="n"/>
    </row>
    <row r="18" ht="70.5" customHeight="1" s="28">
      <c r="A18" s="35" t="inlineStr">
        <is>
          <t>1.</t>
        </is>
      </c>
      <c r="B18" s="35" t="inlineStr">
        <is>
          <t>Ticket Ops dibuat di Zammad (Nusagrid), sedangkan ticket generalist dibuat di Service Hub GLPI; pembagian ini masih menunggu keputusan owner (USULAN). Register ini adalah rekap audit. Ekspor dari ticketing system boleh ditempel di sheet Register dengan kolom yang sama.</t>
        </is>
      </c>
      <c r="C18" s="53" t="n"/>
      <c r="D18" s="53" t="n"/>
      <c r="E18" s="53" t="n"/>
    </row>
    <row r="19" ht="30" customHeight="1" s="28">
      <c r="A19" s="35" t="inlineStr">
        <is>
          <t>2.</t>
        </is>
      </c>
      <c r="B19" s="35" t="inlineStr">
        <is>
          <t>Isi Severity terlebih dahulu, lalu isi waktu dengan format tanggal dan jam (WIB).</t>
        </is>
      </c>
      <c r="C19" s="53" t="n"/>
      <c r="D19" s="53" t="n"/>
      <c r="E19" s="53" t="n"/>
    </row>
    <row r="20" ht="43.5" customHeight="1" s="28">
      <c r="A20" s="35" t="inlineStr">
        <is>
          <t>3.</t>
        </is>
      </c>
      <c r="B20" s="35" t="inlineStr">
        <is>
          <t>Respon (Dilaporkan sampai Ack), durasi pulih (Dilaporkan sampai Pulih), dan status SLA dihitung otomatis berdasarkan sheet Target Severity.</t>
        </is>
      </c>
      <c r="C20" s="53" t="n"/>
      <c r="D20" s="53" t="n"/>
      <c r="E20" s="53" t="n"/>
    </row>
    <row r="21" ht="30" customHeight="1" s="28">
      <c r="A21" s="35" t="inlineStr">
        <is>
          <t>4.</t>
        </is>
      </c>
      <c r="B21" s="35" t="inlineStr">
        <is>
          <t>Kolom RCA wajib otomatis bernilai Ya untuk P1 dan P2. Isi nomor RCA dari SNX-OPS-FRM-10.</t>
        </is>
      </c>
      <c r="C21" s="53" t="n"/>
      <c r="D21" s="53" t="n"/>
      <c r="E21" s="53" t="n"/>
    </row>
    <row r="22" s="28">
      <c r="A22" s="53" t="n"/>
      <c r="B22" s="53" t="n"/>
      <c r="C22" s="53" t="n"/>
      <c r="D22" s="53" t="n"/>
      <c r="E22" s="53" t="n"/>
    </row>
    <row r="23" ht="16.5" customHeight="1" s="28">
      <c r="A23" s="55" t="inlineStr">
        <is>
          <t>Legenda warna</t>
        </is>
      </c>
      <c r="B23" s="53" t="n"/>
      <c r="C23" s="53" t="n"/>
      <c r="D23" s="53" t="n"/>
      <c r="E23" s="53" t="n"/>
    </row>
    <row r="24" ht="16.5" customHeight="1" s="28">
      <c r="A24" s="56" t="n"/>
      <c r="B24" s="35" t="inlineStr">
        <is>
          <t>Sel input: diisi pengguna</t>
        </is>
      </c>
      <c r="C24" s="53" t="n"/>
      <c r="D24" s="53" t="n"/>
      <c r="E24" s="53" t="n"/>
    </row>
    <row r="25" ht="30" customHeight="1" s="28">
      <c r="A25" s="57" t="n"/>
      <c r="B25" s="35" t="inlineStr">
        <is>
          <t>Biru muda: warna baris contoh, sudah dikosongkan dan tidak dipakai</t>
        </is>
      </c>
      <c r="C25" s="53" t="n"/>
      <c r="D25" s="53" t="n"/>
      <c r="E25" s="53" t="n"/>
    </row>
    <row r="26" ht="16.5" customHeight="1" s="28">
      <c r="A26" s="58" t="n"/>
      <c r="B26" s="35" t="inlineStr">
        <is>
          <t>Sel rumus: jangan diubah</t>
        </is>
      </c>
      <c r="C26" s="53" t="n"/>
      <c r="D26" s="53" t="n"/>
      <c r="E26" s="53" t="n"/>
    </row>
    <row r="27" s="28">
      <c r="A27" s="53" t="n"/>
      <c r="B27" s="53" t="n"/>
      <c r="C27" s="53" t="n"/>
      <c r="D27" s="53" t="n"/>
      <c r="E27" s="53" t="n"/>
    </row>
    <row r="28" ht="16.5" customHeight="1" s="28">
      <c r="A28" s="55" t="inlineStr">
        <is>
          <t>Riwayat revisi</t>
        </is>
      </c>
      <c r="B28" s="53" t="n"/>
      <c r="C28" s="53" t="n"/>
      <c r="D28" s="53" t="n"/>
      <c r="E28" s="53" t="n"/>
    </row>
    <row r="29" ht="16.5" customHeight="1" s="28">
      <c r="A29" s="43" t="inlineStr">
        <is>
          <t>Revisi</t>
        </is>
      </c>
      <c r="B29" s="43" t="inlineStr">
        <is>
          <t>Tanggal</t>
        </is>
      </c>
      <c r="C29" s="43" t="inlineStr">
        <is>
          <t>Uraian perubahan</t>
        </is>
      </c>
      <c r="D29" s="43" t="inlineStr">
        <is>
          <t>Disusun</t>
        </is>
      </c>
      <c r="E29" s="43" t="inlineStr">
        <is>
          <t>Disetujui</t>
        </is>
      </c>
    </row>
    <row r="30" ht="30" customHeight="1" s="28">
      <c r="A30" s="32" t="inlineStr">
        <is>
          <t>00</t>
        </is>
      </c>
      <c r="B30" s="32" t="inlineStr">
        <is>
          <t>13 Oktober 2026</t>
        </is>
      </c>
      <c r="C30" s="32" t="inlineStr">
        <is>
          <t>Draft awal untuk review dan pengesahan</t>
        </is>
      </c>
      <c r="D30" s="32" t="inlineStr">
        <is>
          <t>Divisi Operation</t>
        </is>
      </c>
      <c r="E30" s="32" t="inlineStr">
        <is>
          <t>Menunggu</t>
        </is>
      </c>
    </row>
    <row r="31" ht="57.45" customHeight="1" s="28">
      <c r="A31" s="32" t="n"/>
      <c r="B31" s="32" t="n"/>
      <c r="C31" s="32" t="n"/>
      <c r="D31" s="32" t="n"/>
      <c r="E31" s="32" t="n"/>
    </row>
    <row r="32" s="28">
      <c r="A32" s="53" t="n"/>
      <c r="B32" s="53" t="n"/>
      <c r="C32" s="53" t="n"/>
      <c r="D32" s="53" t="n"/>
      <c r="E32" s="53" t="n"/>
    </row>
    <row r="33" ht="16.5" customHeight="1" s="28">
      <c r="A33" s="55" t="inlineStr">
        <is>
          <t>Pengesahan</t>
        </is>
      </c>
      <c r="B33" s="53" t="n"/>
      <c r="C33" s="53" t="n"/>
      <c r="D33" s="53" t="n"/>
      <c r="E33" s="53" t="n"/>
    </row>
    <row r="34" ht="16.5" customHeight="1" s="28">
      <c r="A34" s="43" t="inlineStr">
        <is>
          <t>Peran</t>
        </is>
      </c>
      <c r="B34" s="43" t="inlineStr">
        <is>
          <t>Nama dan jabatan</t>
        </is>
      </c>
      <c r="C34" s="43" t="inlineStr">
        <is>
          <t>Tanda tangan</t>
        </is>
      </c>
      <c r="D34" s="43" t="inlineStr">
        <is>
          <t>Tanggal</t>
        </is>
      </c>
      <c r="E34" s="53" t="n"/>
    </row>
    <row r="35" ht="27.75" customHeight="1" s="28">
      <c r="A35" s="32" t="inlineStr">
        <is>
          <t>Disusun oleh</t>
        </is>
      </c>
      <c r="B35" s="32" t="inlineStr">
        <is>
          <t>Erik Dwi Yanto / Technical/Operation Engineer L1</t>
        </is>
      </c>
      <c r="C35" s="32" t="n"/>
      <c r="D35" s="32" t="n"/>
      <c r="E35" s="53" t="n"/>
    </row>
    <row r="36" ht="27.75" customHeight="1" s="28">
      <c r="A36" s="32" t="inlineStr">
        <is>
          <t>Diperiksa oleh</t>
        </is>
      </c>
      <c r="B36" s="32" t="inlineStr">
        <is>
          <t>Fani Fatullah / VP Tech Operation and Services</t>
        </is>
      </c>
      <c r="C36" s="32" t="n"/>
      <c r="D36" s="32" t="n"/>
      <c r="E36" s="53" t="n"/>
    </row>
    <row r="37" ht="27.75" customHeight="1" s="28">
      <c r="A37" s="32" t="inlineStr">
        <is>
          <t>Disetujui oleh</t>
        </is>
      </c>
      <c r="B37" s="32" t="inlineStr">
        <is>
          <t>Samuel Kristanto Utomo / President Director</t>
        </is>
      </c>
      <c r="C37" s="32" t="n"/>
      <c r="D37" s="32" t="n"/>
      <c r="E37" s="53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A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sheetData>
    <row r="1" ht="16.15" customHeight="1" s="28">
      <c r="A1" s="41" t="inlineStr">
        <is>
          <t>Diagram alur proses</t>
        </is>
      </c>
    </row>
    <row r="2" ht="15" customHeight="1" s="28">
      <c r="A2" s="30" t="inlineStr">
        <is>
          <t>Kotak biru = output akhir · kotak oranye = cabang ke tindakan atau prosedur lain · garis putus-putus = kembali ke alur utama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0" fitToWidth="1" pageOrder="downThenOver" blackAndWhite="0" draft="0" horizontalDpi="300" verticalDpi="300" copies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D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ySplit="4" topLeftCell="A5" activePane="bottomLeft" state="frozen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27" min="1" max="1"/>
    <col width="14" customWidth="1" style="27" min="2" max="2"/>
    <col width="18" customWidth="1" style="27" min="3" max="3"/>
    <col width="26" customWidth="1" style="27" min="4" max="4"/>
  </cols>
  <sheetData>
    <row r="1" ht="16.15" customHeight="1" s="28">
      <c r="A1" s="41" t="inlineStr">
        <is>
          <t>Target respon dan pemulihan per severity</t>
        </is>
      </c>
    </row>
    <row r="2" ht="15" customHeight="1" s="28">
      <c r="A2" s="42" t="inlineStr">
        <is>
          <t>Target Ack dan update berasal dari SNX-OPS-SOP-04. Target pemulihan adalah USULAN internal, sedangkan komitmen ke pelanggan mengikuti kontrak. Untuk penyederhanaan, jam kerja dihitung sebagai jam kalender.</t>
        </is>
      </c>
    </row>
    <row r="4" ht="30" customHeight="1" s="28">
      <c r="A4" s="43" t="inlineStr">
        <is>
          <t>Severity</t>
        </is>
      </c>
      <c r="B4" s="43" t="inlineStr">
        <is>
          <t>Ack (menit)</t>
        </is>
      </c>
      <c r="C4" s="43" t="inlineStr">
        <is>
          <t>Update tiap (menit)</t>
        </is>
      </c>
      <c r="D4" s="43" t="inlineStr">
        <is>
          <t>Target pulih (jam), USULAN</t>
        </is>
      </c>
    </row>
    <row r="5" ht="16.5" customHeight="1" s="28">
      <c r="A5" s="59" t="inlineStr">
        <is>
          <t>P1</t>
        </is>
      </c>
      <c r="B5" s="60" t="n">
        <v>15</v>
      </c>
      <c r="C5" s="60" t="n">
        <v>60</v>
      </c>
      <c r="D5" s="60" t="n">
        <v>4</v>
      </c>
    </row>
    <row r="6" ht="16.5" customHeight="1" s="28">
      <c r="A6" s="59" t="inlineStr">
        <is>
          <t>P2</t>
        </is>
      </c>
      <c r="B6" s="60" t="n">
        <v>30</v>
      </c>
      <c r="C6" s="60" t="n">
        <v>180</v>
      </c>
      <c r="D6" s="60" t="n">
        <v>8</v>
      </c>
    </row>
    <row r="7" ht="16.5" customHeight="1" s="28">
      <c r="A7" s="59" t="inlineStr">
        <is>
          <t>P3</t>
        </is>
      </c>
      <c r="B7" s="60" t="n">
        <v>120</v>
      </c>
      <c r="C7" s="60" t="n">
        <v>1440</v>
      </c>
      <c r="D7" s="60" t="n">
        <v>24</v>
      </c>
    </row>
    <row r="8" ht="16.5" customHeight="1" s="28">
      <c r="A8" s="59" t="inlineStr">
        <is>
          <t>P4</t>
        </is>
      </c>
      <c r="B8" s="60" t="n">
        <v>1440</v>
      </c>
      <c r="C8" s="60" t="inlineStr">
        <is>
          <t>Saat selesai</t>
        </is>
      </c>
      <c r="D8" s="60" t="n">
        <v>72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E1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27" min="1" max="1"/>
    <col width="16" customWidth="1" style="27" min="2" max="2"/>
    <col width="22" customWidth="1" style="27" min="3" max="3"/>
    <col width="16" customWidth="1" style="27" min="4" max="4"/>
    <col width="20" customWidth="1" style="27" min="5" max="5"/>
  </cols>
  <sheetData>
    <row r="1" ht="30" customHeight="1" s="28">
      <c r="A1" s="61" t="inlineStr">
        <is>
          <t>Ticketing system</t>
        </is>
      </c>
      <c r="B1" s="61" t="inlineStr">
        <is>
          <t>Kanal</t>
        </is>
      </c>
      <c r="C1" s="61" t="inlineStr">
        <is>
          <t>Kelas</t>
        </is>
      </c>
      <c r="D1" s="61" t="inlineStr">
        <is>
          <t>Severity</t>
        </is>
      </c>
      <c r="E1" s="61" t="inlineStr">
        <is>
          <t>Status</t>
        </is>
      </c>
    </row>
    <row r="2" ht="30" customHeight="1" s="28">
      <c r="A2" s="62" t="inlineStr">
        <is>
          <t>Zammad</t>
        </is>
      </c>
      <c r="B2" s="62" t="inlineStr">
        <is>
          <t>WhatsApp</t>
        </is>
      </c>
      <c r="C2" s="62" t="inlineStr">
        <is>
          <t>Akses, firewall, VPN</t>
        </is>
      </c>
      <c r="D2" s="62" t="inlineStr">
        <is>
          <t>P1</t>
        </is>
      </c>
      <c r="E2" s="62" t="inlineStr">
        <is>
          <t>Terbuka</t>
        </is>
      </c>
    </row>
    <row r="3" ht="30" customHeight="1" s="28">
      <c r="A3" s="62" t="inlineStr">
        <is>
          <t>Service Hub GLPI</t>
        </is>
      </c>
      <c r="B3" s="62" t="inlineStr">
        <is>
          <t>Telepon</t>
        </is>
      </c>
      <c r="C3" s="62" t="inlineStr">
        <is>
          <t>VM lifecycle</t>
        </is>
      </c>
      <c r="D3" s="62" t="inlineStr">
        <is>
          <t>P2</t>
        </is>
      </c>
      <c r="E3" s="62" t="inlineStr">
        <is>
          <t>Ditangani</t>
        </is>
      </c>
    </row>
    <row r="4" ht="30" customHeight="1" s="28">
      <c r="A4" s="63" t="n"/>
      <c r="B4" s="62" t="inlineStr">
        <is>
          <t>Email</t>
        </is>
      </c>
      <c r="C4" s="62" t="inlineStr">
        <is>
          <t>Down atau performa</t>
        </is>
      </c>
      <c r="D4" s="62" t="inlineStr">
        <is>
          <t>P3</t>
        </is>
      </c>
      <c r="E4" s="62" t="inlineStr">
        <is>
          <t>Menunggu pelanggan</t>
        </is>
      </c>
    </row>
    <row r="5" ht="16.5" customHeight="1" s="28">
      <c r="A5" s="63" t="n"/>
      <c r="B5" s="62" t="inlineStr">
        <is>
          <t>Monitoring</t>
        </is>
      </c>
      <c r="C5" s="62" t="inlineStr">
        <is>
          <t>OTP atau email</t>
        </is>
      </c>
      <c r="D5" s="62" t="inlineStr">
        <is>
          <t>P4</t>
        </is>
      </c>
      <c r="E5" s="62" t="inlineStr">
        <is>
          <t>Pulih</t>
        </is>
      </c>
    </row>
    <row r="6" ht="30" customHeight="1" s="28">
      <c r="A6" s="63" t="n"/>
      <c r="B6" s="62" t="inlineStr">
        <is>
          <t>Portal</t>
        </is>
      </c>
      <c r="C6" s="62" t="inlineStr">
        <is>
          <t>Backup atau snapshot</t>
        </is>
      </c>
      <c r="D6" s="63" t="n"/>
      <c r="E6" s="62" t="inlineStr">
        <is>
          <t>Ditutup</t>
        </is>
      </c>
    </row>
    <row r="7" ht="16.5" customHeight="1" s="28">
      <c r="A7" s="63" t="n"/>
      <c r="B7" s="62" t="inlineStr">
        <is>
          <t>Internal</t>
        </is>
      </c>
      <c r="C7" s="62" t="inlineStr">
        <is>
          <t>SSL atau DNS</t>
        </is>
      </c>
      <c r="D7" s="63" t="n"/>
      <c r="E7" s="63" t="n"/>
    </row>
    <row r="8" ht="16.5" customHeight="1" s="28">
      <c r="A8" s="63" t="n"/>
      <c r="B8" s="63" t="n"/>
      <c r="C8" s="62" t="inlineStr">
        <is>
          <t>DC atau colo</t>
        </is>
      </c>
      <c r="D8" s="63" t="n"/>
      <c r="E8" s="63" t="n"/>
    </row>
    <row r="9" ht="16.5" customHeight="1" s="28">
      <c r="A9" s="63" t="n"/>
      <c r="B9" s="63" t="n"/>
      <c r="C9" s="62" t="inlineStr">
        <is>
          <t>Billing</t>
        </is>
      </c>
      <c r="D9" s="63" t="n"/>
      <c r="E9" s="63" t="n"/>
    </row>
    <row r="10" ht="16.5" customHeight="1" s="28">
      <c r="A10" s="63" t="n"/>
      <c r="B10" s="63" t="n"/>
      <c r="C10" s="62" t="inlineStr">
        <is>
          <t>Keamanan (ke SOC)</t>
        </is>
      </c>
      <c r="D10" s="63" t="n"/>
      <c r="E10" s="63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W30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Right"/>
      <selection pane="bottomLeft"/>
      <selection pane="bottomRigh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14" customWidth="1" style="27" min="1" max="1"/>
    <col width="14" customWidth="1" style="27" min="2" max="2"/>
    <col width="16" customWidth="1" style="27" min="3" max="3"/>
    <col width="14" customWidth="1" style="27" min="4" max="4"/>
    <col width="11" customWidth="1" style="27" min="5" max="5"/>
    <col width="18" customWidth="1" style="27" min="6" max="6"/>
    <col width="12" customWidth="1" style="27" min="7" max="7"/>
    <col width="30" customWidth="1" style="27" min="8" max="8"/>
    <col width="15" customWidth="1" style="27" min="9" max="12"/>
    <col width="13" customWidth="1" style="28" min="10" max="10"/>
    <col width="13" customWidth="1" style="28" min="11" max="11"/>
    <col width="13" customWidth="1" style="28" min="12" max="12"/>
    <col width="14" customWidth="1" style="27" min="13" max="13"/>
    <col width="18" customWidth="1" style="27" min="14" max="14"/>
    <col width="26" customWidth="1" style="27" min="15" max="15"/>
    <col width="8" customWidth="1" style="27" min="16" max="16"/>
    <col width="12" customWidth="1" style="27" min="17" max="17"/>
    <col width="13" customWidth="1" style="27" min="18" max="18"/>
    <col width="11" customWidth="1" style="27" min="19" max="22"/>
    <col width="13" customWidth="1" style="28" min="20" max="20"/>
    <col width="13" customWidth="1" style="28" min="21" max="21"/>
    <col width="13" customWidth="1" style="28" min="22" max="22"/>
    <col width="18" customWidth="1" style="27" min="23" max="23"/>
  </cols>
  <sheetData>
    <row r="1" ht="16.15" customHeight="1" s="28">
      <c r="A1" s="41" t="inlineStr">
        <is>
          <t>Technical ticket and incident register</t>
        </is>
      </c>
    </row>
    <row r="2" ht="15" customHeight="1" s="28">
      <c r="A2" s="30" t="inlineStr">
        <is>
          <t>Kolom abu-abu terisi otomatis. Ticket kelas Keamanan diserahkan ke SOC, dan insidennya dicatat di SNX-ISMS-FRM-02. Ticket tanpa waktu Ack atau Pulih belum dihitung dalam persentase di sheet Ringkasan.</t>
        </is>
      </c>
    </row>
    <row r="4" ht="43.5" customHeight="1" s="28">
      <c r="A4" s="43" t="inlineStr">
        <is>
          <t>No tiket</t>
        </is>
      </c>
      <c r="B4" s="43" t="inlineStr">
        <is>
          <t>Ticketing system</t>
        </is>
      </c>
      <c r="C4" s="43" t="inlineStr">
        <is>
          <t>Pelanggan</t>
        </is>
      </c>
      <c r="D4" s="43" t="inlineStr">
        <is>
          <t>Layanan</t>
        </is>
      </c>
      <c r="E4" s="43" t="inlineStr">
        <is>
          <t>Kanal</t>
        </is>
      </c>
      <c r="F4" s="43" t="inlineStr">
        <is>
          <t>Kelas triage</t>
        </is>
      </c>
      <c r="G4" s="43" t="inlineStr">
        <is>
          <t>Severity</t>
        </is>
      </c>
      <c r="H4" s="43" t="inlineStr">
        <is>
          <t>Uraian</t>
        </is>
      </c>
      <c r="I4" s="43" t="inlineStr">
        <is>
          <t>Dilaporkan</t>
        </is>
      </c>
      <c r="J4" s="43" t="inlineStr">
        <is>
          <t>Ack</t>
        </is>
      </c>
      <c r="K4" s="43" t="inlineStr">
        <is>
          <t>Pulih</t>
        </is>
      </c>
      <c r="L4" s="43" t="inlineStr">
        <is>
          <t>Ditutup</t>
        </is>
      </c>
      <c r="M4" s="43" t="inlineStr">
        <is>
          <t>PIC</t>
        </is>
      </c>
      <c r="N4" s="43" t="inlineStr">
        <is>
          <t>Eskalasi ke</t>
        </is>
      </c>
      <c r="O4" s="43" t="inlineStr">
        <is>
          <t>Akar ringkas</t>
        </is>
      </c>
      <c r="P4" s="43" t="inlineStr">
        <is>
          <t>RCA wajib</t>
        </is>
      </c>
      <c r="Q4" s="43" t="inlineStr">
        <is>
          <t>No RCA</t>
        </is>
      </c>
      <c r="R4" s="43" t="inlineStr">
        <is>
          <t>Status</t>
        </is>
      </c>
      <c r="S4" s="43" t="inlineStr">
        <is>
          <t>Respon (menit)</t>
        </is>
      </c>
      <c r="T4" s="43" t="inlineStr">
        <is>
          <t>Durasi pulih (jam)</t>
        </is>
      </c>
      <c r="U4" s="43" t="inlineStr">
        <is>
          <t>Ack sesuai target</t>
        </is>
      </c>
      <c r="V4" s="43" t="inlineStr">
        <is>
          <t>Pulih sesuai target</t>
        </is>
      </c>
      <c r="W4" s="43" t="inlineStr">
        <is>
          <t>Catatan</t>
        </is>
      </c>
    </row>
    <row r="5" ht="23.85" customHeight="1" s="28">
      <c r="A5" s="46" t="n"/>
      <c r="B5" s="46" t="n"/>
      <c r="C5" s="46" t="n"/>
      <c r="D5" s="46" t="n"/>
      <c r="E5" s="46" t="n"/>
      <c r="F5" s="46" t="n"/>
      <c r="G5" s="46" t="n"/>
      <c r="H5" s="46" t="n"/>
      <c r="I5" s="47" t="n"/>
      <c r="J5" s="47" t="n"/>
      <c r="K5" s="47" t="n"/>
      <c r="L5" s="47" t="n"/>
      <c r="M5" s="46" t="n"/>
      <c r="N5" s="46" t="n"/>
      <c r="O5" s="46" t="n"/>
      <c r="P5" s="48">
        <f>IF(G5="","",IF(OR(G5="P1",G5="P2"),"Ya","Tidak"))</f>
        <v/>
      </c>
      <c r="Q5" s="46" t="n"/>
      <c r="R5" s="46" t="n"/>
      <c r="S5" s="48">
        <f>IF(OR(I5="",J5=""),"",ROUND((J5-I5)*1440,0))</f>
        <v/>
      </c>
      <c r="T5" s="48">
        <f>IF(OR(I5="",K5=""),"",ROUND((K5-I5)*24,1))</f>
        <v/>
      </c>
      <c r="U5" s="48">
        <f>IF(S5="","",IF(S5&lt;=INDEX('Target Severity'!$B$5:$B$8,MATCH(G5,'Target Severity'!$A$5:$A$8,0)),"Ya","Tidak"))</f>
        <v/>
      </c>
      <c r="V5" s="48">
        <f>IF(T5="","",IF(T5&lt;=INDEX('Target Severity'!$D$5:$D$8,MATCH(G5,'Target Severity'!$A$5:$A$8,0)),"Ya","Tidak"))</f>
        <v/>
      </c>
      <c r="W5" s="46" t="n"/>
    </row>
    <row r="6" ht="15" customHeight="1" s="28">
      <c r="A6" s="46" t="n"/>
      <c r="B6" s="46" t="n"/>
      <c r="C6" s="46" t="n"/>
      <c r="D6" s="46" t="n"/>
      <c r="E6" s="46" t="n"/>
      <c r="F6" s="46" t="n"/>
      <c r="G6" s="46" t="n"/>
      <c r="H6" s="46" t="n"/>
      <c r="I6" s="47" t="n"/>
      <c r="J6" s="47" t="n"/>
      <c r="K6" s="47" t="n"/>
      <c r="L6" s="47" t="n"/>
      <c r="M6" s="46" t="n"/>
      <c r="N6" s="46" t="n"/>
      <c r="O6" s="46" t="n"/>
      <c r="P6" s="48">
        <f>IF(G6="","",IF(OR(G6="P1",G6="P2"),"Ya","Tidak"))</f>
        <v/>
      </c>
      <c r="Q6" s="46" t="n"/>
      <c r="R6" s="46" t="n"/>
      <c r="S6" s="48">
        <f>IF(OR(I6="",J6=""),"",ROUND((J6-I6)*1440,0))</f>
        <v/>
      </c>
      <c r="T6" s="48">
        <f>IF(OR(I6="",K6=""),"",ROUND((K6-I6)*24,1))</f>
        <v/>
      </c>
      <c r="U6" s="48">
        <f>IF(S6="","",IF(S6&lt;=INDEX('Target Severity'!$B$5:$B$8,MATCH(G6,'Target Severity'!$A$5:$A$8,0)),"Ya","Tidak"))</f>
        <v/>
      </c>
      <c r="V6" s="48">
        <f>IF(T6="","",IF(T6&lt;=INDEX('Target Severity'!$D$5:$D$8,MATCH(G6,'Target Severity'!$A$5:$A$8,0)),"Ya","Tidak"))</f>
        <v/>
      </c>
      <c r="W6" s="46" t="n"/>
    </row>
    <row r="7" ht="15" customHeight="1" s="28">
      <c r="A7" s="46" t="n"/>
      <c r="B7" s="46" t="n"/>
      <c r="C7" s="46" t="n"/>
      <c r="D7" s="46" t="n"/>
      <c r="E7" s="46" t="n"/>
      <c r="F7" s="46" t="n"/>
      <c r="G7" s="46" t="n"/>
      <c r="H7" s="46" t="n"/>
      <c r="I7" s="47" t="n"/>
      <c r="J7" s="47" t="n"/>
      <c r="K7" s="47" t="n"/>
      <c r="L7" s="47" t="n"/>
      <c r="M7" s="46" t="n"/>
      <c r="N7" s="46" t="n"/>
      <c r="O7" s="46" t="n"/>
      <c r="P7" s="48">
        <f>IF(G7="","",IF(OR(G7="P1",G7="P2"),"Ya","Tidak"))</f>
        <v/>
      </c>
      <c r="Q7" s="46" t="n"/>
      <c r="R7" s="46" t="n"/>
      <c r="S7" s="48">
        <f>IF(OR(I7="",J7=""),"",ROUND((J7-I7)*1440,0))</f>
        <v/>
      </c>
      <c r="T7" s="48">
        <f>IF(OR(I7="",K7=""),"",ROUND((K7-I7)*24,1))</f>
        <v/>
      </c>
      <c r="U7" s="48">
        <f>IF(S7="","",IF(S7&lt;=INDEX('Target Severity'!$B$5:$B$8,MATCH(G7,'Target Severity'!$A$5:$A$8,0)),"Ya","Tidak"))</f>
        <v/>
      </c>
      <c r="V7" s="48">
        <f>IF(T7="","",IF(T7&lt;=INDEX('Target Severity'!$D$5:$D$8,MATCH(G7,'Target Severity'!$A$5:$A$8,0)),"Ya","Tidak"))</f>
        <v/>
      </c>
      <c r="W7" s="46" t="n"/>
    </row>
    <row r="8" ht="15" customHeight="1" s="28">
      <c r="A8" s="46" t="n"/>
      <c r="B8" s="46" t="n"/>
      <c r="C8" s="46" t="n"/>
      <c r="D8" s="46" t="n"/>
      <c r="E8" s="46" t="n"/>
      <c r="F8" s="46" t="n"/>
      <c r="G8" s="46" t="n"/>
      <c r="H8" s="46" t="n"/>
      <c r="I8" s="47" t="n"/>
      <c r="J8" s="47" t="n"/>
      <c r="K8" s="47" t="n"/>
      <c r="L8" s="47" t="n"/>
      <c r="M8" s="46" t="n"/>
      <c r="N8" s="46" t="n"/>
      <c r="O8" s="46" t="n"/>
      <c r="P8" s="48">
        <f>IF(G8="","",IF(OR(G8="P1",G8="P2"),"Ya","Tidak"))</f>
        <v/>
      </c>
      <c r="Q8" s="46" t="n"/>
      <c r="R8" s="46" t="n"/>
      <c r="S8" s="48">
        <f>IF(OR(I8="",J8=""),"",ROUND((J8-I8)*1440,0))</f>
        <v/>
      </c>
      <c r="T8" s="48">
        <f>IF(OR(I8="",K8=""),"",ROUND((K8-I8)*24,1))</f>
        <v/>
      </c>
      <c r="U8" s="48">
        <f>IF(S8="","",IF(S8&lt;=INDEX('Target Severity'!$B$5:$B$8,MATCH(G8,'Target Severity'!$A$5:$A$8,0)),"Ya","Tidak"))</f>
        <v/>
      </c>
      <c r="V8" s="48">
        <f>IF(T8="","",IF(T8&lt;=INDEX('Target Severity'!$D$5:$D$8,MATCH(G8,'Target Severity'!$A$5:$A$8,0)),"Ya","Tidak"))</f>
        <v/>
      </c>
      <c r="W8" s="46" t="n"/>
    </row>
    <row r="9" ht="15" customHeight="1" s="28">
      <c r="A9" s="46" t="n"/>
      <c r="B9" s="46" t="n"/>
      <c r="C9" s="46" t="n"/>
      <c r="D9" s="46" t="n"/>
      <c r="E9" s="46" t="n"/>
      <c r="F9" s="46" t="n"/>
      <c r="G9" s="46" t="n"/>
      <c r="H9" s="46" t="n"/>
      <c r="I9" s="47" t="n"/>
      <c r="J9" s="47" t="n"/>
      <c r="K9" s="47" t="n"/>
      <c r="L9" s="47" t="n"/>
      <c r="M9" s="46" t="n"/>
      <c r="N9" s="46" t="n"/>
      <c r="O9" s="46" t="n"/>
      <c r="P9" s="48">
        <f>IF(G9="","",IF(OR(G9="P1",G9="P2"),"Ya","Tidak"))</f>
        <v/>
      </c>
      <c r="Q9" s="46" t="n"/>
      <c r="R9" s="46" t="n"/>
      <c r="S9" s="48">
        <f>IF(OR(I9="",J9=""),"",ROUND((J9-I9)*1440,0))</f>
        <v/>
      </c>
      <c r="T9" s="48">
        <f>IF(OR(I9="",K9=""),"",ROUND((K9-I9)*24,1))</f>
        <v/>
      </c>
      <c r="U9" s="48">
        <f>IF(S9="","",IF(S9&lt;=INDEX('Target Severity'!$B$5:$B$8,MATCH(G9,'Target Severity'!$A$5:$A$8,0)),"Ya","Tidak"))</f>
        <v/>
      </c>
      <c r="V9" s="48">
        <f>IF(T9="","",IF(T9&lt;=INDEX('Target Severity'!$D$5:$D$8,MATCH(G9,'Target Severity'!$A$5:$A$8,0)),"Ya","Tidak"))</f>
        <v/>
      </c>
      <c r="W9" s="46" t="n"/>
    </row>
    <row r="10" ht="15" customHeight="1" s="28">
      <c r="A10" s="46" t="n"/>
      <c r="B10" s="46" t="n"/>
      <c r="C10" s="46" t="n"/>
      <c r="D10" s="46" t="n"/>
      <c r="E10" s="46" t="n"/>
      <c r="F10" s="46" t="n"/>
      <c r="G10" s="46" t="n"/>
      <c r="H10" s="46" t="n"/>
      <c r="I10" s="47" t="n"/>
      <c r="J10" s="47" t="n"/>
      <c r="K10" s="47" t="n"/>
      <c r="L10" s="47" t="n"/>
      <c r="M10" s="46" t="n"/>
      <c r="N10" s="46" t="n"/>
      <c r="O10" s="46" t="n"/>
      <c r="P10" s="48">
        <f>IF(G10="","",IF(OR(G10="P1",G10="P2"),"Ya","Tidak"))</f>
        <v/>
      </c>
      <c r="Q10" s="46" t="n"/>
      <c r="R10" s="46" t="n"/>
      <c r="S10" s="48">
        <f>IF(OR(I10="",J10=""),"",ROUND((J10-I10)*1440,0))</f>
        <v/>
      </c>
      <c r="T10" s="48">
        <f>IF(OR(I10="",K10=""),"",ROUND((K10-I10)*24,1))</f>
        <v/>
      </c>
      <c r="U10" s="48">
        <f>IF(S10="","",IF(S10&lt;=INDEX('Target Severity'!$B$5:$B$8,MATCH(G10,'Target Severity'!$A$5:$A$8,0)),"Ya","Tidak"))</f>
        <v/>
      </c>
      <c r="V10" s="48">
        <f>IF(T10="","",IF(T10&lt;=INDEX('Target Severity'!$D$5:$D$8,MATCH(G10,'Target Severity'!$A$5:$A$8,0)),"Ya","Tidak"))</f>
        <v/>
      </c>
      <c r="W10" s="46" t="n"/>
    </row>
    <row r="11" ht="15" customHeight="1" s="28">
      <c r="A11" s="46" t="n"/>
      <c r="B11" s="46" t="n"/>
      <c r="C11" s="46" t="n"/>
      <c r="D11" s="46" t="n"/>
      <c r="E11" s="46" t="n"/>
      <c r="F11" s="46" t="n"/>
      <c r="G11" s="46" t="n"/>
      <c r="H11" s="46" t="n"/>
      <c r="I11" s="47" t="n"/>
      <c r="J11" s="47" t="n"/>
      <c r="K11" s="47" t="n"/>
      <c r="L11" s="47" t="n"/>
      <c r="M11" s="46" t="n"/>
      <c r="N11" s="46" t="n"/>
      <c r="O11" s="46" t="n"/>
      <c r="P11" s="48">
        <f>IF(G11="","",IF(OR(G11="P1",G11="P2"),"Ya","Tidak"))</f>
        <v/>
      </c>
      <c r="Q11" s="46" t="n"/>
      <c r="R11" s="46" t="n"/>
      <c r="S11" s="48">
        <f>IF(OR(I11="",J11=""),"",ROUND((J11-I11)*1440,0))</f>
        <v/>
      </c>
      <c r="T11" s="48">
        <f>IF(OR(I11="",K11=""),"",ROUND((K11-I11)*24,1))</f>
        <v/>
      </c>
      <c r="U11" s="48">
        <f>IF(S11="","",IF(S11&lt;=INDEX('Target Severity'!$B$5:$B$8,MATCH(G11,'Target Severity'!$A$5:$A$8,0)),"Ya","Tidak"))</f>
        <v/>
      </c>
      <c r="V11" s="48">
        <f>IF(T11="","",IF(T11&lt;=INDEX('Target Severity'!$D$5:$D$8,MATCH(G11,'Target Severity'!$A$5:$A$8,0)),"Ya","Tidak"))</f>
        <v/>
      </c>
      <c r="W11" s="46" t="n"/>
    </row>
    <row r="12" ht="15" customHeight="1" s="28">
      <c r="A12" s="46" t="n"/>
      <c r="B12" s="46" t="n"/>
      <c r="C12" s="46" t="n"/>
      <c r="D12" s="46" t="n"/>
      <c r="E12" s="46" t="n"/>
      <c r="F12" s="46" t="n"/>
      <c r="G12" s="46" t="n"/>
      <c r="H12" s="46" t="n"/>
      <c r="I12" s="47" t="n"/>
      <c r="J12" s="47" t="n"/>
      <c r="K12" s="47" t="n"/>
      <c r="L12" s="47" t="n"/>
      <c r="M12" s="46" t="n"/>
      <c r="N12" s="46" t="n"/>
      <c r="O12" s="46" t="n"/>
      <c r="P12" s="48">
        <f>IF(G12="","",IF(OR(G12="P1",G12="P2"),"Ya","Tidak"))</f>
        <v/>
      </c>
      <c r="Q12" s="46" t="n"/>
      <c r="R12" s="46" t="n"/>
      <c r="S12" s="48">
        <f>IF(OR(I12="",J12=""),"",ROUND((J12-I12)*1440,0))</f>
        <v/>
      </c>
      <c r="T12" s="48">
        <f>IF(OR(I12="",K12=""),"",ROUND((K12-I12)*24,1))</f>
        <v/>
      </c>
      <c r="U12" s="48">
        <f>IF(S12="","",IF(S12&lt;=INDEX('Target Severity'!$B$5:$B$8,MATCH(G12,'Target Severity'!$A$5:$A$8,0)),"Ya","Tidak"))</f>
        <v/>
      </c>
      <c r="V12" s="48">
        <f>IF(T12="","",IF(T12&lt;=INDEX('Target Severity'!$D$5:$D$8,MATCH(G12,'Target Severity'!$A$5:$A$8,0)),"Ya","Tidak"))</f>
        <v/>
      </c>
      <c r="W12" s="46" t="n"/>
    </row>
    <row r="13" ht="15" customHeight="1" s="28">
      <c r="A13" s="46" t="n"/>
      <c r="B13" s="46" t="n"/>
      <c r="C13" s="46" t="n"/>
      <c r="D13" s="46" t="n"/>
      <c r="E13" s="46" t="n"/>
      <c r="F13" s="46" t="n"/>
      <c r="G13" s="46" t="n"/>
      <c r="H13" s="46" t="n"/>
      <c r="I13" s="47" t="n"/>
      <c r="J13" s="47" t="n"/>
      <c r="K13" s="47" t="n"/>
      <c r="L13" s="47" t="n"/>
      <c r="M13" s="46" t="n"/>
      <c r="N13" s="46" t="n"/>
      <c r="O13" s="46" t="n"/>
      <c r="P13" s="48">
        <f>IF(G13="","",IF(OR(G13="P1",G13="P2"),"Ya","Tidak"))</f>
        <v/>
      </c>
      <c r="Q13" s="46" t="n"/>
      <c r="R13" s="46" t="n"/>
      <c r="S13" s="48">
        <f>IF(OR(I13="",J13=""),"",ROUND((J13-I13)*1440,0))</f>
        <v/>
      </c>
      <c r="T13" s="48">
        <f>IF(OR(I13="",K13=""),"",ROUND((K13-I13)*24,1))</f>
        <v/>
      </c>
      <c r="U13" s="48">
        <f>IF(S13="","",IF(S13&lt;=INDEX('Target Severity'!$B$5:$B$8,MATCH(G13,'Target Severity'!$A$5:$A$8,0)),"Ya","Tidak"))</f>
        <v/>
      </c>
      <c r="V13" s="48">
        <f>IF(T13="","",IF(T13&lt;=INDEX('Target Severity'!$D$5:$D$8,MATCH(G13,'Target Severity'!$A$5:$A$8,0)),"Ya","Tidak"))</f>
        <v/>
      </c>
      <c r="W13" s="46" t="n"/>
    </row>
    <row r="14" ht="15" customHeight="1" s="28">
      <c r="A14" s="46" t="n"/>
      <c r="B14" s="46" t="n"/>
      <c r="C14" s="46" t="n"/>
      <c r="D14" s="46" t="n"/>
      <c r="E14" s="46" t="n"/>
      <c r="F14" s="46" t="n"/>
      <c r="G14" s="46" t="n"/>
      <c r="H14" s="46" t="n"/>
      <c r="I14" s="47" t="n"/>
      <c r="J14" s="47" t="n"/>
      <c r="K14" s="47" t="n"/>
      <c r="L14" s="47" t="n"/>
      <c r="M14" s="46" t="n"/>
      <c r="N14" s="46" t="n"/>
      <c r="O14" s="46" t="n"/>
      <c r="P14" s="48">
        <f>IF(G14="","",IF(OR(G14="P1",G14="P2"),"Ya","Tidak"))</f>
        <v/>
      </c>
      <c r="Q14" s="46" t="n"/>
      <c r="R14" s="46" t="n"/>
      <c r="S14" s="48">
        <f>IF(OR(I14="",J14=""),"",ROUND((J14-I14)*1440,0))</f>
        <v/>
      </c>
      <c r="T14" s="48">
        <f>IF(OR(I14="",K14=""),"",ROUND((K14-I14)*24,1))</f>
        <v/>
      </c>
      <c r="U14" s="48">
        <f>IF(S14="","",IF(S14&lt;=INDEX('Target Severity'!$B$5:$B$8,MATCH(G14,'Target Severity'!$A$5:$A$8,0)),"Ya","Tidak"))</f>
        <v/>
      </c>
      <c r="V14" s="48">
        <f>IF(T14="","",IF(T14&lt;=INDEX('Target Severity'!$D$5:$D$8,MATCH(G14,'Target Severity'!$A$5:$A$8,0)),"Ya","Tidak"))</f>
        <v/>
      </c>
      <c r="W14" s="46" t="n"/>
    </row>
    <row r="15" ht="15" customHeight="1" s="28">
      <c r="A15" s="46" t="n"/>
      <c r="B15" s="46" t="n"/>
      <c r="C15" s="46" t="n"/>
      <c r="D15" s="46" t="n"/>
      <c r="E15" s="46" t="n"/>
      <c r="F15" s="46" t="n"/>
      <c r="G15" s="46" t="n"/>
      <c r="H15" s="46" t="n"/>
      <c r="I15" s="47" t="n"/>
      <c r="J15" s="47" t="n"/>
      <c r="K15" s="47" t="n"/>
      <c r="L15" s="47" t="n"/>
      <c r="M15" s="46" t="n"/>
      <c r="N15" s="46" t="n"/>
      <c r="O15" s="46" t="n"/>
      <c r="P15" s="48">
        <f>IF(G15="","",IF(OR(G15="P1",G15="P2"),"Ya","Tidak"))</f>
        <v/>
      </c>
      <c r="Q15" s="46" t="n"/>
      <c r="R15" s="46" t="n"/>
      <c r="S15" s="48">
        <f>IF(OR(I15="",J15=""),"",ROUND((J15-I15)*1440,0))</f>
        <v/>
      </c>
      <c r="T15" s="48">
        <f>IF(OR(I15="",K15=""),"",ROUND((K15-I15)*24,1))</f>
        <v/>
      </c>
      <c r="U15" s="48">
        <f>IF(S15="","",IF(S15&lt;=INDEX('Target Severity'!$B$5:$B$8,MATCH(G15,'Target Severity'!$A$5:$A$8,0)),"Ya","Tidak"))</f>
        <v/>
      </c>
      <c r="V15" s="48">
        <f>IF(T15="","",IF(T15&lt;=INDEX('Target Severity'!$D$5:$D$8,MATCH(G15,'Target Severity'!$A$5:$A$8,0)),"Ya","Tidak"))</f>
        <v/>
      </c>
      <c r="W15" s="46" t="n"/>
    </row>
    <row r="16" ht="15" customHeight="1" s="28">
      <c r="A16" s="46" t="n"/>
      <c r="B16" s="46" t="n"/>
      <c r="C16" s="46" t="n"/>
      <c r="D16" s="46" t="n"/>
      <c r="E16" s="46" t="n"/>
      <c r="F16" s="46" t="n"/>
      <c r="G16" s="46" t="n"/>
      <c r="H16" s="46" t="n"/>
      <c r="I16" s="47" t="n"/>
      <c r="J16" s="47" t="n"/>
      <c r="K16" s="47" t="n"/>
      <c r="L16" s="47" t="n"/>
      <c r="M16" s="46" t="n"/>
      <c r="N16" s="46" t="n"/>
      <c r="O16" s="46" t="n"/>
      <c r="P16" s="48">
        <f>IF(G16="","",IF(OR(G16="P1",G16="P2"),"Ya","Tidak"))</f>
        <v/>
      </c>
      <c r="Q16" s="46" t="n"/>
      <c r="R16" s="46" t="n"/>
      <c r="S16" s="48">
        <f>IF(OR(I16="",J16=""),"",ROUND((J16-I16)*1440,0))</f>
        <v/>
      </c>
      <c r="T16" s="48">
        <f>IF(OR(I16="",K16=""),"",ROUND((K16-I16)*24,1))</f>
        <v/>
      </c>
      <c r="U16" s="48">
        <f>IF(S16="","",IF(S16&lt;=INDEX('Target Severity'!$B$5:$B$8,MATCH(G16,'Target Severity'!$A$5:$A$8,0)),"Ya","Tidak"))</f>
        <v/>
      </c>
      <c r="V16" s="48">
        <f>IF(T16="","",IF(T16&lt;=INDEX('Target Severity'!$D$5:$D$8,MATCH(G16,'Target Severity'!$A$5:$A$8,0)),"Ya","Tidak"))</f>
        <v/>
      </c>
      <c r="W16" s="46" t="n"/>
    </row>
    <row r="17" ht="15" customHeight="1" s="28">
      <c r="A17" s="46" t="n"/>
      <c r="B17" s="46" t="n"/>
      <c r="C17" s="46" t="n"/>
      <c r="D17" s="46" t="n"/>
      <c r="E17" s="46" t="n"/>
      <c r="F17" s="46" t="n"/>
      <c r="G17" s="46" t="n"/>
      <c r="H17" s="46" t="n"/>
      <c r="I17" s="47" t="n"/>
      <c r="J17" s="47" t="n"/>
      <c r="K17" s="47" t="n"/>
      <c r="L17" s="47" t="n"/>
      <c r="M17" s="46" t="n"/>
      <c r="N17" s="46" t="n"/>
      <c r="O17" s="46" t="n"/>
      <c r="P17" s="48">
        <f>IF(G17="","",IF(OR(G17="P1",G17="P2"),"Ya","Tidak"))</f>
        <v/>
      </c>
      <c r="Q17" s="46" t="n"/>
      <c r="R17" s="46" t="n"/>
      <c r="S17" s="48">
        <f>IF(OR(I17="",J17=""),"",ROUND((J17-I17)*1440,0))</f>
        <v/>
      </c>
      <c r="T17" s="48">
        <f>IF(OR(I17="",K17=""),"",ROUND((K17-I17)*24,1))</f>
        <v/>
      </c>
      <c r="U17" s="48">
        <f>IF(S17="","",IF(S17&lt;=INDEX('Target Severity'!$B$5:$B$8,MATCH(G17,'Target Severity'!$A$5:$A$8,0)),"Ya","Tidak"))</f>
        <v/>
      </c>
      <c r="V17" s="48">
        <f>IF(T17="","",IF(T17&lt;=INDEX('Target Severity'!$D$5:$D$8,MATCH(G17,'Target Severity'!$A$5:$A$8,0)),"Ya","Tidak"))</f>
        <v/>
      </c>
      <c r="W17" s="46" t="n"/>
    </row>
    <row r="18" ht="15" customHeight="1" s="28">
      <c r="A18" s="46" t="n"/>
      <c r="B18" s="46" t="n"/>
      <c r="C18" s="46" t="n"/>
      <c r="D18" s="46" t="n"/>
      <c r="E18" s="46" t="n"/>
      <c r="F18" s="46" t="n"/>
      <c r="G18" s="46" t="n"/>
      <c r="H18" s="46" t="n"/>
      <c r="I18" s="47" t="n"/>
      <c r="J18" s="47" t="n"/>
      <c r="K18" s="47" t="n"/>
      <c r="L18" s="47" t="n"/>
      <c r="M18" s="46" t="n"/>
      <c r="N18" s="46" t="n"/>
      <c r="O18" s="46" t="n"/>
      <c r="P18" s="48">
        <f>IF(G18="","",IF(OR(G18="P1",G18="P2"),"Ya","Tidak"))</f>
        <v/>
      </c>
      <c r="Q18" s="46" t="n"/>
      <c r="R18" s="46" t="n"/>
      <c r="S18" s="48">
        <f>IF(OR(I18="",J18=""),"",ROUND((J18-I18)*1440,0))</f>
        <v/>
      </c>
      <c r="T18" s="48">
        <f>IF(OR(I18="",K18=""),"",ROUND((K18-I18)*24,1))</f>
        <v/>
      </c>
      <c r="U18" s="48">
        <f>IF(S18="","",IF(S18&lt;=INDEX('Target Severity'!$B$5:$B$8,MATCH(G18,'Target Severity'!$A$5:$A$8,0)),"Ya","Tidak"))</f>
        <v/>
      </c>
      <c r="V18" s="48">
        <f>IF(T18="","",IF(T18&lt;=INDEX('Target Severity'!$D$5:$D$8,MATCH(G18,'Target Severity'!$A$5:$A$8,0)),"Ya","Tidak"))</f>
        <v/>
      </c>
      <c r="W18" s="46" t="n"/>
    </row>
    <row r="19" ht="15" customHeight="1" s="28">
      <c r="A19" s="46" t="n"/>
      <c r="B19" s="46" t="n"/>
      <c r="C19" s="46" t="n"/>
      <c r="D19" s="46" t="n"/>
      <c r="E19" s="46" t="n"/>
      <c r="F19" s="46" t="n"/>
      <c r="G19" s="46" t="n"/>
      <c r="H19" s="46" t="n"/>
      <c r="I19" s="47" t="n"/>
      <c r="J19" s="47" t="n"/>
      <c r="K19" s="47" t="n"/>
      <c r="L19" s="47" t="n"/>
      <c r="M19" s="46" t="n"/>
      <c r="N19" s="46" t="n"/>
      <c r="O19" s="46" t="n"/>
      <c r="P19" s="48">
        <f>IF(G19="","",IF(OR(G19="P1",G19="P2"),"Ya","Tidak"))</f>
        <v/>
      </c>
      <c r="Q19" s="46" t="n"/>
      <c r="R19" s="46" t="n"/>
      <c r="S19" s="48">
        <f>IF(OR(I19="",J19=""),"",ROUND((J19-I19)*1440,0))</f>
        <v/>
      </c>
      <c r="T19" s="48">
        <f>IF(OR(I19="",K19=""),"",ROUND((K19-I19)*24,1))</f>
        <v/>
      </c>
      <c r="U19" s="48">
        <f>IF(S19="","",IF(S19&lt;=INDEX('Target Severity'!$B$5:$B$8,MATCH(G19,'Target Severity'!$A$5:$A$8,0)),"Ya","Tidak"))</f>
        <v/>
      </c>
      <c r="V19" s="48">
        <f>IF(T19="","",IF(T19&lt;=INDEX('Target Severity'!$D$5:$D$8,MATCH(G19,'Target Severity'!$A$5:$A$8,0)),"Ya","Tidak"))</f>
        <v/>
      </c>
      <c r="W19" s="46" t="n"/>
    </row>
    <row r="20" ht="15" customHeight="1" s="28">
      <c r="A20" s="46" t="n"/>
      <c r="B20" s="46" t="n"/>
      <c r="C20" s="46" t="n"/>
      <c r="D20" s="46" t="n"/>
      <c r="E20" s="46" t="n"/>
      <c r="F20" s="46" t="n"/>
      <c r="G20" s="46" t="n"/>
      <c r="H20" s="46" t="n"/>
      <c r="I20" s="47" t="n"/>
      <c r="J20" s="47" t="n"/>
      <c r="K20" s="47" t="n"/>
      <c r="L20" s="47" t="n"/>
      <c r="M20" s="46" t="n"/>
      <c r="N20" s="46" t="n"/>
      <c r="O20" s="46" t="n"/>
      <c r="P20" s="48">
        <f>IF(G20="","",IF(OR(G20="P1",G20="P2"),"Ya","Tidak"))</f>
        <v/>
      </c>
      <c r="Q20" s="46" t="n"/>
      <c r="R20" s="46" t="n"/>
      <c r="S20" s="48">
        <f>IF(OR(I20="",J20=""),"",ROUND((J20-I20)*1440,0))</f>
        <v/>
      </c>
      <c r="T20" s="48">
        <f>IF(OR(I20="",K20=""),"",ROUND((K20-I20)*24,1))</f>
        <v/>
      </c>
      <c r="U20" s="48">
        <f>IF(S20="","",IF(S20&lt;=INDEX('Target Severity'!$B$5:$B$8,MATCH(G20,'Target Severity'!$A$5:$A$8,0)),"Ya","Tidak"))</f>
        <v/>
      </c>
      <c r="V20" s="48">
        <f>IF(T20="","",IF(T20&lt;=INDEX('Target Severity'!$D$5:$D$8,MATCH(G20,'Target Severity'!$A$5:$A$8,0)),"Ya","Tidak"))</f>
        <v/>
      </c>
      <c r="W20" s="46" t="n"/>
    </row>
    <row r="21" ht="15" customHeight="1" s="28">
      <c r="A21" s="46" t="n"/>
      <c r="B21" s="46" t="n"/>
      <c r="C21" s="46" t="n"/>
      <c r="D21" s="46" t="n"/>
      <c r="E21" s="46" t="n"/>
      <c r="F21" s="46" t="n"/>
      <c r="G21" s="46" t="n"/>
      <c r="H21" s="46" t="n"/>
      <c r="I21" s="47" t="n"/>
      <c r="J21" s="47" t="n"/>
      <c r="K21" s="47" t="n"/>
      <c r="L21" s="47" t="n"/>
      <c r="M21" s="46" t="n"/>
      <c r="N21" s="46" t="n"/>
      <c r="O21" s="46" t="n"/>
      <c r="P21" s="48">
        <f>IF(G21="","",IF(OR(G21="P1",G21="P2"),"Ya","Tidak"))</f>
        <v/>
      </c>
      <c r="Q21" s="46" t="n"/>
      <c r="R21" s="46" t="n"/>
      <c r="S21" s="48">
        <f>IF(OR(I21="",J21=""),"",ROUND((J21-I21)*1440,0))</f>
        <v/>
      </c>
      <c r="T21" s="48">
        <f>IF(OR(I21="",K21=""),"",ROUND((K21-I21)*24,1))</f>
        <v/>
      </c>
      <c r="U21" s="48">
        <f>IF(S21="","",IF(S21&lt;=INDEX('Target Severity'!$B$5:$B$8,MATCH(G21,'Target Severity'!$A$5:$A$8,0)),"Ya","Tidak"))</f>
        <v/>
      </c>
      <c r="V21" s="48">
        <f>IF(T21="","",IF(T21&lt;=INDEX('Target Severity'!$D$5:$D$8,MATCH(G21,'Target Severity'!$A$5:$A$8,0)),"Ya","Tidak"))</f>
        <v/>
      </c>
      <c r="W21" s="46" t="n"/>
    </row>
    <row r="22" ht="15" customHeight="1" s="28">
      <c r="A22" s="46" t="n"/>
      <c r="B22" s="46" t="n"/>
      <c r="C22" s="46" t="n"/>
      <c r="D22" s="46" t="n"/>
      <c r="E22" s="46" t="n"/>
      <c r="F22" s="46" t="n"/>
      <c r="G22" s="46" t="n"/>
      <c r="H22" s="46" t="n"/>
      <c r="I22" s="47" t="n"/>
      <c r="J22" s="47" t="n"/>
      <c r="K22" s="47" t="n"/>
      <c r="L22" s="47" t="n"/>
      <c r="M22" s="46" t="n"/>
      <c r="N22" s="46" t="n"/>
      <c r="O22" s="46" t="n"/>
      <c r="P22" s="48">
        <f>IF(G22="","",IF(OR(G22="P1",G22="P2"),"Ya","Tidak"))</f>
        <v/>
      </c>
      <c r="Q22" s="46" t="n"/>
      <c r="R22" s="46" t="n"/>
      <c r="S22" s="48">
        <f>IF(OR(I22="",J22=""),"",ROUND((J22-I22)*1440,0))</f>
        <v/>
      </c>
      <c r="T22" s="48">
        <f>IF(OR(I22="",K22=""),"",ROUND((K22-I22)*24,1))</f>
        <v/>
      </c>
      <c r="U22" s="48">
        <f>IF(S22="","",IF(S22&lt;=INDEX('Target Severity'!$B$5:$B$8,MATCH(G22,'Target Severity'!$A$5:$A$8,0)),"Ya","Tidak"))</f>
        <v/>
      </c>
      <c r="V22" s="48">
        <f>IF(T22="","",IF(T22&lt;=INDEX('Target Severity'!$D$5:$D$8,MATCH(G22,'Target Severity'!$A$5:$A$8,0)),"Ya","Tidak"))</f>
        <v/>
      </c>
      <c r="W22" s="46" t="n"/>
    </row>
    <row r="23" ht="15" customHeight="1" s="28">
      <c r="A23" s="46" t="n"/>
      <c r="B23" s="46" t="n"/>
      <c r="C23" s="46" t="n"/>
      <c r="D23" s="46" t="n"/>
      <c r="E23" s="46" t="n"/>
      <c r="F23" s="46" t="n"/>
      <c r="G23" s="46" t="n"/>
      <c r="H23" s="46" t="n"/>
      <c r="I23" s="47" t="n"/>
      <c r="J23" s="47" t="n"/>
      <c r="K23" s="47" t="n"/>
      <c r="L23" s="47" t="n"/>
      <c r="M23" s="46" t="n"/>
      <c r="N23" s="46" t="n"/>
      <c r="O23" s="46" t="n"/>
      <c r="P23" s="48">
        <f>IF(G23="","",IF(OR(G23="P1",G23="P2"),"Ya","Tidak"))</f>
        <v/>
      </c>
      <c r="Q23" s="46" t="n"/>
      <c r="R23" s="46" t="n"/>
      <c r="S23" s="48">
        <f>IF(OR(I23="",J23=""),"",ROUND((J23-I23)*1440,0))</f>
        <v/>
      </c>
      <c r="T23" s="48">
        <f>IF(OR(I23="",K23=""),"",ROUND((K23-I23)*24,1))</f>
        <v/>
      </c>
      <c r="U23" s="48">
        <f>IF(S23="","",IF(S23&lt;=INDEX('Target Severity'!$B$5:$B$8,MATCH(G23,'Target Severity'!$A$5:$A$8,0)),"Ya","Tidak"))</f>
        <v/>
      </c>
      <c r="V23" s="48">
        <f>IF(T23="","",IF(T23&lt;=INDEX('Target Severity'!$D$5:$D$8,MATCH(G23,'Target Severity'!$A$5:$A$8,0)),"Ya","Tidak"))</f>
        <v/>
      </c>
      <c r="W23" s="46" t="n"/>
    </row>
    <row r="24" ht="15" customHeight="1" s="28">
      <c r="A24" s="46" t="n"/>
      <c r="B24" s="46" t="n"/>
      <c r="C24" s="46" t="n"/>
      <c r="D24" s="46" t="n"/>
      <c r="E24" s="46" t="n"/>
      <c r="F24" s="46" t="n"/>
      <c r="G24" s="46" t="n"/>
      <c r="H24" s="46" t="n"/>
      <c r="I24" s="47" t="n"/>
      <c r="J24" s="47" t="n"/>
      <c r="K24" s="47" t="n"/>
      <c r="L24" s="47" t="n"/>
      <c r="M24" s="46" t="n"/>
      <c r="N24" s="46" t="n"/>
      <c r="O24" s="46" t="n"/>
      <c r="P24" s="48">
        <f>IF(G24="","",IF(OR(G24="P1",G24="P2"),"Ya","Tidak"))</f>
        <v/>
      </c>
      <c r="Q24" s="46" t="n"/>
      <c r="R24" s="46" t="n"/>
      <c r="S24" s="48">
        <f>IF(OR(I24="",J24=""),"",ROUND((J24-I24)*1440,0))</f>
        <v/>
      </c>
      <c r="T24" s="48">
        <f>IF(OR(I24="",K24=""),"",ROUND((K24-I24)*24,1))</f>
        <v/>
      </c>
      <c r="U24" s="48">
        <f>IF(S24="","",IF(S24&lt;=INDEX('Target Severity'!$B$5:$B$8,MATCH(G24,'Target Severity'!$A$5:$A$8,0)),"Ya","Tidak"))</f>
        <v/>
      </c>
      <c r="V24" s="48">
        <f>IF(T24="","",IF(T24&lt;=INDEX('Target Severity'!$D$5:$D$8,MATCH(G24,'Target Severity'!$A$5:$A$8,0)),"Ya","Tidak"))</f>
        <v/>
      </c>
      <c r="W24" s="46" t="n"/>
    </row>
    <row r="25" ht="15" customHeight="1" s="28">
      <c r="A25" s="46" t="n"/>
      <c r="B25" s="46" t="n"/>
      <c r="C25" s="46" t="n"/>
      <c r="D25" s="46" t="n"/>
      <c r="E25" s="46" t="n"/>
      <c r="F25" s="46" t="n"/>
      <c r="G25" s="46" t="n"/>
      <c r="H25" s="46" t="n"/>
      <c r="I25" s="47" t="n"/>
      <c r="J25" s="47" t="n"/>
      <c r="K25" s="47" t="n"/>
      <c r="L25" s="47" t="n"/>
      <c r="M25" s="46" t="n"/>
      <c r="N25" s="46" t="n"/>
      <c r="O25" s="46" t="n"/>
      <c r="P25" s="48">
        <f>IF(G25="","",IF(OR(G25="P1",G25="P2"),"Ya","Tidak"))</f>
        <v/>
      </c>
      <c r="Q25" s="46" t="n"/>
      <c r="R25" s="46" t="n"/>
      <c r="S25" s="48">
        <f>IF(OR(I25="",J25=""),"",ROUND((J25-I25)*1440,0))</f>
        <v/>
      </c>
      <c r="T25" s="48">
        <f>IF(OR(I25="",K25=""),"",ROUND((K25-I25)*24,1))</f>
        <v/>
      </c>
      <c r="U25" s="48">
        <f>IF(S25="","",IF(S25&lt;=INDEX('Target Severity'!$B$5:$B$8,MATCH(G25,'Target Severity'!$A$5:$A$8,0)),"Ya","Tidak"))</f>
        <v/>
      </c>
      <c r="V25" s="48">
        <f>IF(T25="","",IF(T25&lt;=INDEX('Target Severity'!$D$5:$D$8,MATCH(G25,'Target Severity'!$A$5:$A$8,0)),"Ya","Tidak"))</f>
        <v/>
      </c>
      <c r="W25" s="46" t="n"/>
    </row>
    <row r="26" ht="15" customHeight="1" s="28">
      <c r="A26" s="46" t="n"/>
      <c r="B26" s="46" t="n"/>
      <c r="C26" s="46" t="n"/>
      <c r="D26" s="46" t="n"/>
      <c r="E26" s="46" t="n"/>
      <c r="F26" s="46" t="n"/>
      <c r="G26" s="46" t="n"/>
      <c r="H26" s="46" t="n"/>
      <c r="I26" s="47" t="n"/>
      <c r="J26" s="47" t="n"/>
      <c r="K26" s="47" t="n"/>
      <c r="L26" s="47" t="n"/>
      <c r="M26" s="46" t="n"/>
      <c r="N26" s="46" t="n"/>
      <c r="O26" s="46" t="n"/>
      <c r="P26" s="48">
        <f>IF(G26="","",IF(OR(G26="P1",G26="P2"),"Ya","Tidak"))</f>
        <v/>
      </c>
      <c r="Q26" s="46" t="n"/>
      <c r="R26" s="46" t="n"/>
      <c r="S26" s="48">
        <f>IF(OR(I26="",J26=""),"",ROUND((J26-I26)*1440,0))</f>
        <v/>
      </c>
      <c r="T26" s="48">
        <f>IF(OR(I26="",K26=""),"",ROUND((K26-I26)*24,1))</f>
        <v/>
      </c>
      <c r="U26" s="48">
        <f>IF(S26="","",IF(S26&lt;=INDEX('Target Severity'!$B$5:$B$8,MATCH(G26,'Target Severity'!$A$5:$A$8,0)),"Ya","Tidak"))</f>
        <v/>
      </c>
      <c r="V26" s="48">
        <f>IF(T26="","",IF(T26&lt;=INDEX('Target Severity'!$D$5:$D$8,MATCH(G26,'Target Severity'!$A$5:$A$8,0)),"Ya","Tidak"))</f>
        <v/>
      </c>
      <c r="W26" s="46" t="n"/>
    </row>
    <row r="27" ht="15" customHeight="1" s="28">
      <c r="A27" s="46" t="n"/>
      <c r="B27" s="46" t="n"/>
      <c r="C27" s="46" t="n"/>
      <c r="D27" s="46" t="n"/>
      <c r="E27" s="46" t="n"/>
      <c r="F27" s="46" t="n"/>
      <c r="G27" s="46" t="n"/>
      <c r="H27" s="46" t="n"/>
      <c r="I27" s="47" t="n"/>
      <c r="J27" s="47" t="n"/>
      <c r="K27" s="47" t="n"/>
      <c r="L27" s="47" t="n"/>
      <c r="M27" s="46" t="n"/>
      <c r="N27" s="46" t="n"/>
      <c r="O27" s="46" t="n"/>
      <c r="P27" s="48">
        <f>IF(G27="","",IF(OR(G27="P1",G27="P2"),"Ya","Tidak"))</f>
        <v/>
      </c>
      <c r="Q27" s="46" t="n"/>
      <c r="R27" s="46" t="n"/>
      <c r="S27" s="48">
        <f>IF(OR(I27="",J27=""),"",ROUND((J27-I27)*1440,0))</f>
        <v/>
      </c>
      <c r="T27" s="48">
        <f>IF(OR(I27="",K27=""),"",ROUND((K27-I27)*24,1))</f>
        <v/>
      </c>
      <c r="U27" s="48">
        <f>IF(S27="","",IF(S27&lt;=INDEX('Target Severity'!$B$5:$B$8,MATCH(G27,'Target Severity'!$A$5:$A$8,0)),"Ya","Tidak"))</f>
        <v/>
      </c>
      <c r="V27" s="48">
        <f>IF(T27="","",IF(T27&lt;=INDEX('Target Severity'!$D$5:$D$8,MATCH(G27,'Target Severity'!$A$5:$A$8,0)),"Ya","Tidak"))</f>
        <v/>
      </c>
      <c r="W27" s="46" t="n"/>
    </row>
    <row r="28" ht="15" customHeight="1" s="28">
      <c r="A28" s="46" t="n"/>
      <c r="B28" s="46" t="n"/>
      <c r="C28" s="46" t="n"/>
      <c r="D28" s="46" t="n"/>
      <c r="E28" s="46" t="n"/>
      <c r="F28" s="46" t="n"/>
      <c r="G28" s="46" t="n"/>
      <c r="H28" s="46" t="n"/>
      <c r="I28" s="47" t="n"/>
      <c r="J28" s="47" t="n"/>
      <c r="K28" s="47" t="n"/>
      <c r="L28" s="47" t="n"/>
      <c r="M28" s="46" t="n"/>
      <c r="N28" s="46" t="n"/>
      <c r="O28" s="46" t="n"/>
      <c r="P28" s="48">
        <f>IF(G28="","",IF(OR(G28="P1",G28="P2"),"Ya","Tidak"))</f>
        <v/>
      </c>
      <c r="Q28" s="46" t="n"/>
      <c r="R28" s="46" t="n"/>
      <c r="S28" s="48">
        <f>IF(OR(I28="",J28=""),"",ROUND((J28-I28)*1440,0))</f>
        <v/>
      </c>
      <c r="T28" s="48">
        <f>IF(OR(I28="",K28=""),"",ROUND((K28-I28)*24,1))</f>
        <v/>
      </c>
      <c r="U28" s="48">
        <f>IF(S28="","",IF(S28&lt;=INDEX('Target Severity'!$B$5:$B$8,MATCH(G28,'Target Severity'!$A$5:$A$8,0)),"Ya","Tidak"))</f>
        <v/>
      </c>
      <c r="V28" s="48">
        <f>IF(T28="","",IF(T28&lt;=INDEX('Target Severity'!$D$5:$D$8,MATCH(G28,'Target Severity'!$A$5:$A$8,0)),"Ya","Tidak"))</f>
        <v/>
      </c>
      <c r="W28" s="46" t="n"/>
    </row>
    <row r="29" ht="15" customHeight="1" s="28">
      <c r="A29" s="46" t="n"/>
      <c r="B29" s="46" t="n"/>
      <c r="C29" s="46" t="n"/>
      <c r="D29" s="46" t="n"/>
      <c r="E29" s="46" t="n"/>
      <c r="F29" s="46" t="n"/>
      <c r="G29" s="46" t="n"/>
      <c r="H29" s="46" t="n"/>
      <c r="I29" s="47" t="n"/>
      <c r="J29" s="47" t="n"/>
      <c r="K29" s="47" t="n"/>
      <c r="L29" s="47" t="n"/>
      <c r="M29" s="46" t="n"/>
      <c r="N29" s="46" t="n"/>
      <c r="O29" s="46" t="n"/>
      <c r="P29" s="48">
        <f>IF(G29="","",IF(OR(G29="P1",G29="P2"),"Ya","Tidak"))</f>
        <v/>
      </c>
      <c r="Q29" s="46" t="n"/>
      <c r="R29" s="46" t="n"/>
      <c r="S29" s="48">
        <f>IF(OR(I29="",J29=""),"",ROUND((J29-I29)*1440,0))</f>
        <v/>
      </c>
      <c r="T29" s="48">
        <f>IF(OR(I29="",K29=""),"",ROUND((K29-I29)*24,1))</f>
        <v/>
      </c>
      <c r="U29" s="48">
        <f>IF(S29="","",IF(S29&lt;=INDEX('Target Severity'!$B$5:$B$8,MATCH(G29,'Target Severity'!$A$5:$A$8,0)),"Ya","Tidak"))</f>
        <v/>
      </c>
      <c r="V29" s="48">
        <f>IF(T29="","",IF(T29&lt;=INDEX('Target Severity'!$D$5:$D$8,MATCH(G29,'Target Severity'!$A$5:$A$8,0)),"Ya","Tidak"))</f>
        <v/>
      </c>
      <c r="W29" s="46" t="n"/>
    </row>
    <row r="30" ht="15" customHeight="1" s="28">
      <c r="A30" s="46" t="n"/>
      <c r="B30" s="46" t="n"/>
      <c r="C30" s="46" t="n"/>
      <c r="D30" s="46" t="n"/>
      <c r="E30" s="46" t="n"/>
      <c r="F30" s="46" t="n"/>
      <c r="G30" s="46" t="n"/>
      <c r="H30" s="46" t="n"/>
      <c r="I30" s="47" t="n"/>
      <c r="J30" s="47" t="n"/>
      <c r="K30" s="47" t="n"/>
      <c r="L30" s="47" t="n"/>
      <c r="M30" s="46" t="n"/>
      <c r="N30" s="46" t="n"/>
      <c r="O30" s="46" t="n"/>
      <c r="P30" s="48">
        <f>IF(G30="","",IF(OR(G30="P1",G30="P2"),"Ya","Tidak"))</f>
        <v/>
      </c>
      <c r="Q30" s="46" t="n"/>
      <c r="R30" s="46" t="n"/>
      <c r="S30" s="48">
        <f>IF(OR(I30="",J30=""),"",ROUND((J30-I30)*1440,0))</f>
        <v/>
      </c>
      <c r="T30" s="48">
        <f>IF(OR(I30="",K30=""),"",ROUND((K30-I30)*24,1))</f>
        <v/>
      </c>
      <c r="U30" s="48">
        <f>IF(S30="","",IF(S30&lt;=INDEX('Target Severity'!$B$5:$B$8,MATCH(G30,'Target Severity'!$A$5:$A$8,0)),"Ya","Tidak"))</f>
        <v/>
      </c>
      <c r="V30" s="48">
        <f>IF(T30="","",IF(T30&lt;=INDEX('Target Severity'!$D$5:$D$8,MATCH(G30,'Target Severity'!$A$5:$A$8,0)),"Ya","Tidak"))</f>
        <v/>
      </c>
      <c r="W30" s="46" t="n"/>
    </row>
    <row r="31" ht="15" customHeight="1" s="28">
      <c r="A31" s="46" t="n"/>
      <c r="B31" s="46" t="n"/>
      <c r="C31" s="46" t="n"/>
      <c r="D31" s="46" t="n"/>
      <c r="E31" s="46" t="n"/>
      <c r="F31" s="46" t="n"/>
      <c r="G31" s="46" t="n"/>
      <c r="H31" s="46" t="n"/>
      <c r="I31" s="47" t="n"/>
      <c r="J31" s="47" t="n"/>
      <c r="K31" s="47" t="n"/>
      <c r="L31" s="47" t="n"/>
      <c r="M31" s="46" t="n"/>
      <c r="N31" s="46" t="n"/>
      <c r="O31" s="46" t="n"/>
      <c r="P31" s="48">
        <f>IF(G31="","",IF(OR(G31="P1",G31="P2"),"Ya","Tidak"))</f>
        <v/>
      </c>
      <c r="Q31" s="46" t="n"/>
      <c r="R31" s="46" t="n"/>
      <c r="S31" s="48">
        <f>IF(OR(I31="",J31=""),"",ROUND((J31-I31)*1440,0))</f>
        <v/>
      </c>
      <c r="T31" s="48">
        <f>IF(OR(I31="",K31=""),"",ROUND((K31-I31)*24,1))</f>
        <v/>
      </c>
      <c r="U31" s="48">
        <f>IF(S31="","",IF(S31&lt;=INDEX('Target Severity'!$B$5:$B$8,MATCH(G31,'Target Severity'!$A$5:$A$8,0)),"Ya","Tidak"))</f>
        <v/>
      </c>
      <c r="V31" s="48">
        <f>IF(T31="","",IF(T31&lt;=INDEX('Target Severity'!$D$5:$D$8,MATCH(G31,'Target Severity'!$A$5:$A$8,0)),"Ya","Tidak"))</f>
        <v/>
      </c>
      <c r="W31" s="46" t="n"/>
    </row>
    <row r="32" ht="15" customHeight="1" s="28">
      <c r="A32" s="46" t="n"/>
      <c r="B32" s="46" t="n"/>
      <c r="C32" s="46" t="n"/>
      <c r="D32" s="46" t="n"/>
      <c r="E32" s="46" t="n"/>
      <c r="F32" s="46" t="n"/>
      <c r="G32" s="46" t="n"/>
      <c r="H32" s="46" t="n"/>
      <c r="I32" s="47" t="n"/>
      <c r="J32" s="47" t="n"/>
      <c r="K32" s="47" t="n"/>
      <c r="L32" s="47" t="n"/>
      <c r="M32" s="46" t="n"/>
      <c r="N32" s="46" t="n"/>
      <c r="O32" s="46" t="n"/>
      <c r="P32" s="48">
        <f>IF(G32="","",IF(OR(G32="P1",G32="P2"),"Ya","Tidak"))</f>
        <v/>
      </c>
      <c r="Q32" s="46" t="n"/>
      <c r="R32" s="46" t="n"/>
      <c r="S32" s="48">
        <f>IF(OR(I32="",J32=""),"",ROUND((J32-I32)*1440,0))</f>
        <v/>
      </c>
      <c r="T32" s="48">
        <f>IF(OR(I32="",K32=""),"",ROUND((K32-I32)*24,1))</f>
        <v/>
      </c>
      <c r="U32" s="48">
        <f>IF(S32="","",IF(S32&lt;=INDEX('Target Severity'!$B$5:$B$8,MATCH(G32,'Target Severity'!$A$5:$A$8,0)),"Ya","Tidak"))</f>
        <v/>
      </c>
      <c r="V32" s="48">
        <f>IF(T32="","",IF(T32&lt;=INDEX('Target Severity'!$D$5:$D$8,MATCH(G32,'Target Severity'!$A$5:$A$8,0)),"Ya","Tidak"))</f>
        <v/>
      </c>
      <c r="W32" s="46" t="n"/>
    </row>
    <row r="33" ht="15" customHeight="1" s="28">
      <c r="A33" s="46" t="n"/>
      <c r="B33" s="46" t="n"/>
      <c r="C33" s="46" t="n"/>
      <c r="D33" s="46" t="n"/>
      <c r="E33" s="46" t="n"/>
      <c r="F33" s="46" t="n"/>
      <c r="G33" s="46" t="n"/>
      <c r="H33" s="46" t="n"/>
      <c r="I33" s="47" t="n"/>
      <c r="J33" s="47" t="n"/>
      <c r="K33" s="47" t="n"/>
      <c r="L33" s="47" t="n"/>
      <c r="M33" s="46" t="n"/>
      <c r="N33" s="46" t="n"/>
      <c r="O33" s="46" t="n"/>
      <c r="P33" s="48">
        <f>IF(G33="","",IF(OR(G33="P1",G33="P2"),"Ya","Tidak"))</f>
        <v/>
      </c>
      <c r="Q33" s="46" t="n"/>
      <c r="R33" s="46" t="n"/>
      <c r="S33" s="48">
        <f>IF(OR(I33="",J33=""),"",ROUND((J33-I33)*1440,0))</f>
        <v/>
      </c>
      <c r="T33" s="48">
        <f>IF(OR(I33="",K33=""),"",ROUND((K33-I33)*24,1))</f>
        <v/>
      </c>
      <c r="U33" s="48">
        <f>IF(S33="","",IF(S33&lt;=INDEX('Target Severity'!$B$5:$B$8,MATCH(G33,'Target Severity'!$A$5:$A$8,0)),"Ya","Tidak"))</f>
        <v/>
      </c>
      <c r="V33" s="48">
        <f>IF(T33="","",IF(T33&lt;=INDEX('Target Severity'!$D$5:$D$8,MATCH(G33,'Target Severity'!$A$5:$A$8,0)),"Ya","Tidak"))</f>
        <v/>
      </c>
      <c r="W33" s="46" t="n"/>
    </row>
    <row r="34" ht="15" customHeight="1" s="28">
      <c r="A34" s="46" t="n"/>
      <c r="B34" s="46" t="n"/>
      <c r="C34" s="46" t="n"/>
      <c r="D34" s="46" t="n"/>
      <c r="E34" s="46" t="n"/>
      <c r="F34" s="46" t="n"/>
      <c r="G34" s="46" t="n"/>
      <c r="H34" s="46" t="n"/>
      <c r="I34" s="47" t="n"/>
      <c r="J34" s="47" t="n"/>
      <c r="K34" s="47" t="n"/>
      <c r="L34" s="47" t="n"/>
      <c r="M34" s="46" t="n"/>
      <c r="N34" s="46" t="n"/>
      <c r="O34" s="46" t="n"/>
      <c r="P34" s="48">
        <f>IF(G34="","",IF(OR(G34="P1",G34="P2"),"Ya","Tidak"))</f>
        <v/>
      </c>
      <c r="Q34" s="46" t="n"/>
      <c r="R34" s="46" t="n"/>
      <c r="S34" s="48">
        <f>IF(OR(I34="",J34=""),"",ROUND((J34-I34)*1440,0))</f>
        <v/>
      </c>
      <c r="T34" s="48">
        <f>IF(OR(I34="",K34=""),"",ROUND((K34-I34)*24,1))</f>
        <v/>
      </c>
      <c r="U34" s="48">
        <f>IF(S34="","",IF(S34&lt;=INDEX('Target Severity'!$B$5:$B$8,MATCH(G34,'Target Severity'!$A$5:$A$8,0)),"Ya","Tidak"))</f>
        <v/>
      </c>
      <c r="V34" s="48">
        <f>IF(T34="","",IF(T34&lt;=INDEX('Target Severity'!$D$5:$D$8,MATCH(G34,'Target Severity'!$A$5:$A$8,0)),"Ya","Tidak"))</f>
        <v/>
      </c>
      <c r="W34" s="46" t="n"/>
    </row>
    <row r="35" ht="15" customHeight="1" s="28">
      <c r="A35" s="46" t="n"/>
      <c r="B35" s="46" t="n"/>
      <c r="C35" s="46" t="n"/>
      <c r="D35" s="46" t="n"/>
      <c r="E35" s="46" t="n"/>
      <c r="F35" s="46" t="n"/>
      <c r="G35" s="46" t="n"/>
      <c r="H35" s="46" t="n"/>
      <c r="I35" s="47" t="n"/>
      <c r="J35" s="47" t="n"/>
      <c r="K35" s="47" t="n"/>
      <c r="L35" s="47" t="n"/>
      <c r="M35" s="46" t="n"/>
      <c r="N35" s="46" t="n"/>
      <c r="O35" s="46" t="n"/>
      <c r="P35" s="48">
        <f>IF(G35="","",IF(OR(G35="P1",G35="P2"),"Ya","Tidak"))</f>
        <v/>
      </c>
      <c r="Q35" s="46" t="n"/>
      <c r="R35" s="46" t="n"/>
      <c r="S35" s="48">
        <f>IF(OR(I35="",J35=""),"",ROUND((J35-I35)*1440,0))</f>
        <v/>
      </c>
      <c r="T35" s="48">
        <f>IF(OR(I35="",K35=""),"",ROUND((K35-I35)*24,1))</f>
        <v/>
      </c>
      <c r="U35" s="48">
        <f>IF(S35="","",IF(S35&lt;=INDEX('Target Severity'!$B$5:$B$8,MATCH(G35,'Target Severity'!$A$5:$A$8,0)),"Ya","Tidak"))</f>
        <v/>
      </c>
      <c r="V35" s="48">
        <f>IF(T35="","",IF(T35&lt;=INDEX('Target Severity'!$D$5:$D$8,MATCH(G35,'Target Severity'!$A$5:$A$8,0)),"Ya","Tidak"))</f>
        <v/>
      </c>
      <c r="W35" s="46" t="n"/>
    </row>
    <row r="36" ht="15" customHeight="1" s="28">
      <c r="A36" s="46" t="n"/>
      <c r="B36" s="46" t="n"/>
      <c r="C36" s="46" t="n"/>
      <c r="D36" s="46" t="n"/>
      <c r="E36" s="46" t="n"/>
      <c r="F36" s="46" t="n"/>
      <c r="G36" s="46" t="n"/>
      <c r="H36" s="46" t="n"/>
      <c r="I36" s="47" t="n"/>
      <c r="J36" s="47" t="n"/>
      <c r="K36" s="47" t="n"/>
      <c r="L36" s="47" t="n"/>
      <c r="M36" s="46" t="n"/>
      <c r="N36" s="46" t="n"/>
      <c r="O36" s="46" t="n"/>
      <c r="P36" s="48">
        <f>IF(G36="","",IF(OR(G36="P1",G36="P2"),"Ya","Tidak"))</f>
        <v/>
      </c>
      <c r="Q36" s="46" t="n"/>
      <c r="R36" s="46" t="n"/>
      <c r="S36" s="48">
        <f>IF(OR(I36="",J36=""),"",ROUND((J36-I36)*1440,0))</f>
        <v/>
      </c>
      <c r="T36" s="48">
        <f>IF(OR(I36="",K36=""),"",ROUND((K36-I36)*24,1))</f>
        <v/>
      </c>
      <c r="U36" s="48">
        <f>IF(S36="","",IF(S36&lt;=INDEX('Target Severity'!$B$5:$B$8,MATCH(G36,'Target Severity'!$A$5:$A$8,0)),"Ya","Tidak"))</f>
        <v/>
      </c>
      <c r="V36" s="48">
        <f>IF(T36="","",IF(T36&lt;=INDEX('Target Severity'!$D$5:$D$8,MATCH(G36,'Target Severity'!$A$5:$A$8,0)),"Ya","Tidak"))</f>
        <v/>
      </c>
      <c r="W36" s="46" t="n"/>
    </row>
    <row r="37" ht="15" customHeight="1" s="28">
      <c r="A37" s="46" t="n"/>
      <c r="B37" s="46" t="n"/>
      <c r="C37" s="46" t="n"/>
      <c r="D37" s="46" t="n"/>
      <c r="E37" s="46" t="n"/>
      <c r="F37" s="46" t="n"/>
      <c r="G37" s="46" t="n"/>
      <c r="H37" s="46" t="n"/>
      <c r="I37" s="47" t="n"/>
      <c r="J37" s="47" t="n"/>
      <c r="K37" s="47" t="n"/>
      <c r="L37" s="47" t="n"/>
      <c r="M37" s="46" t="n"/>
      <c r="N37" s="46" t="n"/>
      <c r="O37" s="46" t="n"/>
      <c r="P37" s="48">
        <f>IF(G37="","",IF(OR(G37="P1",G37="P2"),"Ya","Tidak"))</f>
        <v/>
      </c>
      <c r="Q37" s="46" t="n"/>
      <c r="R37" s="46" t="n"/>
      <c r="S37" s="48">
        <f>IF(OR(I37="",J37=""),"",ROUND((J37-I37)*1440,0))</f>
        <v/>
      </c>
      <c r="T37" s="48">
        <f>IF(OR(I37="",K37=""),"",ROUND((K37-I37)*24,1))</f>
        <v/>
      </c>
      <c r="U37" s="48">
        <f>IF(S37="","",IF(S37&lt;=INDEX('Target Severity'!$B$5:$B$8,MATCH(G37,'Target Severity'!$A$5:$A$8,0)),"Ya","Tidak"))</f>
        <v/>
      </c>
      <c r="V37" s="48">
        <f>IF(T37="","",IF(T37&lt;=INDEX('Target Severity'!$D$5:$D$8,MATCH(G37,'Target Severity'!$A$5:$A$8,0)),"Ya","Tidak"))</f>
        <v/>
      </c>
      <c r="W37" s="46" t="n"/>
    </row>
    <row r="38" ht="15" customHeight="1" s="28">
      <c r="A38" s="46" t="n"/>
      <c r="B38" s="46" t="n"/>
      <c r="C38" s="46" t="n"/>
      <c r="D38" s="46" t="n"/>
      <c r="E38" s="46" t="n"/>
      <c r="F38" s="46" t="n"/>
      <c r="G38" s="46" t="n"/>
      <c r="H38" s="46" t="n"/>
      <c r="I38" s="47" t="n"/>
      <c r="J38" s="47" t="n"/>
      <c r="K38" s="47" t="n"/>
      <c r="L38" s="47" t="n"/>
      <c r="M38" s="46" t="n"/>
      <c r="N38" s="46" t="n"/>
      <c r="O38" s="46" t="n"/>
      <c r="P38" s="48">
        <f>IF(G38="","",IF(OR(G38="P1",G38="P2"),"Ya","Tidak"))</f>
        <v/>
      </c>
      <c r="Q38" s="46" t="n"/>
      <c r="R38" s="46" t="n"/>
      <c r="S38" s="48">
        <f>IF(OR(I38="",J38=""),"",ROUND((J38-I38)*1440,0))</f>
        <v/>
      </c>
      <c r="T38" s="48">
        <f>IF(OR(I38="",K38=""),"",ROUND((K38-I38)*24,1))</f>
        <v/>
      </c>
      <c r="U38" s="48">
        <f>IF(S38="","",IF(S38&lt;=INDEX('Target Severity'!$B$5:$B$8,MATCH(G38,'Target Severity'!$A$5:$A$8,0)),"Ya","Tidak"))</f>
        <v/>
      </c>
      <c r="V38" s="48">
        <f>IF(T38="","",IF(T38&lt;=INDEX('Target Severity'!$D$5:$D$8,MATCH(G38,'Target Severity'!$A$5:$A$8,0)),"Ya","Tidak"))</f>
        <v/>
      </c>
      <c r="W38" s="46" t="n"/>
    </row>
    <row r="39" ht="15" customHeight="1" s="28">
      <c r="A39" s="46" t="n"/>
      <c r="B39" s="46" t="n"/>
      <c r="C39" s="46" t="n"/>
      <c r="D39" s="46" t="n"/>
      <c r="E39" s="46" t="n"/>
      <c r="F39" s="46" t="n"/>
      <c r="G39" s="46" t="n"/>
      <c r="H39" s="46" t="n"/>
      <c r="I39" s="47" t="n"/>
      <c r="J39" s="47" t="n"/>
      <c r="K39" s="47" t="n"/>
      <c r="L39" s="47" t="n"/>
      <c r="M39" s="46" t="n"/>
      <c r="N39" s="46" t="n"/>
      <c r="O39" s="46" t="n"/>
      <c r="P39" s="48">
        <f>IF(G39="","",IF(OR(G39="P1",G39="P2"),"Ya","Tidak"))</f>
        <v/>
      </c>
      <c r="Q39" s="46" t="n"/>
      <c r="R39" s="46" t="n"/>
      <c r="S39" s="48">
        <f>IF(OR(I39="",J39=""),"",ROUND((J39-I39)*1440,0))</f>
        <v/>
      </c>
      <c r="T39" s="48">
        <f>IF(OR(I39="",K39=""),"",ROUND((K39-I39)*24,1))</f>
        <v/>
      </c>
      <c r="U39" s="48">
        <f>IF(S39="","",IF(S39&lt;=INDEX('Target Severity'!$B$5:$B$8,MATCH(G39,'Target Severity'!$A$5:$A$8,0)),"Ya","Tidak"))</f>
        <v/>
      </c>
      <c r="V39" s="48">
        <f>IF(T39="","",IF(T39&lt;=INDEX('Target Severity'!$D$5:$D$8,MATCH(G39,'Target Severity'!$A$5:$A$8,0)),"Ya","Tidak"))</f>
        <v/>
      </c>
      <c r="W39" s="46" t="n"/>
    </row>
    <row r="40" ht="15" customHeight="1" s="28">
      <c r="A40" s="46" t="n"/>
      <c r="B40" s="46" t="n"/>
      <c r="C40" s="46" t="n"/>
      <c r="D40" s="46" t="n"/>
      <c r="E40" s="46" t="n"/>
      <c r="F40" s="46" t="n"/>
      <c r="G40" s="46" t="n"/>
      <c r="H40" s="46" t="n"/>
      <c r="I40" s="47" t="n"/>
      <c r="J40" s="47" t="n"/>
      <c r="K40" s="47" t="n"/>
      <c r="L40" s="47" t="n"/>
      <c r="M40" s="46" t="n"/>
      <c r="N40" s="46" t="n"/>
      <c r="O40" s="46" t="n"/>
      <c r="P40" s="48">
        <f>IF(G40="","",IF(OR(G40="P1",G40="P2"),"Ya","Tidak"))</f>
        <v/>
      </c>
      <c r="Q40" s="46" t="n"/>
      <c r="R40" s="46" t="n"/>
      <c r="S40" s="48">
        <f>IF(OR(I40="",J40=""),"",ROUND((J40-I40)*1440,0))</f>
        <v/>
      </c>
      <c r="T40" s="48">
        <f>IF(OR(I40="",K40=""),"",ROUND((K40-I40)*24,1))</f>
        <v/>
      </c>
      <c r="U40" s="48">
        <f>IF(S40="","",IF(S40&lt;=INDEX('Target Severity'!$B$5:$B$8,MATCH(G40,'Target Severity'!$A$5:$A$8,0)),"Ya","Tidak"))</f>
        <v/>
      </c>
      <c r="V40" s="48">
        <f>IF(T40="","",IF(T40&lt;=INDEX('Target Severity'!$D$5:$D$8,MATCH(G40,'Target Severity'!$A$5:$A$8,0)),"Ya","Tidak"))</f>
        <v/>
      </c>
      <c r="W40" s="46" t="n"/>
    </row>
    <row r="41" ht="15" customHeight="1" s="28">
      <c r="A41" s="46" t="n"/>
      <c r="B41" s="46" t="n"/>
      <c r="C41" s="46" t="n"/>
      <c r="D41" s="46" t="n"/>
      <c r="E41" s="46" t="n"/>
      <c r="F41" s="46" t="n"/>
      <c r="G41" s="46" t="n"/>
      <c r="H41" s="46" t="n"/>
      <c r="I41" s="47" t="n"/>
      <c r="J41" s="47" t="n"/>
      <c r="K41" s="47" t="n"/>
      <c r="L41" s="47" t="n"/>
      <c r="M41" s="46" t="n"/>
      <c r="N41" s="46" t="n"/>
      <c r="O41" s="46" t="n"/>
      <c r="P41" s="48">
        <f>IF(G41="","",IF(OR(G41="P1",G41="P2"),"Ya","Tidak"))</f>
        <v/>
      </c>
      <c r="Q41" s="46" t="n"/>
      <c r="R41" s="46" t="n"/>
      <c r="S41" s="48">
        <f>IF(OR(I41="",J41=""),"",ROUND((J41-I41)*1440,0))</f>
        <v/>
      </c>
      <c r="T41" s="48">
        <f>IF(OR(I41="",K41=""),"",ROUND((K41-I41)*24,1))</f>
        <v/>
      </c>
      <c r="U41" s="48">
        <f>IF(S41="","",IF(S41&lt;=INDEX('Target Severity'!$B$5:$B$8,MATCH(G41,'Target Severity'!$A$5:$A$8,0)),"Ya","Tidak"))</f>
        <v/>
      </c>
      <c r="V41" s="48">
        <f>IF(T41="","",IF(T41&lt;=INDEX('Target Severity'!$D$5:$D$8,MATCH(G41,'Target Severity'!$A$5:$A$8,0)),"Ya","Tidak"))</f>
        <v/>
      </c>
      <c r="W41" s="46" t="n"/>
    </row>
    <row r="42" ht="15" customHeight="1" s="28">
      <c r="A42" s="46" t="n"/>
      <c r="B42" s="46" t="n"/>
      <c r="C42" s="46" t="n"/>
      <c r="D42" s="46" t="n"/>
      <c r="E42" s="46" t="n"/>
      <c r="F42" s="46" t="n"/>
      <c r="G42" s="46" t="n"/>
      <c r="H42" s="46" t="n"/>
      <c r="I42" s="47" t="n"/>
      <c r="J42" s="47" t="n"/>
      <c r="K42" s="47" t="n"/>
      <c r="L42" s="47" t="n"/>
      <c r="M42" s="46" t="n"/>
      <c r="N42" s="46" t="n"/>
      <c r="O42" s="46" t="n"/>
      <c r="P42" s="48">
        <f>IF(G42="","",IF(OR(G42="P1",G42="P2"),"Ya","Tidak"))</f>
        <v/>
      </c>
      <c r="Q42" s="46" t="n"/>
      <c r="R42" s="46" t="n"/>
      <c r="S42" s="48">
        <f>IF(OR(I42="",J42=""),"",ROUND((J42-I42)*1440,0))</f>
        <v/>
      </c>
      <c r="T42" s="48">
        <f>IF(OR(I42="",K42=""),"",ROUND((K42-I42)*24,1))</f>
        <v/>
      </c>
      <c r="U42" s="48">
        <f>IF(S42="","",IF(S42&lt;=INDEX('Target Severity'!$B$5:$B$8,MATCH(G42,'Target Severity'!$A$5:$A$8,0)),"Ya","Tidak"))</f>
        <v/>
      </c>
      <c r="V42" s="48">
        <f>IF(T42="","",IF(T42&lt;=INDEX('Target Severity'!$D$5:$D$8,MATCH(G42,'Target Severity'!$A$5:$A$8,0)),"Ya","Tidak"))</f>
        <v/>
      </c>
      <c r="W42" s="46" t="n"/>
    </row>
    <row r="43" ht="15" customHeight="1" s="28">
      <c r="A43" s="46" t="n"/>
      <c r="B43" s="46" t="n"/>
      <c r="C43" s="46" t="n"/>
      <c r="D43" s="46" t="n"/>
      <c r="E43" s="46" t="n"/>
      <c r="F43" s="46" t="n"/>
      <c r="G43" s="46" t="n"/>
      <c r="H43" s="46" t="n"/>
      <c r="I43" s="47" t="n"/>
      <c r="J43" s="47" t="n"/>
      <c r="K43" s="47" t="n"/>
      <c r="L43" s="47" t="n"/>
      <c r="M43" s="46" t="n"/>
      <c r="N43" s="46" t="n"/>
      <c r="O43" s="46" t="n"/>
      <c r="P43" s="48">
        <f>IF(G43="","",IF(OR(G43="P1",G43="P2"),"Ya","Tidak"))</f>
        <v/>
      </c>
      <c r="Q43" s="46" t="n"/>
      <c r="R43" s="46" t="n"/>
      <c r="S43" s="48">
        <f>IF(OR(I43="",J43=""),"",ROUND((J43-I43)*1440,0))</f>
        <v/>
      </c>
      <c r="T43" s="48">
        <f>IF(OR(I43="",K43=""),"",ROUND((K43-I43)*24,1))</f>
        <v/>
      </c>
      <c r="U43" s="48">
        <f>IF(S43="","",IF(S43&lt;=INDEX('Target Severity'!$B$5:$B$8,MATCH(G43,'Target Severity'!$A$5:$A$8,0)),"Ya","Tidak"))</f>
        <v/>
      </c>
      <c r="V43" s="48">
        <f>IF(T43="","",IF(T43&lt;=INDEX('Target Severity'!$D$5:$D$8,MATCH(G43,'Target Severity'!$A$5:$A$8,0)),"Ya","Tidak"))</f>
        <v/>
      </c>
      <c r="W43" s="46" t="n"/>
    </row>
    <row r="44" ht="15" customHeight="1" s="28">
      <c r="A44" s="46" t="n"/>
      <c r="B44" s="46" t="n"/>
      <c r="C44" s="46" t="n"/>
      <c r="D44" s="46" t="n"/>
      <c r="E44" s="46" t="n"/>
      <c r="F44" s="46" t="n"/>
      <c r="G44" s="46" t="n"/>
      <c r="H44" s="46" t="n"/>
      <c r="I44" s="47" t="n"/>
      <c r="J44" s="47" t="n"/>
      <c r="K44" s="47" t="n"/>
      <c r="L44" s="47" t="n"/>
      <c r="M44" s="46" t="n"/>
      <c r="N44" s="46" t="n"/>
      <c r="O44" s="46" t="n"/>
      <c r="P44" s="48">
        <f>IF(G44="","",IF(OR(G44="P1",G44="P2"),"Ya","Tidak"))</f>
        <v/>
      </c>
      <c r="Q44" s="46" t="n"/>
      <c r="R44" s="46" t="n"/>
      <c r="S44" s="48">
        <f>IF(OR(I44="",J44=""),"",ROUND((J44-I44)*1440,0))</f>
        <v/>
      </c>
      <c r="T44" s="48">
        <f>IF(OR(I44="",K44=""),"",ROUND((K44-I44)*24,1))</f>
        <v/>
      </c>
      <c r="U44" s="48">
        <f>IF(S44="","",IF(S44&lt;=INDEX('Target Severity'!$B$5:$B$8,MATCH(G44,'Target Severity'!$A$5:$A$8,0)),"Ya","Tidak"))</f>
        <v/>
      </c>
      <c r="V44" s="48">
        <f>IF(T44="","",IF(T44&lt;=INDEX('Target Severity'!$D$5:$D$8,MATCH(G44,'Target Severity'!$A$5:$A$8,0)),"Ya","Tidak"))</f>
        <v/>
      </c>
      <c r="W44" s="46" t="n"/>
    </row>
    <row r="45" ht="15" customHeight="1" s="28">
      <c r="A45" s="46" t="n"/>
      <c r="B45" s="46" t="n"/>
      <c r="C45" s="46" t="n"/>
      <c r="D45" s="46" t="n"/>
      <c r="E45" s="46" t="n"/>
      <c r="F45" s="46" t="n"/>
      <c r="G45" s="46" t="n"/>
      <c r="H45" s="46" t="n"/>
      <c r="I45" s="47" t="n"/>
      <c r="J45" s="47" t="n"/>
      <c r="K45" s="47" t="n"/>
      <c r="L45" s="47" t="n"/>
      <c r="M45" s="46" t="n"/>
      <c r="N45" s="46" t="n"/>
      <c r="O45" s="46" t="n"/>
      <c r="P45" s="48">
        <f>IF(G45="","",IF(OR(G45="P1",G45="P2"),"Ya","Tidak"))</f>
        <v/>
      </c>
      <c r="Q45" s="46" t="n"/>
      <c r="R45" s="46" t="n"/>
      <c r="S45" s="48">
        <f>IF(OR(I45="",J45=""),"",ROUND((J45-I45)*1440,0))</f>
        <v/>
      </c>
      <c r="T45" s="48">
        <f>IF(OR(I45="",K45=""),"",ROUND((K45-I45)*24,1))</f>
        <v/>
      </c>
      <c r="U45" s="48">
        <f>IF(S45="","",IF(S45&lt;=INDEX('Target Severity'!$B$5:$B$8,MATCH(G45,'Target Severity'!$A$5:$A$8,0)),"Ya","Tidak"))</f>
        <v/>
      </c>
      <c r="V45" s="48">
        <f>IF(T45="","",IF(T45&lt;=INDEX('Target Severity'!$D$5:$D$8,MATCH(G45,'Target Severity'!$A$5:$A$8,0)),"Ya","Tidak"))</f>
        <v/>
      </c>
      <c r="W45" s="46" t="n"/>
    </row>
    <row r="46" ht="15" customHeight="1" s="28">
      <c r="A46" s="46" t="n"/>
      <c r="B46" s="46" t="n"/>
      <c r="C46" s="46" t="n"/>
      <c r="D46" s="46" t="n"/>
      <c r="E46" s="46" t="n"/>
      <c r="F46" s="46" t="n"/>
      <c r="G46" s="46" t="n"/>
      <c r="H46" s="46" t="n"/>
      <c r="I46" s="47" t="n"/>
      <c r="J46" s="47" t="n"/>
      <c r="K46" s="47" t="n"/>
      <c r="L46" s="47" t="n"/>
      <c r="M46" s="46" t="n"/>
      <c r="N46" s="46" t="n"/>
      <c r="O46" s="46" t="n"/>
      <c r="P46" s="48">
        <f>IF(G46="","",IF(OR(G46="P1",G46="P2"),"Ya","Tidak"))</f>
        <v/>
      </c>
      <c r="Q46" s="46" t="n"/>
      <c r="R46" s="46" t="n"/>
      <c r="S46" s="48">
        <f>IF(OR(I46="",J46=""),"",ROUND((J46-I46)*1440,0))</f>
        <v/>
      </c>
      <c r="T46" s="48">
        <f>IF(OR(I46="",K46=""),"",ROUND((K46-I46)*24,1))</f>
        <v/>
      </c>
      <c r="U46" s="48">
        <f>IF(S46="","",IF(S46&lt;=INDEX('Target Severity'!$B$5:$B$8,MATCH(G46,'Target Severity'!$A$5:$A$8,0)),"Ya","Tidak"))</f>
        <v/>
      </c>
      <c r="V46" s="48">
        <f>IF(T46="","",IF(T46&lt;=INDEX('Target Severity'!$D$5:$D$8,MATCH(G46,'Target Severity'!$A$5:$A$8,0)),"Ya","Tidak"))</f>
        <v/>
      </c>
      <c r="W46" s="46" t="n"/>
    </row>
    <row r="47" ht="15" customHeight="1" s="28">
      <c r="A47" s="46" t="n"/>
      <c r="B47" s="46" t="n"/>
      <c r="C47" s="46" t="n"/>
      <c r="D47" s="46" t="n"/>
      <c r="E47" s="46" t="n"/>
      <c r="F47" s="46" t="n"/>
      <c r="G47" s="46" t="n"/>
      <c r="H47" s="46" t="n"/>
      <c r="I47" s="47" t="n"/>
      <c r="J47" s="47" t="n"/>
      <c r="K47" s="47" t="n"/>
      <c r="L47" s="47" t="n"/>
      <c r="M47" s="46" t="n"/>
      <c r="N47" s="46" t="n"/>
      <c r="O47" s="46" t="n"/>
      <c r="P47" s="48">
        <f>IF(G47="","",IF(OR(G47="P1",G47="P2"),"Ya","Tidak"))</f>
        <v/>
      </c>
      <c r="Q47" s="46" t="n"/>
      <c r="R47" s="46" t="n"/>
      <c r="S47" s="48">
        <f>IF(OR(I47="",J47=""),"",ROUND((J47-I47)*1440,0))</f>
        <v/>
      </c>
      <c r="T47" s="48">
        <f>IF(OR(I47="",K47=""),"",ROUND((K47-I47)*24,1))</f>
        <v/>
      </c>
      <c r="U47" s="48">
        <f>IF(S47="","",IF(S47&lt;=INDEX('Target Severity'!$B$5:$B$8,MATCH(G47,'Target Severity'!$A$5:$A$8,0)),"Ya","Tidak"))</f>
        <v/>
      </c>
      <c r="V47" s="48">
        <f>IF(T47="","",IF(T47&lt;=INDEX('Target Severity'!$D$5:$D$8,MATCH(G47,'Target Severity'!$A$5:$A$8,0)),"Ya","Tidak"))</f>
        <v/>
      </c>
      <c r="W47" s="46" t="n"/>
    </row>
    <row r="48" ht="15" customHeight="1" s="28">
      <c r="A48" s="46" t="n"/>
      <c r="B48" s="46" t="n"/>
      <c r="C48" s="46" t="n"/>
      <c r="D48" s="46" t="n"/>
      <c r="E48" s="46" t="n"/>
      <c r="F48" s="46" t="n"/>
      <c r="G48" s="46" t="n"/>
      <c r="H48" s="46" t="n"/>
      <c r="I48" s="47" t="n"/>
      <c r="J48" s="47" t="n"/>
      <c r="K48" s="47" t="n"/>
      <c r="L48" s="47" t="n"/>
      <c r="M48" s="46" t="n"/>
      <c r="N48" s="46" t="n"/>
      <c r="O48" s="46" t="n"/>
      <c r="P48" s="48">
        <f>IF(G48="","",IF(OR(G48="P1",G48="P2"),"Ya","Tidak"))</f>
        <v/>
      </c>
      <c r="Q48" s="46" t="n"/>
      <c r="R48" s="46" t="n"/>
      <c r="S48" s="48">
        <f>IF(OR(I48="",J48=""),"",ROUND((J48-I48)*1440,0))</f>
        <v/>
      </c>
      <c r="T48" s="48">
        <f>IF(OR(I48="",K48=""),"",ROUND((K48-I48)*24,1))</f>
        <v/>
      </c>
      <c r="U48" s="48">
        <f>IF(S48="","",IF(S48&lt;=INDEX('Target Severity'!$B$5:$B$8,MATCH(G48,'Target Severity'!$A$5:$A$8,0)),"Ya","Tidak"))</f>
        <v/>
      </c>
      <c r="V48" s="48">
        <f>IF(T48="","",IF(T48&lt;=INDEX('Target Severity'!$D$5:$D$8,MATCH(G48,'Target Severity'!$A$5:$A$8,0)),"Ya","Tidak"))</f>
        <v/>
      </c>
      <c r="W48" s="46" t="n"/>
    </row>
    <row r="49" ht="15" customHeight="1" s="28">
      <c r="A49" s="46" t="n"/>
      <c r="B49" s="46" t="n"/>
      <c r="C49" s="46" t="n"/>
      <c r="D49" s="46" t="n"/>
      <c r="E49" s="46" t="n"/>
      <c r="F49" s="46" t="n"/>
      <c r="G49" s="46" t="n"/>
      <c r="H49" s="46" t="n"/>
      <c r="I49" s="47" t="n"/>
      <c r="J49" s="47" t="n"/>
      <c r="K49" s="47" t="n"/>
      <c r="L49" s="47" t="n"/>
      <c r="M49" s="46" t="n"/>
      <c r="N49" s="46" t="n"/>
      <c r="O49" s="46" t="n"/>
      <c r="P49" s="48">
        <f>IF(G49="","",IF(OR(G49="P1",G49="P2"),"Ya","Tidak"))</f>
        <v/>
      </c>
      <c r="Q49" s="46" t="n"/>
      <c r="R49" s="46" t="n"/>
      <c r="S49" s="48">
        <f>IF(OR(I49="",J49=""),"",ROUND((J49-I49)*1440,0))</f>
        <v/>
      </c>
      <c r="T49" s="48">
        <f>IF(OR(I49="",K49=""),"",ROUND((K49-I49)*24,1))</f>
        <v/>
      </c>
      <c r="U49" s="48">
        <f>IF(S49="","",IF(S49&lt;=INDEX('Target Severity'!$B$5:$B$8,MATCH(G49,'Target Severity'!$A$5:$A$8,0)),"Ya","Tidak"))</f>
        <v/>
      </c>
      <c r="V49" s="48">
        <f>IF(T49="","",IF(T49&lt;=INDEX('Target Severity'!$D$5:$D$8,MATCH(G49,'Target Severity'!$A$5:$A$8,0)),"Ya","Tidak"))</f>
        <v/>
      </c>
      <c r="W49" s="46" t="n"/>
    </row>
    <row r="50" ht="15" customHeight="1" s="28">
      <c r="A50" s="46" t="n"/>
      <c r="B50" s="46" t="n"/>
      <c r="C50" s="46" t="n"/>
      <c r="D50" s="46" t="n"/>
      <c r="E50" s="46" t="n"/>
      <c r="F50" s="46" t="n"/>
      <c r="G50" s="46" t="n"/>
      <c r="H50" s="46" t="n"/>
      <c r="I50" s="47" t="n"/>
      <c r="J50" s="47" t="n"/>
      <c r="K50" s="47" t="n"/>
      <c r="L50" s="47" t="n"/>
      <c r="M50" s="46" t="n"/>
      <c r="N50" s="46" t="n"/>
      <c r="O50" s="46" t="n"/>
      <c r="P50" s="48">
        <f>IF(G50="","",IF(OR(G50="P1",G50="P2"),"Ya","Tidak"))</f>
        <v/>
      </c>
      <c r="Q50" s="46" t="n"/>
      <c r="R50" s="46" t="n"/>
      <c r="S50" s="48">
        <f>IF(OR(I50="",J50=""),"",ROUND((J50-I50)*1440,0))</f>
        <v/>
      </c>
      <c r="T50" s="48">
        <f>IF(OR(I50="",K50=""),"",ROUND((K50-I50)*24,1))</f>
        <v/>
      </c>
      <c r="U50" s="48">
        <f>IF(S50="","",IF(S50&lt;=INDEX('Target Severity'!$B$5:$B$8,MATCH(G50,'Target Severity'!$A$5:$A$8,0)),"Ya","Tidak"))</f>
        <v/>
      </c>
      <c r="V50" s="48">
        <f>IF(T50="","",IF(T50&lt;=INDEX('Target Severity'!$D$5:$D$8,MATCH(G50,'Target Severity'!$A$5:$A$8,0)),"Ya","Tidak"))</f>
        <v/>
      </c>
      <c r="W50" s="46" t="n"/>
    </row>
    <row r="51" ht="15" customHeight="1" s="28">
      <c r="A51" s="46" t="n"/>
      <c r="B51" s="46" t="n"/>
      <c r="C51" s="46" t="n"/>
      <c r="D51" s="46" t="n"/>
      <c r="E51" s="46" t="n"/>
      <c r="F51" s="46" t="n"/>
      <c r="G51" s="46" t="n"/>
      <c r="H51" s="46" t="n"/>
      <c r="I51" s="47" t="n"/>
      <c r="J51" s="47" t="n"/>
      <c r="K51" s="47" t="n"/>
      <c r="L51" s="47" t="n"/>
      <c r="M51" s="46" t="n"/>
      <c r="N51" s="46" t="n"/>
      <c r="O51" s="46" t="n"/>
      <c r="P51" s="48">
        <f>IF(G51="","",IF(OR(G51="P1",G51="P2"),"Ya","Tidak"))</f>
        <v/>
      </c>
      <c r="Q51" s="46" t="n"/>
      <c r="R51" s="46" t="n"/>
      <c r="S51" s="48">
        <f>IF(OR(I51="",J51=""),"",ROUND((J51-I51)*1440,0))</f>
        <v/>
      </c>
      <c r="T51" s="48">
        <f>IF(OR(I51="",K51=""),"",ROUND((K51-I51)*24,1))</f>
        <v/>
      </c>
      <c r="U51" s="48">
        <f>IF(S51="","",IF(S51&lt;=INDEX('Target Severity'!$B$5:$B$8,MATCH(G51,'Target Severity'!$A$5:$A$8,0)),"Ya","Tidak"))</f>
        <v/>
      </c>
      <c r="V51" s="48">
        <f>IF(T51="","",IF(T51&lt;=INDEX('Target Severity'!$D$5:$D$8,MATCH(G51,'Target Severity'!$A$5:$A$8,0)),"Ya","Tidak"))</f>
        <v/>
      </c>
      <c r="W51" s="46" t="n"/>
    </row>
    <row r="52" ht="15" customHeight="1" s="28">
      <c r="A52" s="46" t="n"/>
      <c r="B52" s="46" t="n"/>
      <c r="C52" s="46" t="n"/>
      <c r="D52" s="46" t="n"/>
      <c r="E52" s="46" t="n"/>
      <c r="F52" s="46" t="n"/>
      <c r="G52" s="46" t="n"/>
      <c r="H52" s="46" t="n"/>
      <c r="I52" s="47" t="n"/>
      <c r="J52" s="47" t="n"/>
      <c r="K52" s="47" t="n"/>
      <c r="L52" s="47" t="n"/>
      <c r="M52" s="46" t="n"/>
      <c r="N52" s="46" t="n"/>
      <c r="O52" s="46" t="n"/>
      <c r="P52" s="48">
        <f>IF(G52="","",IF(OR(G52="P1",G52="P2"),"Ya","Tidak"))</f>
        <v/>
      </c>
      <c r="Q52" s="46" t="n"/>
      <c r="R52" s="46" t="n"/>
      <c r="S52" s="48">
        <f>IF(OR(I52="",J52=""),"",ROUND((J52-I52)*1440,0))</f>
        <v/>
      </c>
      <c r="T52" s="48">
        <f>IF(OR(I52="",K52=""),"",ROUND((K52-I52)*24,1))</f>
        <v/>
      </c>
      <c r="U52" s="48">
        <f>IF(S52="","",IF(S52&lt;=INDEX('Target Severity'!$B$5:$B$8,MATCH(G52,'Target Severity'!$A$5:$A$8,0)),"Ya","Tidak"))</f>
        <v/>
      </c>
      <c r="V52" s="48">
        <f>IF(T52="","",IF(T52&lt;=INDEX('Target Severity'!$D$5:$D$8,MATCH(G52,'Target Severity'!$A$5:$A$8,0)),"Ya","Tidak"))</f>
        <v/>
      </c>
      <c r="W52" s="46" t="n"/>
    </row>
    <row r="53" ht="15" customHeight="1" s="28">
      <c r="A53" s="46" t="n"/>
      <c r="B53" s="46" t="n"/>
      <c r="C53" s="46" t="n"/>
      <c r="D53" s="46" t="n"/>
      <c r="E53" s="46" t="n"/>
      <c r="F53" s="46" t="n"/>
      <c r="G53" s="46" t="n"/>
      <c r="H53" s="46" t="n"/>
      <c r="I53" s="47" t="n"/>
      <c r="J53" s="47" t="n"/>
      <c r="K53" s="47" t="n"/>
      <c r="L53" s="47" t="n"/>
      <c r="M53" s="46" t="n"/>
      <c r="N53" s="46" t="n"/>
      <c r="O53" s="46" t="n"/>
      <c r="P53" s="48">
        <f>IF(G53="","",IF(OR(G53="P1",G53="P2"),"Ya","Tidak"))</f>
        <v/>
      </c>
      <c r="Q53" s="46" t="n"/>
      <c r="R53" s="46" t="n"/>
      <c r="S53" s="48">
        <f>IF(OR(I53="",J53=""),"",ROUND((J53-I53)*1440,0))</f>
        <v/>
      </c>
      <c r="T53" s="48">
        <f>IF(OR(I53="",K53=""),"",ROUND((K53-I53)*24,1))</f>
        <v/>
      </c>
      <c r="U53" s="48">
        <f>IF(S53="","",IF(S53&lt;=INDEX('Target Severity'!$B$5:$B$8,MATCH(G53,'Target Severity'!$A$5:$A$8,0)),"Ya","Tidak"))</f>
        <v/>
      </c>
      <c r="V53" s="48">
        <f>IF(T53="","",IF(T53&lt;=INDEX('Target Severity'!$D$5:$D$8,MATCH(G53,'Target Severity'!$A$5:$A$8,0)),"Ya","Tidak"))</f>
        <v/>
      </c>
      <c r="W53" s="46" t="n"/>
    </row>
    <row r="54" ht="15" customHeight="1" s="28">
      <c r="A54" s="46" t="n"/>
      <c r="B54" s="46" t="n"/>
      <c r="C54" s="46" t="n"/>
      <c r="D54" s="46" t="n"/>
      <c r="E54" s="46" t="n"/>
      <c r="F54" s="46" t="n"/>
      <c r="G54" s="46" t="n"/>
      <c r="H54" s="46" t="n"/>
      <c r="I54" s="47" t="n"/>
      <c r="J54" s="47" t="n"/>
      <c r="K54" s="47" t="n"/>
      <c r="L54" s="47" t="n"/>
      <c r="M54" s="46" t="n"/>
      <c r="N54" s="46" t="n"/>
      <c r="O54" s="46" t="n"/>
      <c r="P54" s="48">
        <f>IF(G54="","",IF(OR(G54="P1",G54="P2"),"Ya","Tidak"))</f>
        <v/>
      </c>
      <c r="Q54" s="46" t="n"/>
      <c r="R54" s="46" t="n"/>
      <c r="S54" s="48">
        <f>IF(OR(I54="",J54=""),"",ROUND((J54-I54)*1440,0))</f>
        <v/>
      </c>
      <c r="T54" s="48">
        <f>IF(OR(I54="",K54=""),"",ROUND((K54-I54)*24,1))</f>
        <v/>
      </c>
      <c r="U54" s="48">
        <f>IF(S54="","",IF(S54&lt;=INDEX('Target Severity'!$B$5:$B$8,MATCH(G54,'Target Severity'!$A$5:$A$8,0)),"Ya","Tidak"))</f>
        <v/>
      </c>
      <c r="V54" s="48">
        <f>IF(T54="","",IF(T54&lt;=INDEX('Target Severity'!$D$5:$D$8,MATCH(G54,'Target Severity'!$A$5:$A$8,0)),"Ya","Tidak"))</f>
        <v/>
      </c>
      <c r="W54" s="46" t="n"/>
    </row>
    <row r="55" ht="15" customHeight="1" s="28">
      <c r="A55" s="46" t="n"/>
      <c r="B55" s="46" t="n"/>
      <c r="C55" s="46" t="n"/>
      <c r="D55" s="46" t="n"/>
      <c r="E55" s="46" t="n"/>
      <c r="F55" s="46" t="n"/>
      <c r="G55" s="46" t="n"/>
      <c r="H55" s="46" t="n"/>
      <c r="I55" s="47" t="n"/>
      <c r="J55" s="47" t="n"/>
      <c r="K55" s="47" t="n"/>
      <c r="L55" s="47" t="n"/>
      <c r="M55" s="46" t="n"/>
      <c r="N55" s="46" t="n"/>
      <c r="O55" s="46" t="n"/>
      <c r="P55" s="48">
        <f>IF(G55="","",IF(OR(G55="P1",G55="P2"),"Ya","Tidak"))</f>
        <v/>
      </c>
      <c r="Q55" s="46" t="n"/>
      <c r="R55" s="46" t="n"/>
      <c r="S55" s="48">
        <f>IF(OR(I55="",J55=""),"",ROUND((J55-I55)*1440,0))</f>
        <v/>
      </c>
      <c r="T55" s="48">
        <f>IF(OR(I55="",K55=""),"",ROUND((K55-I55)*24,1))</f>
        <v/>
      </c>
      <c r="U55" s="48">
        <f>IF(S55="","",IF(S55&lt;=INDEX('Target Severity'!$B$5:$B$8,MATCH(G55,'Target Severity'!$A$5:$A$8,0)),"Ya","Tidak"))</f>
        <v/>
      </c>
      <c r="V55" s="48">
        <f>IF(T55="","",IF(T55&lt;=INDEX('Target Severity'!$D$5:$D$8,MATCH(G55,'Target Severity'!$A$5:$A$8,0)),"Ya","Tidak"))</f>
        <v/>
      </c>
      <c r="W55" s="46" t="n"/>
    </row>
    <row r="56" ht="15" customHeight="1" s="28">
      <c r="A56" s="46" t="n"/>
      <c r="B56" s="46" t="n"/>
      <c r="C56" s="46" t="n"/>
      <c r="D56" s="46" t="n"/>
      <c r="E56" s="46" t="n"/>
      <c r="F56" s="46" t="n"/>
      <c r="G56" s="46" t="n"/>
      <c r="H56" s="46" t="n"/>
      <c r="I56" s="47" t="n"/>
      <c r="J56" s="47" t="n"/>
      <c r="K56" s="47" t="n"/>
      <c r="L56" s="47" t="n"/>
      <c r="M56" s="46" t="n"/>
      <c r="N56" s="46" t="n"/>
      <c r="O56" s="46" t="n"/>
      <c r="P56" s="48">
        <f>IF(G56="","",IF(OR(G56="P1",G56="P2"),"Ya","Tidak"))</f>
        <v/>
      </c>
      <c r="Q56" s="46" t="n"/>
      <c r="R56" s="46" t="n"/>
      <c r="S56" s="48">
        <f>IF(OR(I56="",J56=""),"",ROUND((J56-I56)*1440,0))</f>
        <v/>
      </c>
      <c r="T56" s="48">
        <f>IF(OR(I56="",K56=""),"",ROUND((K56-I56)*24,1))</f>
        <v/>
      </c>
      <c r="U56" s="48">
        <f>IF(S56="","",IF(S56&lt;=INDEX('Target Severity'!$B$5:$B$8,MATCH(G56,'Target Severity'!$A$5:$A$8,0)),"Ya","Tidak"))</f>
        <v/>
      </c>
      <c r="V56" s="48">
        <f>IF(T56="","",IF(T56&lt;=INDEX('Target Severity'!$D$5:$D$8,MATCH(G56,'Target Severity'!$A$5:$A$8,0)),"Ya","Tidak"))</f>
        <v/>
      </c>
      <c r="W56" s="46" t="n"/>
    </row>
    <row r="57" ht="15" customHeight="1" s="28">
      <c r="A57" s="46" t="n"/>
      <c r="B57" s="46" t="n"/>
      <c r="C57" s="46" t="n"/>
      <c r="D57" s="46" t="n"/>
      <c r="E57" s="46" t="n"/>
      <c r="F57" s="46" t="n"/>
      <c r="G57" s="46" t="n"/>
      <c r="H57" s="46" t="n"/>
      <c r="I57" s="47" t="n"/>
      <c r="J57" s="47" t="n"/>
      <c r="K57" s="47" t="n"/>
      <c r="L57" s="47" t="n"/>
      <c r="M57" s="46" t="n"/>
      <c r="N57" s="46" t="n"/>
      <c r="O57" s="46" t="n"/>
      <c r="P57" s="48">
        <f>IF(G57="","",IF(OR(G57="P1",G57="P2"),"Ya","Tidak"))</f>
        <v/>
      </c>
      <c r="Q57" s="46" t="n"/>
      <c r="R57" s="46" t="n"/>
      <c r="S57" s="48">
        <f>IF(OR(I57="",J57=""),"",ROUND((J57-I57)*1440,0))</f>
        <v/>
      </c>
      <c r="T57" s="48">
        <f>IF(OR(I57="",K57=""),"",ROUND((K57-I57)*24,1))</f>
        <v/>
      </c>
      <c r="U57" s="48">
        <f>IF(S57="","",IF(S57&lt;=INDEX('Target Severity'!$B$5:$B$8,MATCH(G57,'Target Severity'!$A$5:$A$8,0)),"Ya","Tidak"))</f>
        <v/>
      </c>
      <c r="V57" s="48">
        <f>IF(T57="","",IF(T57&lt;=INDEX('Target Severity'!$D$5:$D$8,MATCH(G57,'Target Severity'!$A$5:$A$8,0)),"Ya","Tidak"))</f>
        <v/>
      </c>
      <c r="W57" s="46" t="n"/>
    </row>
    <row r="58" ht="15" customHeight="1" s="28">
      <c r="A58" s="46" t="n"/>
      <c r="B58" s="46" t="n"/>
      <c r="C58" s="46" t="n"/>
      <c r="D58" s="46" t="n"/>
      <c r="E58" s="46" t="n"/>
      <c r="F58" s="46" t="n"/>
      <c r="G58" s="46" t="n"/>
      <c r="H58" s="46" t="n"/>
      <c r="I58" s="47" t="n"/>
      <c r="J58" s="47" t="n"/>
      <c r="K58" s="47" t="n"/>
      <c r="L58" s="47" t="n"/>
      <c r="M58" s="46" t="n"/>
      <c r="N58" s="46" t="n"/>
      <c r="O58" s="46" t="n"/>
      <c r="P58" s="48">
        <f>IF(G58="","",IF(OR(G58="P1",G58="P2"),"Ya","Tidak"))</f>
        <v/>
      </c>
      <c r="Q58" s="46" t="n"/>
      <c r="R58" s="46" t="n"/>
      <c r="S58" s="48">
        <f>IF(OR(I58="",J58=""),"",ROUND((J58-I58)*1440,0))</f>
        <v/>
      </c>
      <c r="T58" s="48">
        <f>IF(OR(I58="",K58=""),"",ROUND((K58-I58)*24,1))</f>
        <v/>
      </c>
      <c r="U58" s="48">
        <f>IF(S58="","",IF(S58&lt;=INDEX('Target Severity'!$B$5:$B$8,MATCH(G58,'Target Severity'!$A$5:$A$8,0)),"Ya","Tidak"))</f>
        <v/>
      </c>
      <c r="V58" s="48">
        <f>IF(T58="","",IF(T58&lt;=INDEX('Target Severity'!$D$5:$D$8,MATCH(G58,'Target Severity'!$A$5:$A$8,0)),"Ya","Tidak"))</f>
        <v/>
      </c>
      <c r="W58" s="46" t="n"/>
    </row>
    <row r="59" ht="15" customHeight="1" s="28">
      <c r="A59" s="46" t="n"/>
      <c r="B59" s="46" t="n"/>
      <c r="C59" s="46" t="n"/>
      <c r="D59" s="46" t="n"/>
      <c r="E59" s="46" t="n"/>
      <c r="F59" s="46" t="n"/>
      <c r="G59" s="46" t="n"/>
      <c r="H59" s="46" t="n"/>
      <c r="I59" s="47" t="n"/>
      <c r="J59" s="47" t="n"/>
      <c r="K59" s="47" t="n"/>
      <c r="L59" s="47" t="n"/>
      <c r="M59" s="46" t="n"/>
      <c r="N59" s="46" t="n"/>
      <c r="O59" s="46" t="n"/>
      <c r="P59" s="48">
        <f>IF(G59="","",IF(OR(G59="P1",G59="P2"),"Ya","Tidak"))</f>
        <v/>
      </c>
      <c r="Q59" s="46" t="n"/>
      <c r="R59" s="46" t="n"/>
      <c r="S59" s="48">
        <f>IF(OR(I59="",J59=""),"",ROUND((J59-I59)*1440,0))</f>
        <v/>
      </c>
      <c r="T59" s="48">
        <f>IF(OR(I59="",K59=""),"",ROUND((K59-I59)*24,1))</f>
        <v/>
      </c>
      <c r="U59" s="48">
        <f>IF(S59="","",IF(S59&lt;=INDEX('Target Severity'!$B$5:$B$8,MATCH(G59,'Target Severity'!$A$5:$A$8,0)),"Ya","Tidak"))</f>
        <v/>
      </c>
      <c r="V59" s="48">
        <f>IF(T59="","",IF(T59&lt;=INDEX('Target Severity'!$D$5:$D$8,MATCH(G59,'Target Severity'!$A$5:$A$8,0)),"Ya","Tidak"))</f>
        <v/>
      </c>
      <c r="W59" s="46" t="n"/>
    </row>
    <row r="60" ht="15" customHeight="1" s="28">
      <c r="A60" s="46" t="n"/>
      <c r="B60" s="46" t="n"/>
      <c r="C60" s="46" t="n"/>
      <c r="D60" s="46" t="n"/>
      <c r="E60" s="46" t="n"/>
      <c r="F60" s="46" t="n"/>
      <c r="G60" s="46" t="n"/>
      <c r="H60" s="46" t="n"/>
      <c r="I60" s="47" t="n"/>
      <c r="J60" s="47" t="n"/>
      <c r="K60" s="47" t="n"/>
      <c r="L60" s="47" t="n"/>
      <c r="M60" s="46" t="n"/>
      <c r="N60" s="46" t="n"/>
      <c r="O60" s="46" t="n"/>
      <c r="P60" s="48">
        <f>IF(G60="","",IF(OR(G60="P1",G60="P2"),"Ya","Tidak"))</f>
        <v/>
      </c>
      <c r="Q60" s="46" t="n"/>
      <c r="R60" s="46" t="n"/>
      <c r="S60" s="48">
        <f>IF(OR(I60="",J60=""),"",ROUND((J60-I60)*1440,0))</f>
        <v/>
      </c>
      <c r="T60" s="48">
        <f>IF(OR(I60="",K60=""),"",ROUND((K60-I60)*24,1))</f>
        <v/>
      </c>
      <c r="U60" s="48">
        <f>IF(S60="","",IF(S60&lt;=INDEX('Target Severity'!$B$5:$B$8,MATCH(G60,'Target Severity'!$A$5:$A$8,0)),"Ya","Tidak"))</f>
        <v/>
      </c>
      <c r="V60" s="48">
        <f>IF(T60="","",IF(T60&lt;=INDEX('Target Severity'!$D$5:$D$8,MATCH(G60,'Target Severity'!$A$5:$A$8,0)),"Ya","Tidak"))</f>
        <v/>
      </c>
      <c r="W60" s="46" t="n"/>
    </row>
    <row r="61" ht="15" customHeight="1" s="28">
      <c r="A61" s="46" t="n"/>
      <c r="B61" s="46" t="n"/>
      <c r="C61" s="46" t="n"/>
      <c r="D61" s="46" t="n"/>
      <c r="E61" s="46" t="n"/>
      <c r="F61" s="46" t="n"/>
      <c r="G61" s="46" t="n"/>
      <c r="H61" s="46" t="n"/>
      <c r="I61" s="47" t="n"/>
      <c r="J61" s="47" t="n"/>
      <c r="K61" s="47" t="n"/>
      <c r="L61" s="47" t="n"/>
      <c r="M61" s="46" t="n"/>
      <c r="N61" s="46" t="n"/>
      <c r="O61" s="46" t="n"/>
      <c r="P61" s="48">
        <f>IF(G61="","",IF(OR(G61="P1",G61="P2"),"Ya","Tidak"))</f>
        <v/>
      </c>
      <c r="Q61" s="46" t="n"/>
      <c r="R61" s="46" t="n"/>
      <c r="S61" s="48">
        <f>IF(OR(I61="",J61=""),"",ROUND((J61-I61)*1440,0))</f>
        <v/>
      </c>
      <c r="T61" s="48">
        <f>IF(OR(I61="",K61=""),"",ROUND((K61-I61)*24,1))</f>
        <v/>
      </c>
      <c r="U61" s="48">
        <f>IF(S61="","",IF(S61&lt;=INDEX('Target Severity'!$B$5:$B$8,MATCH(G61,'Target Severity'!$A$5:$A$8,0)),"Ya","Tidak"))</f>
        <v/>
      </c>
      <c r="V61" s="48">
        <f>IF(T61="","",IF(T61&lt;=INDEX('Target Severity'!$D$5:$D$8,MATCH(G61,'Target Severity'!$A$5:$A$8,0)),"Ya","Tidak"))</f>
        <v/>
      </c>
      <c r="W61" s="46" t="n"/>
    </row>
    <row r="62" ht="15" customHeight="1" s="28">
      <c r="A62" s="46" t="n"/>
      <c r="B62" s="46" t="n"/>
      <c r="C62" s="46" t="n"/>
      <c r="D62" s="46" t="n"/>
      <c r="E62" s="46" t="n"/>
      <c r="F62" s="46" t="n"/>
      <c r="G62" s="46" t="n"/>
      <c r="H62" s="46" t="n"/>
      <c r="I62" s="47" t="n"/>
      <c r="J62" s="47" t="n"/>
      <c r="K62" s="47" t="n"/>
      <c r="L62" s="47" t="n"/>
      <c r="M62" s="46" t="n"/>
      <c r="N62" s="46" t="n"/>
      <c r="O62" s="46" t="n"/>
      <c r="P62" s="48">
        <f>IF(G62="","",IF(OR(G62="P1",G62="P2"),"Ya","Tidak"))</f>
        <v/>
      </c>
      <c r="Q62" s="46" t="n"/>
      <c r="R62" s="46" t="n"/>
      <c r="S62" s="48">
        <f>IF(OR(I62="",J62=""),"",ROUND((J62-I62)*1440,0))</f>
        <v/>
      </c>
      <c r="T62" s="48">
        <f>IF(OR(I62="",K62=""),"",ROUND((K62-I62)*24,1))</f>
        <v/>
      </c>
      <c r="U62" s="48">
        <f>IF(S62="","",IF(S62&lt;=INDEX('Target Severity'!$B$5:$B$8,MATCH(G62,'Target Severity'!$A$5:$A$8,0)),"Ya","Tidak"))</f>
        <v/>
      </c>
      <c r="V62" s="48">
        <f>IF(T62="","",IF(T62&lt;=INDEX('Target Severity'!$D$5:$D$8,MATCH(G62,'Target Severity'!$A$5:$A$8,0)),"Ya","Tidak"))</f>
        <v/>
      </c>
      <c r="W62" s="46" t="n"/>
    </row>
    <row r="63" ht="15" customHeight="1" s="28">
      <c r="A63" s="46" t="n"/>
      <c r="B63" s="46" t="n"/>
      <c r="C63" s="46" t="n"/>
      <c r="D63" s="46" t="n"/>
      <c r="E63" s="46" t="n"/>
      <c r="F63" s="46" t="n"/>
      <c r="G63" s="46" t="n"/>
      <c r="H63" s="46" t="n"/>
      <c r="I63" s="47" t="n"/>
      <c r="J63" s="47" t="n"/>
      <c r="K63" s="47" t="n"/>
      <c r="L63" s="47" t="n"/>
      <c r="M63" s="46" t="n"/>
      <c r="N63" s="46" t="n"/>
      <c r="O63" s="46" t="n"/>
      <c r="P63" s="48">
        <f>IF(G63="","",IF(OR(G63="P1",G63="P2"),"Ya","Tidak"))</f>
        <v/>
      </c>
      <c r="Q63" s="46" t="n"/>
      <c r="R63" s="46" t="n"/>
      <c r="S63" s="48">
        <f>IF(OR(I63="",J63=""),"",ROUND((J63-I63)*1440,0))</f>
        <v/>
      </c>
      <c r="T63" s="48">
        <f>IF(OR(I63="",K63=""),"",ROUND((K63-I63)*24,1))</f>
        <v/>
      </c>
      <c r="U63" s="48">
        <f>IF(S63="","",IF(S63&lt;=INDEX('Target Severity'!$B$5:$B$8,MATCH(G63,'Target Severity'!$A$5:$A$8,0)),"Ya","Tidak"))</f>
        <v/>
      </c>
      <c r="V63" s="48">
        <f>IF(T63="","",IF(T63&lt;=INDEX('Target Severity'!$D$5:$D$8,MATCH(G63,'Target Severity'!$A$5:$A$8,0)),"Ya","Tidak"))</f>
        <v/>
      </c>
      <c r="W63" s="46" t="n"/>
    </row>
    <row r="64" ht="15" customHeight="1" s="28">
      <c r="A64" s="46" t="n"/>
      <c r="B64" s="46" t="n"/>
      <c r="C64" s="46" t="n"/>
      <c r="D64" s="46" t="n"/>
      <c r="E64" s="46" t="n"/>
      <c r="F64" s="46" t="n"/>
      <c r="G64" s="46" t="n"/>
      <c r="H64" s="46" t="n"/>
      <c r="I64" s="47" t="n"/>
      <c r="J64" s="47" t="n"/>
      <c r="K64" s="47" t="n"/>
      <c r="L64" s="47" t="n"/>
      <c r="M64" s="46" t="n"/>
      <c r="N64" s="46" t="n"/>
      <c r="O64" s="46" t="n"/>
      <c r="P64" s="48">
        <f>IF(G64="","",IF(OR(G64="P1",G64="P2"),"Ya","Tidak"))</f>
        <v/>
      </c>
      <c r="Q64" s="46" t="n"/>
      <c r="R64" s="46" t="n"/>
      <c r="S64" s="48">
        <f>IF(OR(I64="",J64=""),"",ROUND((J64-I64)*1440,0))</f>
        <v/>
      </c>
      <c r="T64" s="48">
        <f>IF(OR(I64="",K64=""),"",ROUND((K64-I64)*24,1))</f>
        <v/>
      </c>
      <c r="U64" s="48">
        <f>IF(S64="","",IF(S64&lt;=INDEX('Target Severity'!$B$5:$B$8,MATCH(G64,'Target Severity'!$A$5:$A$8,0)),"Ya","Tidak"))</f>
        <v/>
      </c>
      <c r="V64" s="48">
        <f>IF(T64="","",IF(T64&lt;=INDEX('Target Severity'!$D$5:$D$8,MATCH(G64,'Target Severity'!$A$5:$A$8,0)),"Ya","Tidak"))</f>
        <v/>
      </c>
      <c r="W64" s="46" t="n"/>
    </row>
    <row r="65" ht="15" customHeight="1" s="28">
      <c r="A65" s="46" t="n"/>
      <c r="B65" s="46" t="n"/>
      <c r="C65" s="46" t="n"/>
      <c r="D65" s="46" t="n"/>
      <c r="E65" s="46" t="n"/>
      <c r="F65" s="46" t="n"/>
      <c r="G65" s="46" t="n"/>
      <c r="H65" s="46" t="n"/>
      <c r="I65" s="47" t="n"/>
      <c r="J65" s="47" t="n"/>
      <c r="K65" s="47" t="n"/>
      <c r="L65" s="47" t="n"/>
      <c r="M65" s="46" t="n"/>
      <c r="N65" s="46" t="n"/>
      <c r="O65" s="46" t="n"/>
      <c r="P65" s="48">
        <f>IF(G65="","",IF(OR(G65="P1",G65="P2"),"Ya","Tidak"))</f>
        <v/>
      </c>
      <c r="Q65" s="46" t="n"/>
      <c r="R65" s="46" t="n"/>
      <c r="S65" s="48">
        <f>IF(OR(I65="",J65=""),"",ROUND((J65-I65)*1440,0))</f>
        <v/>
      </c>
      <c r="T65" s="48">
        <f>IF(OR(I65="",K65=""),"",ROUND((K65-I65)*24,1))</f>
        <v/>
      </c>
      <c r="U65" s="48">
        <f>IF(S65="","",IF(S65&lt;=INDEX('Target Severity'!$B$5:$B$8,MATCH(G65,'Target Severity'!$A$5:$A$8,0)),"Ya","Tidak"))</f>
        <v/>
      </c>
      <c r="V65" s="48">
        <f>IF(T65="","",IF(T65&lt;=INDEX('Target Severity'!$D$5:$D$8,MATCH(G65,'Target Severity'!$A$5:$A$8,0)),"Ya","Tidak"))</f>
        <v/>
      </c>
      <c r="W65" s="46" t="n"/>
    </row>
    <row r="66" ht="15" customHeight="1" s="28">
      <c r="A66" s="46" t="n"/>
      <c r="B66" s="46" t="n"/>
      <c r="C66" s="46" t="n"/>
      <c r="D66" s="46" t="n"/>
      <c r="E66" s="46" t="n"/>
      <c r="F66" s="46" t="n"/>
      <c r="G66" s="46" t="n"/>
      <c r="H66" s="46" t="n"/>
      <c r="I66" s="47" t="n"/>
      <c r="J66" s="47" t="n"/>
      <c r="K66" s="47" t="n"/>
      <c r="L66" s="47" t="n"/>
      <c r="M66" s="46" t="n"/>
      <c r="N66" s="46" t="n"/>
      <c r="O66" s="46" t="n"/>
      <c r="P66" s="48">
        <f>IF(G66="","",IF(OR(G66="P1",G66="P2"),"Ya","Tidak"))</f>
        <v/>
      </c>
      <c r="Q66" s="46" t="n"/>
      <c r="R66" s="46" t="n"/>
      <c r="S66" s="48">
        <f>IF(OR(I66="",J66=""),"",ROUND((J66-I66)*1440,0))</f>
        <v/>
      </c>
      <c r="T66" s="48">
        <f>IF(OR(I66="",K66=""),"",ROUND((K66-I66)*24,1))</f>
        <v/>
      </c>
      <c r="U66" s="48">
        <f>IF(S66="","",IF(S66&lt;=INDEX('Target Severity'!$B$5:$B$8,MATCH(G66,'Target Severity'!$A$5:$A$8,0)),"Ya","Tidak"))</f>
        <v/>
      </c>
      <c r="V66" s="48">
        <f>IF(T66="","",IF(T66&lt;=INDEX('Target Severity'!$D$5:$D$8,MATCH(G66,'Target Severity'!$A$5:$A$8,0)),"Ya","Tidak"))</f>
        <v/>
      </c>
      <c r="W66" s="46" t="n"/>
    </row>
    <row r="67" ht="15" customHeight="1" s="28">
      <c r="A67" s="46" t="n"/>
      <c r="B67" s="46" t="n"/>
      <c r="C67" s="46" t="n"/>
      <c r="D67" s="46" t="n"/>
      <c r="E67" s="46" t="n"/>
      <c r="F67" s="46" t="n"/>
      <c r="G67" s="46" t="n"/>
      <c r="H67" s="46" t="n"/>
      <c r="I67" s="47" t="n"/>
      <c r="J67" s="47" t="n"/>
      <c r="K67" s="47" t="n"/>
      <c r="L67" s="47" t="n"/>
      <c r="M67" s="46" t="n"/>
      <c r="N67" s="46" t="n"/>
      <c r="O67" s="46" t="n"/>
      <c r="P67" s="48">
        <f>IF(G67="","",IF(OR(G67="P1",G67="P2"),"Ya","Tidak"))</f>
        <v/>
      </c>
      <c r="Q67" s="46" t="n"/>
      <c r="R67" s="46" t="n"/>
      <c r="S67" s="48">
        <f>IF(OR(I67="",J67=""),"",ROUND((J67-I67)*1440,0))</f>
        <v/>
      </c>
      <c r="T67" s="48">
        <f>IF(OR(I67="",K67=""),"",ROUND((K67-I67)*24,1))</f>
        <v/>
      </c>
      <c r="U67" s="48">
        <f>IF(S67="","",IF(S67&lt;=INDEX('Target Severity'!$B$5:$B$8,MATCH(G67,'Target Severity'!$A$5:$A$8,0)),"Ya","Tidak"))</f>
        <v/>
      </c>
      <c r="V67" s="48">
        <f>IF(T67="","",IF(T67&lt;=INDEX('Target Severity'!$D$5:$D$8,MATCH(G67,'Target Severity'!$A$5:$A$8,0)),"Ya","Tidak"))</f>
        <v/>
      </c>
      <c r="W67" s="46" t="n"/>
    </row>
    <row r="68" ht="15" customHeight="1" s="28">
      <c r="A68" s="46" t="n"/>
      <c r="B68" s="46" t="n"/>
      <c r="C68" s="46" t="n"/>
      <c r="D68" s="46" t="n"/>
      <c r="E68" s="46" t="n"/>
      <c r="F68" s="46" t="n"/>
      <c r="G68" s="46" t="n"/>
      <c r="H68" s="46" t="n"/>
      <c r="I68" s="47" t="n"/>
      <c r="J68" s="47" t="n"/>
      <c r="K68" s="47" t="n"/>
      <c r="L68" s="47" t="n"/>
      <c r="M68" s="46" t="n"/>
      <c r="N68" s="46" t="n"/>
      <c r="O68" s="46" t="n"/>
      <c r="P68" s="48">
        <f>IF(G68="","",IF(OR(G68="P1",G68="P2"),"Ya","Tidak"))</f>
        <v/>
      </c>
      <c r="Q68" s="46" t="n"/>
      <c r="R68" s="46" t="n"/>
      <c r="S68" s="48">
        <f>IF(OR(I68="",J68=""),"",ROUND((J68-I68)*1440,0))</f>
        <v/>
      </c>
      <c r="T68" s="48">
        <f>IF(OR(I68="",K68=""),"",ROUND((K68-I68)*24,1))</f>
        <v/>
      </c>
      <c r="U68" s="48">
        <f>IF(S68="","",IF(S68&lt;=INDEX('Target Severity'!$B$5:$B$8,MATCH(G68,'Target Severity'!$A$5:$A$8,0)),"Ya","Tidak"))</f>
        <v/>
      </c>
      <c r="V68" s="48">
        <f>IF(T68="","",IF(T68&lt;=INDEX('Target Severity'!$D$5:$D$8,MATCH(G68,'Target Severity'!$A$5:$A$8,0)),"Ya","Tidak"))</f>
        <v/>
      </c>
      <c r="W68" s="46" t="n"/>
    </row>
    <row r="69" ht="15" customHeight="1" s="28">
      <c r="A69" s="46" t="n"/>
      <c r="B69" s="46" t="n"/>
      <c r="C69" s="46" t="n"/>
      <c r="D69" s="46" t="n"/>
      <c r="E69" s="46" t="n"/>
      <c r="F69" s="46" t="n"/>
      <c r="G69" s="46" t="n"/>
      <c r="H69" s="46" t="n"/>
      <c r="I69" s="47" t="n"/>
      <c r="J69" s="47" t="n"/>
      <c r="K69" s="47" t="n"/>
      <c r="L69" s="47" t="n"/>
      <c r="M69" s="46" t="n"/>
      <c r="N69" s="46" t="n"/>
      <c r="O69" s="46" t="n"/>
      <c r="P69" s="48">
        <f>IF(G69="","",IF(OR(G69="P1",G69="P2"),"Ya","Tidak"))</f>
        <v/>
      </c>
      <c r="Q69" s="46" t="n"/>
      <c r="R69" s="46" t="n"/>
      <c r="S69" s="48">
        <f>IF(OR(I69="",J69=""),"",ROUND((J69-I69)*1440,0))</f>
        <v/>
      </c>
      <c r="T69" s="48">
        <f>IF(OR(I69="",K69=""),"",ROUND((K69-I69)*24,1))</f>
        <v/>
      </c>
      <c r="U69" s="48">
        <f>IF(S69="","",IF(S69&lt;=INDEX('Target Severity'!$B$5:$B$8,MATCH(G69,'Target Severity'!$A$5:$A$8,0)),"Ya","Tidak"))</f>
        <v/>
      </c>
      <c r="V69" s="48">
        <f>IF(T69="","",IF(T69&lt;=INDEX('Target Severity'!$D$5:$D$8,MATCH(G69,'Target Severity'!$A$5:$A$8,0)),"Ya","Tidak"))</f>
        <v/>
      </c>
      <c r="W69" s="46" t="n"/>
    </row>
    <row r="70" ht="15" customHeight="1" s="28">
      <c r="A70" s="46" t="n"/>
      <c r="B70" s="46" t="n"/>
      <c r="C70" s="46" t="n"/>
      <c r="D70" s="46" t="n"/>
      <c r="E70" s="46" t="n"/>
      <c r="F70" s="46" t="n"/>
      <c r="G70" s="46" t="n"/>
      <c r="H70" s="46" t="n"/>
      <c r="I70" s="47" t="n"/>
      <c r="J70" s="47" t="n"/>
      <c r="K70" s="47" t="n"/>
      <c r="L70" s="47" t="n"/>
      <c r="M70" s="46" t="n"/>
      <c r="N70" s="46" t="n"/>
      <c r="O70" s="46" t="n"/>
      <c r="P70" s="48">
        <f>IF(G70="","",IF(OR(G70="P1",G70="P2"),"Ya","Tidak"))</f>
        <v/>
      </c>
      <c r="Q70" s="46" t="n"/>
      <c r="R70" s="46" t="n"/>
      <c r="S70" s="48">
        <f>IF(OR(I70="",J70=""),"",ROUND((J70-I70)*1440,0))</f>
        <v/>
      </c>
      <c r="T70" s="48">
        <f>IF(OR(I70="",K70=""),"",ROUND((K70-I70)*24,1))</f>
        <v/>
      </c>
      <c r="U70" s="48">
        <f>IF(S70="","",IF(S70&lt;=INDEX('Target Severity'!$B$5:$B$8,MATCH(G70,'Target Severity'!$A$5:$A$8,0)),"Ya","Tidak"))</f>
        <v/>
      </c>
      <c r="V70" s="48">
        <f>IF(T70="","",IF(T70&lt;=INDEX('Target Severity'!$D$5:$D$8,MATCH(G70,'Target Severity'!$A$5:$A$8,0)),"Ya","Tidak"))</f>
        <v/>
      </c>
      <c r="W70" s="46" t="n"/>
    </row>
    <row r="71" ht="15" customHeight="1" s="28">
      <c r="A71" s="46" t="n"/>
      <c r="B71" s="46" t="n"/>
      <c r="C71" s="46" t="n"/>
      <c r="D71" s="46" t="n"/>
      <c r="E71" s="46" t="n"/>
      <c r="F71" s="46" t="n"/>
      <c r="G71" s="46" t="n"/>
      <c r="H71" s="46" t="n"/>
      <c r="I71" s="47" t="n"/>
      <c r="J71" s="47" t="n"/>
      <c r="K71" s="47" t="n"/>
      <c r="L71" s="47" t="n"/>
      <c r="M71" s="46" t="n"/>
      <c r="N71" s="46" t="n"/>
      <c r="O71" s="46" t="n"/>
      <c r="P71" s="48">
        <f>IF(G71="","",IF(OR(G71="P1",G71="P2"),"Ya","Tidak"))</f>
        <v/>
      </c>
      <c r="Q71" s="46" t="n"/>
      <c r="R71" s="46" t="n"/>
      <c r="S71" s="48">
        <f>IF(OR(I71="",J71=""),"",ROUND((J71-I71)*1440,0))</f>
        <v/>
      </c>
      <c r="T71" s="48">
        <f>IF(OR(I71="",K71=""),"",ROUND((K71-I71)*24,1))</f>
        <v/>
      </c>
      <c r="U71" s="48">
        <f>IF(S71="","",IF(S71&lt;=INDEX('Target Severity'!$B$5:$B$8,MATCH(G71,'Target Severity'!$A$5:$A$8,0)),"Ya","Tidak"))</f>
        <v/>
      </c>
      <c r="V71" s="48">
        <f>IF(T71="","",IF(T71&lt;=INDEX('Target Severity'!$D$5:$D$8,MATCH(G71,'Target Severity'!$A$5:$A$8,0)),"Ya","Tidak"))</f>
        <v/>
      </c>
      <c r="W71" s="46" t="n"/>
    </row>
    <row r="72" ht="15" customHeight="1" s="28">
      <c r="A72" s="46" t="n"/>
      <c r="B72" s="46" t="n"/>
      <c r="C72" s="46" t="n"/>
      <c r="D72" s="46" t="n"/>
      <c r="E72" s="46" t="n"/>
      <c r="F72" s="46" t="n"/>
      <c r="G72" s="46" t="n"/>
      <c r="H72" s="46" t="n"/>
      <c r="I72" s="47" t="n"/>
      <c r="J72" s="47" t="n"/>
      <c r="K72" s="47" t="n"/>
      <c r="L72" s="47" t="n"/>
      <c r="M72" s="46" t="n"/>
      <c r="N72" s="46" t="n"/>
      <c r="O72" s="46" t="n"/>
      <c r="P72" s="48">
        <f>IF(G72="","",IF(OR(G72="P1",G72="P2"),"Ya","Tidak"))</f>
        <v/>
      </c>
      <c r="Q72" s="46" t="n"/>
      <c r="R72" s="46" t="n"/>
      <c r="S72" s="48">
        <f>IF(OR(I72="",J72=""),"",ROUND((J72-I72)*1440,0))</f>
        <v/>
      </c>
      <c r="T72" s="48">
        <f>IF(OR(I72="",K72=""),"",ROUND((K72-I72)*24,1))</f>
        <v/>
      </c>
      <c r="U72" s="48">
        <f>IF(S72="","",IF(S72&lt;=INDEX('Target Severity'!$B$5:$B$8,MATCH(G72,'Target Severity'!$A$5:$A$8,0)),"Ya","Tidak"))</f>
        <v/>
      </c>
      <c r="V72" s="48">
        <f>IF(T72="","",IF(T72&lt;=INDEX('Target Severity'!$D$5:$D$8,MATCH(G72,'Target Severity'!$A$5:$A$8,0)),"Ya","Tidak"))</f>
        <v/>
      </c>
      <c r="W72" s="46" t="n"/>
    </row>
    <row r="73" ht="15" customHeight="1" s="28">
      <c r="A73" s="46" t="n"/>
      <c r="B73" s="46" t="n"/>
      <c r="C73" s="46" t="n"/>
      <c r="D73" s="46" t="n"/>
      <c r="E73" s="46" t="n"/>
      <c r="F73" s="46" t="n"/>
      <c r="G73" s="46" t="n"/>
      <c r="H73" s="46" t="n"/>
      <c r="I73" s="47" t="n"/>
      <c r="J73" s="47" t="n"/>
      <c r="K73" s="47" t="n"/>
      <c r="L73" s="47" t="n"/>
      <c r="M73" s="46" t="n"/>
      <c r="N73" s="46" t="n"/>
      <c r="O73" s="46" t="n"/>
      <c r="P73" s="48">
        <f>IF(G73="","",IF(OR(G73="P1",G73="P2"),"Ya","Tidak"))</f>
        <v/>
      </c>
      <c r="Q73" s="46" t="n"/>
      <c r="R73" s="46" t="n"/>
      <c r="S73" s="48">
        <f>IF(OR(I73="",J73=""),"",ROUND((J73-I73)*1440,0))</f>
        <v/>
      </c>
      <c r="T73" s="48">
        <f>IF(OR(I73="",K73=""),"",ROUND((K73-I73)*24,1))</f>
        <v/>
      </c>
      <c r="U73" s="48">
        <f>IF(S73="","",IF(S73&lt;=INDEX('Target Severity'!$B$5:$B$8,MATCH(G73,'Target Severity'!$A$5:$A$8,0)),"Ya","Tidak"))</f>
        <v/>
      </c>
      <c r="V73" s="48">
        <f>IF(T73="","",IF(T73&lt;=INDEX('Target Severity'!$D$5:$D$8,MATCH(G73,'Target Severity'!$A$5:$A$8,0)),"Ya","Tidak"))</f>
        <v/>
      </c>
      <c r="W73" s="46" t="n"/>
    </row>
    <row r="74" ht="15" customHeight="1" s="28">
      <c r="A74" s="46" t="n"/>
      <c r="B74" s="46" t="n"/>
      <c r="C74" s="46" t="n"/>
      <c r="D74" s="46" t="n"/>
      <c r="E74" s="46" t="n"/>
      <c r="F74" s="46" t="n"/>
      <c r="G74" s="46" t="n"/>
      <c r="H74" s="46" t="n"/>
      <c r="I74" s="47" t="n"/>
      <c r="J74" s="47" t="n"/>
      <c r="K74" s="47" t="n"/>
      <c r="L74" s="47" t="n"/>
      <c r="M74" s="46" t="n"/>
      <c r="N74" s="46" t="n"/>
      <c r="O74" s="46" t="n"/>
      <c r="P74" s="48">
        <f>IF(G74="","",IF(OR(G74="P1",G74="P2"),"Ya","Tidak"))</f>
        <v/>
      </c>
      <c r="Q74" s="46" t="n"/>
      <c r="R74" s="46" t="n"/>
      <c r="S74" s="48">
        <f>IF(OR(I74="",J74=""),"",ROUND((J74-I74)*1440,0))</f>
        <v/>
      </c>
      <c r="T74" s="48">
        <f>IF(OR(I74="",K74=""),"",ROUND((K74-I74)*24,1))</f>
        <v/>
      </c>
      <c r="U74" s="48">
        <f>IF(S74="","",IF(S74&lt;=INDEX('Target Severity'!$B$5:$B$8,MATCH(G74,'Target Severity'!$A$5:$A$8,0)),"Ya","Tidak"))</f>
        <v/>
      </c>
      <c r="V74" s="48">
        <f>IF(T74="","",IF(T74&lt;=INDEX('Target Severity'!$D$5:$D$8,MATCH(G74,'Target Severity'!$A$5:$A$8,0)),"Ya","Tidak"))</f>
        <v/>
      </c>
      <c r="W74" s="46" t="n"/>
    </row>
    <row r="75" ht="15" customHeight="1" s="28">
      <c r="A75" s="46" t="n"/>
      <c r="B75" s="46" t="n"/>
      <c r="C75" s="46" t="n"/>
      <c r="D75" s="46" t="n"/>
      <c r="E75" s="46" t="n"/>
      <c r="F75" s="46" t="n"/>
      <c r="G75" s="46" t="n"/>
      <c r="H75" s="46" t="n"/>
      <c r="I75" s="47" t="n"/>
      <c r="J75" s="47" t="n"/>
      <c r="K75" s="47" t="n"/>
      <c r="L75" s="47" t="n"/>
      <c r="M75" s="46" t="n"/>
      <c r="N75" s="46" t="n"/>
      <c r="O75" s="46" t="n"/>
      <c r="P75" s="48">
        <f>IF(G75="","",IF(OR(G75="P1",G75="P2"),"Ya","Tidak"))</f>
        <v/>
      </c>
      <c r="Q75" s="46" t="n"/>
      <c r="R75" s="46" t="n"/>
      <c r="S75" s="48">
        <f>IF(OR(I75="",J75=""),"",ROUND((J75-I75)*1440,0))</f>
        <v/>
      </c>
      <c r="T75" s="48">
        <f>IF(OR(I75="",K75=""),"",ROUND((K75-I75)*24,1))</f>
        <v/>
      </c>
      <c r="U75" s="48">
        <f>IF(S75="","",IF(S75&lt;=INDEX('Target Severity'!$B$5:$B$8,MATCH(G75,'Target Severity'!$A$5:$A$8,0)),"Ya","Tidak"))</f>
        <v/>
      </c>
      <c r="V75" s="48">
        <f>IF(T75="","",IF(T75&lt;=INDEX('Target Severity'!$D$5:$D$8,MATCH(G75,'Target Severity'!$A$5:$A$8,0)),"Ya","Tidak"))</f>
        <v/>
      </c>
      <c r="W75" s="46" t="n"/>
    </row>
    <row r="76" ht="15" customHeight="1" s="28">
      <c r="A76" s="46" t="n"/>
      <c r="B76" s="46" t="n"/>
      <c r="C76" s="46" t="n"/>
      <c r="D76" s="46" t="n"/>
      <c r="E76" s="46" t="n"/>
      <c r="F76" s="46" t="n"/>
      <c r="G76" s="46" t="n"/>
      <c r="H76" s="46" t="n"/>
      <c r="I76" s="47" t="n"/>
      <c r="J76" s="47" t="n"/>
      <c r="K76" s="47" t="n"/>
      <c r="L76" s="47" t="n"/>
      <c r="M76" s="46" t="n"/>
      <c r="N76" s="46" t="n"/>
      <c r="O76" s="46" t="n"/>
      <c r="P76" s="48">
        <f>IF(G76="","",IF(OR(G76="P1",G76="P2"),"Ya","Tidak"))</f>
        <v/>
      </c>
      <c r="Q76" s="46" t="n"/>
      <c r="R76" s="46" t="n"/>
      <c r="S76" s="48">
        <f>IF(OR(I76="",J76=""),"",ROUND((J76-I76)*1440,0))</f>
        <v/>
      </c>
      <c r="T76" s="48">
        <f>IF(OR(I76="",K76=""),"",ROUND((K76-I76)*24,1))</f>
        <v/>
      </c>
      <c r="U76" s="48">
        <f>IF(S76="","",IF(S76&lt;=INDEX('Target Severity'!$B$5:$B$8,MATCH(G76,'Target Severity'!$A$5:$A$8,0)),"Ya","Tidak"))</f>
        <v/>
      </c>
      <c r="V76" s="48">
        <f>IF(T76="","",IF(T76&lt;=INDEX('Target Severity'!$D$5:$D$8,MATCH(G76,'Target Severity'!$A$5:$A$8,0)),"Ya","Tidak"))</f>
        <v/>
      </c>
      <c r="W76" s="46" t="n"/>
    </row>
    <row r="77" ht="15" customHeight="1" s="28">
      <c r="A77" s="46" t="n"/>
      <c r="B77" s="46" t="n"/>
      <c r="C77" s="46" t="n"/>
      <c r="D77" s="46" t="n"/>
      <c r="E77" s="46" t="n"/>
      <c r="F77" s="46" t="n"/>
      <c r="G77" s="46" t="n"/>
      <c r="H77" s="46" t="n"/>
      <c r="I77" s="47" t="n"/>
      <c r="J77" s="47" t="n"/>
      <c r="K77" s="47" t="n"/>
      <c r="L77" s="47" t="n"/>
      <c r="M77" s="46" t="n"/>
      <c r="N77" s="46" t="n"/>
      <c r="O77" s="46" t="n"/>
      <c r="P77" s="48">
        <f>IF(G77="","",IF(OR(G77="P1",G77="P2"),"Ya","Tidak"))</f>
        <v/>
      </c>
      <c r="Q77" s="46" t="n"/>
      <c r="R77" s="46" t="n"/>
      <c r="S77" s="48">
        <f>IF(OR(I77="",J77=""),"",ROUND((J77-I77)*1440,0))</f>
        <v/>
      </c>
      <c r="T77" s="48">
        <f>IF(OR(I77="",K77=""),"",ROUND((K77-I77)*24,1))</f>
        <v/>
      </c>
      <c r="U77" s="48">
        <f>IF(S77="","",IF(S77&lt;=INDEX('Target Severity'!$B$5:$B$8,MATCH(G77,'Target Severity'!$A$5:$A$8,0)),"Ya","Tidak"))</f>
        <v/>
      </c>
      <c r="V77" s="48">
        <f>IF(T77="","",IF(T77&lt;=INDEX('Target Severity'!$D$5:$D$8,MATCH(G77,'Target Severity'!$A$5:$A$8,0)),"Ya","Tidak"))</f>
        <v/>
      </c>
      <c r="W77" s="46" t="n"/>
    </row>
    <row r="78" ht="15" customHeight="1" s="28">
      <c r="A78" s="46" t="n"/>
      <c r="B78" s="46" t="n"/>
      <c r="C78" s="46" t="n"/>
      <c r="D78" s="46" t="n"/>
      <c r="E78" s="46" t="n"/>
      <c r="F78" s="46" t="n"/>
      <c r="G78" s="46" t="n"/>
      <c r="H78" s="46" t="n"/>
      <c r="I78" s="47" t="n"/>
      <c r="J78" s="47" t="n"/>
      <c r="K78" s="47" t="n"/>
      <c r="L78" s="47" t="n"/>
      <c r="M78" s="46" t="n"/>
      <c r="N78" s="46" t="n"/>
      <c r="O78" s="46" t="n"/>
      <c r="P78" s="48">
        <f>IF(G78="","",IF(OR(G78="P1",G78="P2"),"Ya","Tidak"))</f>
        <v/>
      </c>
      <c r="Q78" s="46" t="n"/>
      <c r="R78" s="46" t="n"/>
      <c r="S78" s="48">
        <f>IF(OR(I78="",J78=""),"",ROUND((J78-I78)*1440,0))</f>
        <v/>
      </c>
      <c r="T78" s="48">
        <f>IF(OR(I78="",K78=""),"",ROUND((K78-I78)*24,1))</f>
        <v/>
      </c>
      <c r="U78" s="48">
        <f>IF(S78="","",IF(S78&lt;=INDEX('Target Severity'!$B$5:$B$8,MATCH(G78,'Target Severity'!$A$5:$A$8,0)),"Ya","Tidak"))</f>
        <v/>
      </c>
      <c r="V78" s="48">
        <f>IF(T78="","",IF(T78&lt;=INDEX('Target Severity'!$D$5:$D$8,MATCH(G78,'Target Severity'!$A$5:$A$8,0)),"Ya","Tidak"))</f>
        <v/>
      </c>
      <c r="W78" s="46" t="n"/>
    </row>
    <row r="79" ht="15" customHeight="1" s="28">
      <c r="A79" s="46" t="n"/>
      <c r="B79" s="46" t="n"/>
      <c r="C79" s="46" t="n"/>
      <c r="D79" s="46" t="n"/>
      <c r="E79" s="46" t="n"/>
      <c r="F79" s="46" t="n"/>
      <c r="G79" s="46" t="n"/>
      <c r="H79" s="46" t="n"/>
      <c r="I79" s="47" t="n"/>
      <c r="J79" s="47" t="n"/>
      <c r="K79" s="47" t="n"/>
      <c r="L79" s="47" t="n"/>
      <c r="M79" s="46" t="n"/>
      <c r="N79" s="46" t="n"/>
      <c r="O79" s="46" t="n"/>
      <c r="P79" s="48">
        <f>IF(G79="","",IF(OR(G79="P1",G79="P2"),"Ya","Tidak"))</f>
        <v/>
      </c>
      <c r="Q79" s="46" t="n"/>
      <c r="R79" s="46" t="n"/>
      <c r="S79" s="48">
        <f>IF(OR(I79="",J79=""),"",ROUND((J79-I79)*1440,0))</f>
        <v/>
      </c>
      <c r="T79" s="48">
        <f>IF(OR(I79="",K79=""),"",ROUND((K79-I79)*24,1))</f>
        <v/>
      </c>
      <c r="U79" s="48">
        <f>IF(S79="","",IF(S79&lt;=INDEX('Target Severity'!$B$5:$B$8,MATCH(G79,'Target Severity'!$A$5:$A$8,0)),"Ya","Tidak"))</f>
        <v/>
      </c>
      <c r="V79" s="48">
        <f>IF(T79="","",IF(T79&lt;=INDEX('Target Severity'!$D$5:$D$8,MATCH(G79,'Target Severity'!$A$5:$A$8,0)),"Ya","Tidak"))</f>
        <v/>
      </c>
      <c r="W79" s="46" t="n"/>
    </row>
    <row r="80" ht="15" customHeight="1" s="28">
      <c r="A80" s="46" t="n"/>
      <c r="B80" s="46" t="n"/>
      <c r="C80" s="46" t="n"/>
      <c r="D80" s="46" t="n"/>
      <c r="E80" s="46" t="n"/>
      <c r="F80" s="46" t="n"/>
      <c r="G80" s="46" t="n"/>
      <c r="H80" s="46" t="n"/>
      <c r="I80" s="47" t="n"/>
      <c r="J80" s="47" t="n"/>
      <c r="K80" s="47" t="n"/>
      <c r="L80" s="47" t="n"/>
      <c r="M80" s="46" t="n"/>
      <c r="N80" s="46" t="n"/>
      <c r="O80" s="46" t="n"/>
      <c r="P80" s="48">
        <f>IF(G80="","",IF(OR(G80="P1",G80="P2"),"Ya","Tidak"))</f>
        <v/>
      </c>
      <c r="Q80" s="46" t="n"/>
      <c r="R80" s="46" t="n"/>
      <c r="S80" s="48">
        <f>IF(OR(I80="",J80=""),"",ROUND((J80-I80)*1440,0))</f>
        <v/>
      </c>
      <c r="T80" s="48">
        <f>IF(OR(I80="",K80=""),"",ROUND((K80-I80)*24,1))</f>
        <v/>
      </c>
      <c r="U80" s="48">
        <f>IF(S80="","",IF(S80&lt;=INDEX('Target Severity'!$B$5:$B$8,MATCH(G80,'Target Severity'!$A$5:$A$8,0)),"Ya","Tidak"))</f>
        <v/>
      </c>
      <c r="V80" s="48">
        <f>IF(T80="","",IF(T80&lt;=INDEX('Target Severity'!$D$5:$D$8,MATCH(G80,'Target Severity'!$A$5:$A$8,0)),"Ya","Tidak"))</f>
        <v/>
      </c>
      <c r="W80" s="46" t="n"/>
    </row>
    <row r="81" ht="15" customHeight="1" s="28">
      <c r="A81" s="46" t="n"/>
      <c r="B81" s="46" t="n"/>
      <c r="C81" s="46" t="n"/>
      <c r="D81" s="46" t="n"/>
      <c r="E81" s="46" t="n"/>
      <c r="F81" s="46" t="n"/>
      <c r="G81" s="46" t="n"/>
      <c r="H81" s="46" t="n"/>
      <c r="I81" s="47" t="n"/>
      <c r="J81" s="47" t="n"/>
      <c r="K81" s="47" t="n"/>
      <c r="L81" s="47" t="n"/>
      <c r="M81" s="46" t="n"/>
      <c r="N81" s="46" t="n"/>
      <c r="O81" s="46" t="n"/>
      <c r="P81" s="48">
        <f>IF(G81="","",IF(OR(G81="P1",G81="P2"),"Ya","Tidak"))</f>
        <v/>
      </c>
      <c r="Q81" s="46" t="n"/>
      <c r="R81" s="46" t="n"/>
      <c r="S81" s="48">
        <f>IF(OR(I81="",J81=""),"",ROUND((J81-I81)*1440,0))</f>
        <v/>
      </c>
      <c r="T81" s="48">
        <f>IF(OR(I81="",K81=""),"",ROUND((K81-I81)*24,1))</f>
        <v/>
      </c>
      <c r="U81" s="48">
        <f>IF(S81="","",IF(S81&lt;=INDEX('Target Severity'!$B$5:$B$8,MATCH(G81,'Target Severity'!$A$5:$A$8,0)),"Ya","Tidak"))</f>
        <v/>
      </c>
      <c r="V81" s="48">
        <f>IF(T81="","",IF(T81&lt;=INDEX('Target Severity'!$D$5:$D$8,MATCH(G81,'Target Severity'!$A$5:$A$8,0)),"Ya","Tidak"))</f>
        <v/>
      </c>
      <c r="W81" s="46" t="n"/>
    </row>
    <row r="82" ht="15" customHeight="1" s="28">
      <c r="A82" s="46" t="n"/>
      <c r="B82" s="46" t="n"/>
      <c r="C82" s="46" t="n"/>
      <c r="D82" s="46" t="n"/>
      <c r="E82" s="46" t="n"/>
      <c r="F82" s="46" t="n"/>
      <c r="G82" s="46" t="n"/>
      <c r="H82" s="46" t="n"/>
      <c r="I82" s="47" t="n"/>
      <c r="J82" s="47" t="n"/>
      <c r="K82" s="47" t="n"/>
      <c r="L82" s="47" t="n"/>
      <c r="M82" s="46" t="n"/>
      <c r="N82" s="46" t="n"/>
      <c r="O82" s="46" t="n"/>
      <c r="P82" s="48">
        <f>IF(G82="","",IF(OR(G82="P1",G82="P2"),"Ya","Tidak"))</f>
        <v/>
      </c>
      <c r="Q82" s="46" t="n"/>
      <c r="R82" s="46" t="n"/>
      <c r="S82" s="48">
        <f>IF(OR(I82="",J82=""),"",ROUND((J82-I82)*1440,0))</f>
        <v/>
      </c>
      <c r="T82" s="48">
        <f>IF(OR(I82="",K82=""),"",ROUND((K82-I82)*24,1))</f>
        <v/>
      </c>
      <c r="U82" s="48">
        <f>IF(S82="","",IF(S82&lt;=INDEX('Target Severity'!$B$5:$B$8,MATCH(G82,'Target Severity'!$A$5:$A$8,0)),"Ya","Tidak"))</f>
        <v/>
      </c>
      <c r="V82" s="48">
        <f>IF(T82="","",IF(T82&lt;=INDEX('Target Severity'!$D$5:$D$8,MATCH(G82,'Target Severity'!$A$5:$A$8,0)),"Ya","Tidak"))</f>
        <v/>
      </c>
      <c r="W82" s="46" t="n"/>
    </row>
    <row r="83" ht="15" customHeight="1" s="28">
      <c r="A83" s="46" t="n"/>
      <c r="B83" s="46" t="n"/>
      <c r="C83" s="46" t="n"/>
      <c r="D83" s="46" t="n"/>
      <c r="E83" s="46" t="n"/>
      <c r="F83" s="46" t="n"/>
      <c r="G83" s="46" t="n"/>
      <c r="H83" s="46" t="n"/>
      <c r="I83" s="47" t="n"/>
      <c r="J83" s="47" t="n"/>
      <c r="K83" s="47" t="n"/>
      <c r="L83" s="47" t="n"/>
      <c r="M83" s="46" t="n"/>
      <c r="N83" s="46" t="n"/>
      <c r="O83" s="46" t="n"/>
      <c r="P83" s="48">
        <f>IF(G83="","",IF(OR(G83="P1",G83="P2"),"Ya","Tidak"))</f>
        <v/>
      </c>
      <c r="Q83" s="46" t="n"/>
      <c r="R83" s="46" t="n"/>
      <c r="S83" s="48">
        <f>IF(OR(I83="",J83=""),"",ROUND((J83-I83)*1440,0))</f>
        <v/>
      </c>
      <c r="T83" s="48">
        <f>IF(OR(I83="",K83=""),"",ROUND((K83-I83)*24,1))</f>
        <v/>
      </c>
      <c r="U83" s="48">
        <f>IF(S83="","",IF(S83&lt;=INDEX('Target Severity'!$B$5:$B$8,MATCH(G83,'Target Severity'!$A$5:$A$8,0)),"Ya","Tidak"))</f>
        <v/>
      </c>
      <c r="V83" s="48">
        <f>IF(T83="","",IF(T83&lt;=INDEX('Target Severity'!$D$5:$D$8,MATCH(G83,'Target Severity'!$A$5:$A$8,0)),"Ya","Tidak"))</f>
        <v/>
      </c>
      <c r="W83" s="46" t="n"/>
    </row>
    <row r="84" ht="15" customHeight="1" s="28">
      <c r="A84" s="46" t="n"/>
      <c r="B84" s="46" t="n"/>
      <c r="C84" s="46" t="n"/>
      <c r="D84" s="46" t="n"/>
      <c r="E84" s="46" t="n"/>
      <c r="F84" s="46" t="n"/>
      <c r="G84" s="46" t="n"/>
      <c r="H84" s="46" t="n"/>
      <c r="I84" s="47" t="n"/>
      <c r="J84" s="47" t="n"/>
      <c r="K84" s="47" t="n"/>
      <c r="L84" s="47" t="n"/>
      <c r="M84" s="46" t="n"/>
      <c r="N84" s="46" t="n"/>
      <c r="O84" s="46" t="n"/>
      <c r="P84" s="48">
        <f>IF(G84="","",IF(OR(G84="P1",G84="P2"),"Ya","Tidak"))</f>
        <v/>
      </c>
      <c r="Q84" s="46" t="n"/>
      <c r="R84" s="46" t="n"/>
      <c r="S84" s="48">
        <f>IF(OR(I84="",J84=""),"",ROUND((J84-I84)*1440,0))</f>
        <v/>
      </c>
      <c r="T84" s="48">
        <f>IF(OR(I84="",K84=""),"",ROUND((K84-I84)*24,1))</f>
        <v/>
      </c>
      <c r="U84" s="48">
        <f>IF(S84="","",IF(S84&lt;=INDEX('Target Severity'!$B$5:$B$8,MATCH(G84,'Target Severity'!$A$5:$A$8,0)),"Ya","Tidak"))</f>
        <v/>
      </c>
      <c r="V84" s="48">
        <f>IF(T84="","",IF(T84&lt;=INDEX('Target Severity'!$D$5:$D$8,MATCH(G84,'Target Severity'!$A$5:$A$8,0)),"Ya","Tidak"))</f>
        <v/>
      </c>
      <c r="W84" s="46" t="n"/>
    </row>
    <row r="85" ht="15" customHeight="1" s="28">
      <c r="A85" s="46" t="n"/>
      <c r="B85" s="46" t="n"/>
      <c r="C85" s="46" t="n"/>
      <c r="D85" s="46" t="n"/>
      <c r="E85" s="46" t="n"/>
      <c r="F85" s="46" t="n"/>
      <c r="G85" s="46" t="n"/>
      <c r="H85" s="46" t="n"/>
      <c r="I85" s="47" t="n"/>
      <c r="J85" s="47" t="n"/>
      <c r="K85" s="47" t="n"/>
      <c r="L85" s="47" t="n"/>
      <c r="M85" s="46" t="n"/>
      <c r="N85" s="46" t="n"/>
      <c r="O85" s="46" t="n"/>
      <c r="P85" s="48">
        <f>IF(G85="","",IF(OR(G85="P1",G85="P2"),"Ya","Tidak"))</f>
        <v/>
      </c>
      <c r="Q85" s="46" t="n"/>
      <c r="R85" s="46" t="n"/>
      <c r="S85" s="48">
        <f>IF(OR(I85="",J85=""),"",ROUND((J85-I85)*1440,0))</f>
        <v/>
      </c>
      <c r="T85" s="48">
        <f>IF(OR(I85="",K85=""),"",ROUND((K85-I85)*24,1))</f>
        <v/>
      </c>
      <c r="U85" s="48">
        <f>IF(S85="","",IF(S85&lt;=INDEX('Target Severity'!$B$5:$B$8,MATCH(G85,'Target Severity'!$A$5:$A$8,0)),"Ya","Tidak"))</f>
        <v/>
      </c>
      <c r="V85" s="48">
        <f>IF(T85="","",IF(T85&lt;=INDEX('Target Severity'!$D$5:$D$8,MATCH(G85,'Target Severity'!$A$5:$A$8,0)),"Ya","Tidak"))</f>
        <v/>
      </c>
      <c r="W85" s="46" t="n"/>
    </row>
    <row r="86" ht="15" customHeight="1" s="28">
      <c r="A86" s="46" t="n"/>
      <c r="B86" s="46" t="n"/>
      <c r="C86" s="46" t="n"/>
      <c r="D86" s="46" t="n"/>
      <c r="E86" s="46" t="n"/>
      <c r="F86" s="46" t="n"/>
      <c r="G86" s="46" t="n"/>
      <c r="H86" s="46" t="n"/>
      <c r="I86" s="47" t="n"/>
      <c r="J86" s="47" t="n"/>
      <c r="K86" s="47" t="n"/>
      <c r="L86" s="47" t="n"/>
      <c r="M86" s="46" t="n"/>
      <c r="N86" s="46" t="n"/>
      <c r="O86" s="46" t="n"/>
      <c r="P86" s="48">
        <f>IF(G86="","",IF(OR(G86="P1",G86="P2"),"Ya","Tidak"))</f>
        <v/>
      </c>
      <c r="Q86" s="46" t="n"/>
      <c r="R86" s="46" t="n"/>
      <c r="S86" s="48">
        <f>IF(OR(I86="",J86=""),"",ROUND((J86-I86)*1440,0))</f>
        <v/>
      </c>
      <c r="T86" s="48">
        <f>IF(OR(I86="",K86=""),"",ROUND((K86-I86)*24,1))</f>
        <v/>
      </c>
      <c r="U86" s="48">
        <f>IF(S86="","",IF(S86&lt;=INDEX('Target Severity'!$B$5:$B$8,MATCH(G86,'Target Severity'!$A$5:$A$8,0)),"Ya","Tidak"))</f>
        <v/>
      </c>
      <c r="V86" s="48">
        <f>IF(T86="","",IF(T86&lt;=INDEX('Target Severity'!$D$5:$D$8,MATCH(G86,'Target Severity'!$A$5:$A$8,0)),"Ya","Tidak"))</f>
        <v/>
      </c>
      <c r="W86" s="46" t="n"/>
    </row>
    <row r="87" ht="15" customHeight="1" s="28">
      <c r="A87" s="46" t="n"/>
      <c r="B87" s="46" t="n"/>
      <c r="C87" s="46" t="n"/>
      <c r="D87" s="46" t="n"/>
      <c r="E87" s="46" t="n"/>
      <c r="F87" s="46" t="n"/>
      <c r="G87" s="46" t="n"/>
      <c r="H87" s="46" t="n"/>
      <c r="I87" s="47" t="n"/>
      <c r="J87" s="47" t="n"/>
      <c r="K87" s="47" t="n"/>
      <c r="L87" s="47" t="n"/>
      <c r="M87" s="46" t="n"/>
      <c r="N87" s="46" t="n"/>
      <c r="O87" s="46" t="n"/>
      <c r="P87" s="48">
        <f>IF(G87="","",IF(OR(G87="P1",G87="P2"),"Ya","Tidak"))</f>
        <v/>
      </c>
      <c r="Q87" s="46" t="n"/>
      <c r="R87" s="46" t="n"/>
      <c r="S87" s="48">
        <f>IF(OR(I87="",J87=""),"",ROUND((J87-I87)*1440,0))</f>
        <v/>
      </c>
      <c r="T87" s="48">
        <f>IF(OR(I87="",K87=""),"",ROUND((K87-I87)*24,1))</f>
        <v/>
      </c>
      <c r="U87" s="48">
        <f>IF(S87="","",IF(S87&lt;=INDEX('Target Severity'!$B$5:$B$8,MATCH(G87,'Target Severity'!$A$5:$A$8,0)),"Ya","Tidak"))</f>
        <v/>
      </c>
      <c r="V87" s="48">
        <f>IF(T87="","",IF(T87&lt;=INDEX('Target Severity'!$D$5:$D$8,MATCH(G87,'Target Severity'!$A$5:$A$8,0)),"Ya","Tidak"))</f>
        <v/>
      </c>
      <c r="W87" s="46" t="n"/>
    </row>
    <row r="88" ht="15" customHeight="1" s="28">
      <c r="A88" s="46" t="n"/>
      <c r="B88" s="46" t="n"/>
      <c r="C88" s="46" t="n"/>
      <c r="D88" s="46" t="n"/>
      <c r="E88" s="46" t="n"/>
      <c r="F88" s="46" t="n"/>
      <c r="G88" s="46" t="n"/>
      <c r="H88" s="46" t="n"/>
      <c r="I88" s="47" t="n"/>
      <c r="J88" s="47" t="n"/>
      <c r="K88" s="47" t="n"/>
      <c r="L88" s="47" t="n"/>
      <c r="M88" s="46" t="n"/>
      <c r="N88" s="46" t="n"/>
      <c r="O88" s="46" t="n"/>
      <c r="P88" s="48">
        <f>IF(G88="","",IF(OR(G88="P1",G88="P2"),"Ya","Tidak"))</f>
        <v/>
      </c>
      <c r="Q88" s="46" t="n"/>
      <c r="R88" s="46" t="n"/>
      <c r="S88" s="48">
        <f>IF(OR(I88="",J88=""),"",ROUND((J88-I88)*1440,0))</f>
        <v/>
      </c>
      <c r="T88" s="48">
        <f>IF(OR(I88="",K88=""),"",ROUND((K88-I88)*24,1))</f>
        <v/>
      </c>
      <c r="U88" s="48">
        <f>IF(S88="","",IF(S88&lt;=INDEX('Target Severity'!$B$5:$B$8,MATCH(G88,'Target Severity'!$A$5:$A$8,0)),"Ya","Tidak"))</f>
        <v/>
      </c>
      <c r="V88" s="48">
        <f>IF(T88="","",IF(T88&lt;=INDEX('Target Severity'!$D$5:$D$8,MATCH(G88,'Target Severity'!$A$5:$A$8,0)),"Ya","Tidak"))</f>
        <v/>
      </c>
      <c r="W88" s="46" t="n"/>
    </row>
    <row r="89" ht="15" customHeight="1" s="28">
      <c r="A89" s="46" t="n"/>
      <c r="B89" s="46" t="n"/>
      <c r="C89" s="46" t="n"/>
      <c r="D89" s="46" t="n"/>
      <c r="E89" s="46" t="n"/>
      <c r="F89" s="46" t="n"/>
      <c r="G89" s="46" t="n"/>
      <c r="H89" s="46" t="n"/>
      <c r="I89" s="47" t="n"/>
      <c r="J89" s="47" t="n"/>
      <c r="K89" s="47" t="n"/>
      <c r="L89" s="47" t="n"/>
      <c r="M89" s="46" t="n"/>
      <c r="N89" s="46" t="n"/>
      <c r="O89" s="46" t="n"/>
      <c r="P89" s="48">
        <f>IF(G89="","",IF(OR(G89="P1",G89="P2"),"Ya","Tidak"))</f>
        <v/>
      </c>
      <c r="Q89" s="46" t="n"/>
      <c r="R89" s="46" t="n"/>
      <c r="S89" s="48">
        <f>IF(OR(I89="",J89=""),"",ROUND((J89-I89)*1440,0))</f>
        <v/>
      </c>
      <c r="T89" s="48">
        <f>IF(OR(I89="",K89=""),"",ROUND((K89-I89)*24,1))</f>
        <v/>
      </c>
      <c r="U89" s="48">
        <f>IF(S89="","",IF(S89&lt;=INDEX('Target Severity'!$B$5:$B$8,MATCH(G89,'Target Severity'!$A$5:$A$8,0)),"Ya","Tidak"))</f>
        <v/>
      </c>
      <c r="V89" s="48">
        <f>IF(T89="","",IF(T89&lt;=INDEX('Target Severity'!$D$5:$D$8,MATCH(G89,'Target Severity'!$A$5:$A$8,0)),"Ya","Tidak"))</f>
        <v/>
      </c>
      <c r="W89" s="46" t="n"/>
    </row>
    <row r="90" ht="15" customHeight="1" s="28">
      <c r="A90" s="46" t="n"/>
      <c r="B90" s="46" t="n"/>
      <c r="C90" s="46" t="n"/>
      <c r="D90" s="46" t="n"/>
      <c r="E90" s="46" t="n"/>
      <c r="F90" s="46" t="n"/>
      <c r="G90" s="46" t="n"/>
      <c r="H90" s="46" t="n"/>
      <c r="I90" s="47" t="n"/>
      <c r="J90" s="47" t="n"/>
      <c r="K90" s="47" t="n"/>
      <c r="L90" s="47" t="n"/>
      <c r="M90" s="46" t="n"/>
      <c r="N90" s="46" t="n"/>
      <c r="O90" s="46" t="n"/>
      <c r="P90" s="48">
        <f>IF(G90="","",IF(OR(G90="P1",G90="P2"),"Ya","Tidak"))</f>
        <v/>
      </c>
      <c r="Q90" s="46" t="n"/>
      <c r="R90" s="46" t="n"/>
      <c r="S90" s="48">
        <f>IF(OR(I90="",J90=""),"",ROUND((J90-I90)*1440,0))</f>
        <v/>
      </c>
      <c r="T90" s="48">
        <f>IF(OR(I90="",K90=""),"",ROUND((K90-I90)*24,1))</f>
        <v/>
      </c>
      <c r="U90" s="48">
        <f>IF(S90="","",IF(S90&lt;=INDEX('Target Severity'!$B$5:$B$8,MATCH(G90,'Target Severity'!$A$5:$A$8,0)),"Ya","Tidak"))</f>
        <v/>
      </c>
      <c r="V90" s="48">
        <f>IF(T90="","",IF(T90&lt;=INDEX('Target Severity'!$D$5:$D$8,MATCH(G90,'Target Severity'!$A$5:$A$8,0)),"Ya","Tidak"))</f>
        <v/>
      </c>
      <c r="W90" s="46" t="n"/>
    </row>
    <row r="91" ht="15" customHeight="1" s="28">
      <c r="A91" s="46" t="n"/>
      <c r="B91" s="46" t="n"/>
      <c r="C91" s="46" t="n"/>
      <c r="D91" s="46" t="n"/>
      <c r="E91" s="46" t="n"/>
      <c r="F91" s="46" t="n"/>
      <c r="G91" s="46" t="n"/>
      <c r="H91" s="46" t="n"/>
      <c r="I91" s="47" t="n"/>
      <c r="J91" s="47" t="n"/>
      <c r="K91" s="47" t="n"/>
      <c r="L91" s="47" t="n"/>
      <c r="M91" s="46" t="n"/>
      <c r="N91" s="46" t="n"/>
      <c r="O91" s="46" t="n"/>
      <c r="P91" s="48">
        <f>IF(G91="","",IF(OR(G91="P1",G91="P2"),"Ya","Tidak"))</f>
        <v/>
      </c>
      <c r="Q91" s="46" t="n"/>
      <c r="R91" s="46" t="n"/>
      <c r="S91" s="48">
        <f>IF(OR(I91="",J91=""),"",ROUND((J91-I91)*1440,0))</f>
        <v/>
      </c>
      <c r="T91" s="48">
        <f>IF(OR(I91="",K91=""),"",ROUND((K91-I91)*24,1))</f>
        <v/>
      </c>
      <c r="U91" s="48">
        <f>IF(S91="","",IF(S91&lt;=INDEX('Target Severity'!$B$5:$B$8,MATCH(G91,'Target Severity'!$A$5:$A$8,0)),"Ya","Tidak"))</f>
        <v/>
      </c>
      <c r="V91" s="48">
        <f>IF(T91="","",IF(T91&lt;=INDEX('Target Severity'!$D$5:$D$8,MATCH(G91,'Target Severity'!$A$5:$A$8,0)),"Ya","Tidak"))</f>
        <v/>
      </c>
      <c r="W91" s="46" t="n"/>
    </row>
    <row r="92" ht="15" customHeight="1" s="28">
      <c r="A92" s="46" t="n"/>
      <c r="B92" s="46" t="n"/>
      <c r="C92" s="46" t="n"/>
      <c r="D92" s="46" t="n"/>
      <c r="E92" s="46" t="n"/>
      <c r="F92" s="46" t="n"/>
      <c r="G92" s="46" t="n"/>
      <c r="H92" s="46" t="n"/>
      <c r="I92" s="47" t="n"/>
      <c r="J92" s="47" t="n"/>
      <c r="K92" s="47" t="n"/>
      <c r="L92" s="47" t="n"/>
      <c r="M92" s="46" t="n"/>
      <c r="N92" s="46" t="n"/>
      <c r="O92" s="46" t="n"/>
      <c r="P92" s="48">
        <f>IF(G92="","",IF(OR(G92="P1",G92="P2"),"Ya","Tidak"))</f>
        <v/>
      </c>
      <c r="Q92" s="46" t="n"/>
      <c r="R92" s="46" t="n"/>
      <c r="S92" s="48">
        <f>IF(OR(I92="",J92=""),"",ROUND((J92-I92)*1440,0))</f>
        <v/>
      </c>
      <c r="T92" s="48">
        <f>IF(OR(I92="",K92=""),"",ROUND((K92-I92)*24,1))</f>
        <v/>
      </c>
      <c r="U92" s="48">
        <f>IF(S92="","",IF(S92&lt;=INDEX('Target Severity'!$B$5:$B$8,MATCH(G92,'Target Severity'!$A$5:$A$8,0)),"Ya","Tidak"))</f>
        <v/>
      </c>
      <c r="V92" s="48">
        <f>IF(T92="","",IF(T92&lt;=INDEX('Target Severity'!$D$5:$D$8,MATCH(G92,'Target Severity'!$A$5:$A$8,0)),"Ya","Tidak"))</f>
        <v/>
      </c>
      <c r="W92" s="46" t="n"/>
    </row>
    <row r="93" ht="15" customHeight="1" s="28">
      <c r="A93" s="46" t="n"/>
      <c r="B93" s="46" t="n"/>
      <c r="C93" s="46" t="n"/>
      <c r="D93" s="46" t="n"/>
      <c r="E93" s="46" t="n"/>
      <c r="F93" s="46" t="n"/>
      <c r="G93" s="46" t="n"/>
      <c r="H93" s="46" t="n"/>
      <c r="I93" s="47" t="n"/>
      <c r="J93" s="47" t="n"/>
      <c r="K93" s="47" t="n"/>
      <c r="L93" s="47" t="n"/>
      <c r="M93" s="46" t="n"/>
      <c r="N93" s="46" t="n"/>
      <c r="O93" s="46" t="n"/>
      <c r="P93" s="48">
        <f>IF(G93="","",IF(OR(G93="P1",G93="P2"),"Ya","Tidak"))</f>
        <v/>
      </c>
      <c r="Q93" s="46" t="n"/>
      <c r="R93" s="46" t="n"/>
      <c r="S93" s="48">
        <f>IF(OR(I93="",J93=""),"",ROUND((J93-I93)*1440,0))</f>
        <v/>
      </c>
      <c r="T93" s="48">
        <f>IF(OR(I93="",K93=""),"",ROUND((K93-I93)*24,1))</f>
        <v/>
      </c>
      <c r="U93" s="48">
        <f>IF(S93="","",IF(S93&lt;=INDEX('Target Severity'!$B$5:$B$8,MATCH(G93,'Target Severity'!$A$5:$A$8,0)),"Ya","Tidak"))</f>
        <v/>
      </c>
      <c r="V93" s="48">
        <f>IF(T93="","",IF(T93&lt;=INDEX('Target Severity'!$D$5:$D$8,MATCH(G93,'Target Severity'!$A$5:$A$8,0)),"Ya","Tidak"))</f>
        <v/>
      </c>
      <c r="W93" s="46" t="n"/>
    </row>
    <row r="94" ht="15" customHeight="1" s="28">
      <c r="A94" s="46" t="n"/>
      <c r="B94" s="46" t="n"/>
      <c r="C94" s="46" t="n"/>
      <c r="D94" s="46" t="n"/>
      <c r="E94" s="46" t="n"/>
      <c r="F94" s="46" t="n"/>
      <c r="G94" s="46" t="n"/>
      <c r="H94" s="46" t="n"/>
      <c r="I94" s="47" t="n"/>
      <c r="J94" s="47" t="n"/>
      <c r="K94" s="47" t="n"/>
      <c r="L94" s="47" t="n"/>
      <c r="M94" s="46" t="n"/>
      <c r="N94" s="46" t="n"/>
      <c r="O94" s="46" t="n"/>
      <c r="P94" s="48">
        <f>IF(G94="","",IF(OR(G94="P1",G94="P2"),"Ya","Tidak"))</f>
        <v/>
      </c>
      <c r="Q94" s="46" t="n"/>
      <c r="R94" s="46" t="n"/>
      <c r="S94" s="48">
        <f>IF(OR(I94="",J94=""),"",ROUND((J94-I94)*1440,0))</f>
        <v/>
      </c>
      <c r="T94" s="48">
        <f>IF(OR(I94="",K94=""),"",ROUND((K94-I94)*24,1))</f>
        <v/>
      </c>
      <c r="U94" s="48">
        <f>IF(S94="","",IF(S94&lt;=INDEX('Target Severity'!$B$5:$B$8,MATCH(G94,'Target Severity'!$A$5:$A$8,0)),"Ya","Tidak"))</f>
        <v/>
      </c>
      <c r="V94" s="48">
        <f>IF(T94="","",IF(T94&lt;=INDEX('Target Severity'!$D$5:$D$8,MATCH(G94,'Target Severity'!$A$5:$A$8,0)),"Ya","Tidak"))</f>
        <v/>
      </c>
      <c r="W94" s="46" t="n"/>
    </row>
    <row r="95" ht="15" customHeight="1" s="28">
      <c r="A95" s="46" t="n"/>
      <c r="B95" s="46" t="n"/>
      <c r="C95" s="46" t="n"/>
      <c r="D95" s="46" t="n"/>
      <c r="E95" s="46" t="n"/>
      <c r="F95" s="46" t="n"/>
      <c r="G95" s="46" t="n"/>
      <c r="H95" s="46" t="n"/>
      <c r="I95" s="47" t="n"/>
      <c r="J95" s="47" t="n"/>
      <c r="K95" s="47" t="n"/>
      <c r="L95" s="47" t="n"/>
      <c r="M95" s="46" t="n"/>
      <c r="N95" s="46" t="n"/>
      <c r="O95" s="46" t="n"/>
      <c r="P95" s="48">
        <f>IF(G95="","",IF(OR(G95="P1",G95="P2"),"Ya","Tidak"))</f>
        <v/>
      </c>
      <c r="Q95" s="46" t="n"/>
      <c r="R95" s="46" t="n"/>
      <c r="S95" s="48">
        <f>IF(OR(I95="",J95=""),"",ROUND((J95-I95)*1440,0))</f>
        <v/>
      </c>
      <c r="T95" s="48">
        <f>IF(OR(I95="",K95=""),"",ROUND((K95-I95)*24,1))</f>
        <v/>
      </c>
      <c r="U95" s="48">
        <f>IF(S95="","",IF(S95&lt;=INDEX('Target Severity'!$B$5:$B$8,MATCH(G95,'Target Severity'!$A$5:$A$8,0)),"Ya","Tidak"))</f>
        <v/>
      </c>
      <c r="V95" s="48">
        <f>IF(T95="","",IF(T95&lt;=INDEX('Target Severity'!$D$5:$D$8,MATCH(G95,'Target Severity'!$A$5:$A$8,0)),"Ya","Tidak"))</f>
        <v/>
      </c>
      <c r="W95" s="46" t="n"/>
    </row>
    <row r="96" ht="15" customHeight="1" s="28">
      <c r="A96" s="46" t="n"/>
      <c r="B96" s="46" t="n"/>
      <c r="C96" s="46" t="n"/>
      <c r="D96" s="46" t="n"/>
      <c r="E96" s="46" t="n"/>
      <c r="F96" s="46" t="n"/>
      <c r="G96" s="46" t="n"/>
      <c r="H96" s="46" t="n"/>
      <c r="I96" s="47" t="n"/>
      <c r="J96" s="47" t="n"/>
      <c r="K96" s="47" t="n"/>
      <c r="L96" s="47" t="n"/>
      <c r="M96" s="46" t="n"/>
      <c r="N96" s="46" t="n"/>
      <c r="O96" s="46" t="n"/>
      <c r="P96" s="48">
        <f>IF(G96="","",IF(OR(G96="P1",G96="P2"),"Ya","Tidak"))</f>
        <v/>
      </c>
      <c r="Q96" s="46" t="n"/>
      <c r="R96" s="46" t="n"/>
      <c r="S96" s="48">
        <f>IF(OR(I96="",J96=""),"",ROUND((J96-I96)*1440,0))</f>
        <v/>
      </c>
      <c r="T96" s="48">
        <f>IF(OR(I96="",K96=""),"",ROUND((K96-I96)*24,1))</f>
        <v/>
      </c>
      <c r="U96" s="48">
        <f>IF(S96="","",IF(S96&lt;=INDEX('Target Severity'!$B$5:$B$8,MATCH(G96,'Target Severity'!$A$5:$A$8,0)),"Ya","Tidak"))</f>
        <v/>
      </c>
      <c r="V96" s="48">
        <f>IF(T96="","",IF(T96&lt;=INDEX('Target Severity'!$D$5:$D$8,MATCH(G96,'Target Severity'!$A$5:$A$8,0)),"Ya","Tidak"))</f>
        <v/>
      </c>
      <c r="W96" s="46" t="n"/>
    </row>
    <row r="97" ht="15" customHeight="1" s="28">
      <c r="A97" s="46" t="n"/>
      <c r="B97" s="46" t="n"/>
      <c r="C97" s="46" t="n"/>
      <c r="D97" s="46" t="n"/>
      <c r="E97" s="46" t="n"/>
      <c r="F97" s="46" t="n"/>
      <c r="G97" s="46" t="n"/>
      <c r="H97" s="46" t="n"/>
      <c r="I97" s="47" t="n"/>
      <c r="J97" s="47" t="n"/>
      <c r="K97" s="47" t="n"/>
      <c r="L97" s="47" t="n"/>
      <c r="M97" s="46" t="n"/>
      <c r="N97" s="46" t="n"/>
      <c r="O97" s="46" t="n"/>
      <c r="P97" s="48">
        <f>IF(G97="","",IF(OR(G97="P1",G97="P2"),"Ya","Tidak"))</f>
        <v/>
      </c>
      <c r="Q97" s="46" t="n"/>
      <c r="R97" s="46" t="n"/>
      <c r="S97" s="48">
        <f>IF(OR(I97="",J97=""),"",ROUND((J97-I97)*1440,0))</f>
        <v/>
      </c>
      <c r="T97" s="48">
        <f>IF(OR(I97="",K97=""),"",ROUND((K97-I97)*24,1))</f>
        <v/>
      </c>
      <c r="U97" s="48">
        <f>IF(S97="","",IF(S97&lt;=INDEX('Target Severity'!$B$5:$B$8,MATCH(G97,'Target Severity'!$A$5:$A$8,0)),"Ya","Tidak"))</f>
        <v/>
      </c>
      <c r="V97" s="48">
        <f>IF(T97="","",IF(T97&lt;=INDEX('Target Severity'!$D$5:$D$8,MATCH(G97,'Target Severity'!$A$5:$A$8,0)),"Ya","Tidak"))</f>
        <v/>
      </c>
      <c r="W97" s="46" t="n"/>
    </row>
    <row r="98" ht="15" customHeight="1" s="28">
      <c r="A98" s="46" t="n"/>
      <c r="B98" s="46" t="n"/>
      <c r="C98" s="46" t="n"/>
      <c r="D98" s="46" t="n"/>
      <c r="E98" s="46" t="n"/>
      <c r="F98" s="46" t="n"/>
      <c r="G98" s="46" t="n"/>
      <c r="H98" s="46" t="n"/>
      <c r="I98" s="47" t="n"/>
      <c r="J98" s="47" t="n"/>
      <c r="K98" s="47" t="n"/>
      <c r="L98" s="47" t="n"/>
      <c r="M98" s="46" t="n"/>
      <c r="N98" s="46" t="n"/>
      <c r="O98" s="46" t="n"/>
      <c r="P98" s="48">
        <f>IF(G98="","",IF(OR(G98="P1",G98="P2"),"Ya","Tidak"))</f>
        <v/>
      </c>
      <c r="Q98" s="46" t="n"/>
      <c r="R98" s="46" t="n"/>
      <c r="S98" s="48">
        <f>IF(OR(I98="",J98=""),"",ROUND((J98-I98)*1440,0))</f>
        <v/>
      </c>
      <c r="T98" s="48">
        <f>IF(OR(I98="",K98=""),"",ROUND((K98-I98)*24,1))</f>
        <v/>
      </c>
      <c r="U98" s="48">
        <f>IF(S98="","",IF(S98&lt;=INDEX('Target Severity'!$B$5:$B$8,MATCH(G98,'Target Severity'!$A$5:$A$8,0)),"Ya","Tidak"))</f>
        <v/>
      </c>
      <c r="V98" s="48">
        <f>IF(T98="","",IF(T98&lt;=INDEX('Target Severity'!$D$5:$D$8,MATCH(G98,'Target Severity'!$A$5:$A$8,0)),"Ya","Tidak"))</f>
        <v/>
      </c>
      <c r="W98" s="46" t="n"/>
    </row>
    <row r="99" ht="15" customHeight="1" s="28">
      <c r="A99" s="46" t="n"/>
      <c r="B99" s="46" t="n"/>
      <c r="C99" s="46" t="n"/>
      <c r="D99" s="46" t="n"/>
      <c r="E99" s="46" t="n"/>
      <c r="F99" s="46" t="n"/>
      <c r="G99" s="46" t="n"/>
      <c r="H99" s="46" t="n"/>
      <c r="I99" s="47" t="n"/>
      <c r="J99" s="47" t="n"/>
      <c r="K99" s="47" t="n"/>
      <c r="L99" s="47" t="n"/>
      <c r="M99" s="46" t="n"/>
      <c r="N99" s="46" t="n"/>
      <c r="O99" s="46" t="n"/>
      <c r="P99" s="48">
        <f>IF(G99="","",IF(OR(G99="P1",G99="P2"),"Ya","Tidak"))</f>
        <v/>
      </c>
      <c r="Q99" s="46" t="n"/>
      <c r="R99" s="46" t="n"/>
      <c r="S99" s="48">
        <f>IF(OR(I99="",J99=""),"",ROUND((J99-I99)*1440,0))</f>
        <v/>
      </c>
      <c r="T99" s="48">
        <f>IF(OR(I99="",K99=""),"",ROUND((K99-I99)*24,1))</f>
        <v/>
      </c>
      <c r="U99" s="48">
        <f>IF(S99="","",IF(S99&lt;=INDEX('Target Severity'!$B$5:$B$8,MATCH(G99,'Target Severity'!$A$5:$A$8,0)),"Ya","Tidak"))</f>
        <v/>
      </c>
      <c r="V99" s="48">
        <f>IF(T99="","",IF(T99&lt;=INDEX('Target Severity'!$D$5:$D$8,MATCH(G99,'Target Severity'!$A$5:$A$8,0)),"Ya","Tidak"))</f>
        <v/>
      </c>
      <c r="W99" s="46" t="n"/>
    </row>
    <row r="100" ht="15" customHeight="1" s="28">
      <c r="A100" s="46" t="n"/>
      <c r="B100" s="46" t="n"/>
      <c r="C100" s="46" t="n"/>
      <c r="D100" s="46" t="n"/>
      <c r="E100" s="46" t="n"/>
      <c r="F100" s="46" t="n"/>
      <c r="G100" s="46" t="n"/>
      <c r="H100" s="46" t="n"/>
      <c r="I100" s="47" t="n"/>
      <c r="J100" s="47" t="n"/>
      <c r="K100" s="47" t="n"/>
      <c r="L100" s="47" t="n"/>
      <c r="M100" s="46" t="n"/>
      <c r="N100" s="46" t="n"/>
      <c r="O100" s="46" t="n"/>
      <c r="P100" s="48">
        <f>IF(G100="","",IF(OR(G100="P1",G100="P2"),"Ya","Tidak"))</f>
        <v/>
      </c>
      <c r="Q100" s="46" t="n"/>
      <c r="R100" s="46" t="n"/>
      <c r="S100" s="48">
        <f>IF(OR(I100="",J100=""),"",ROUND((J100-I100)*1440,0))</f>
        <v/>
      </c>
      <c r="T100" s="48">
        <f>IF(OR(I100="",K100=""),"",ROUND((K100-I100)*24,1))</f>
        <v/>
      </c>
      <c r="U100" s="48">
        <f>IF(S100="","",IF(S100&lt;=INDEX('Target Severity'!$B$5:$B$8,MATCH(G100,'Target Severity'!$A$5:$A$8,0)),"Ya","Tidak"))</f>
        <v/>
      </c>
      <c r="V100" s="48">
        <f>IF(T100="","",IF(T100&lt;=INDEX('Target Severity'!$D$5:$D$8,MATCH(G100,'Target Severity'!$A$5:$A$8,0)),"Ya","Tidak"))</f>
        <v/>
      </c>
      <c r="W100" s="46" t="n"/>
    </row>
    <row r="101" ht="15" customHeight="1" s="28">
      <c r="A101" s="46" t="n"/>
      <c r="B101" s="46" t="n"/>
      <c r="C101" s="46" t="n"/>
      <c r="D101" s="46" t="n"/>
      <c r="E101" s="46" t="n"/>
      <c r="F101" s="46" t="n"/>
      <c r="G101" s="46" t="n"/>
      <c r="H101" s="46" t="n"/>
      <c r="I101" s="47" t="n"/>
      <c r="J101" s="47" t="n"/>
      <c r="K101" s="47" t="n"/>
      <c r="L101" s="47" t="n"/>
      <c r="M101" s="46" t="n"/>
      <c r="N101" s="46" t="n"/>
      <c r="O101" s="46" t="n"/>
      <c r="P101" s="48">
        <f>IF(G101="","",IF(OR(G101="P1",G101="P2"),"Ya","Tidak"))</f>
        <v/>
      </c>
      <c r="Q101" s="46" t="n"/>
      <c r="R101" s="46" t="n"/>
      <c r="S101" s="48">
        <f>IF(OR(I101="",J101=""),"",ROUND((J101-I101)*1440,0))</f>
        <v/>
      </c>
      <c r="T101" s="48">
        <f>IF(OR(I101="",K101=""),"",ROUND((K101-I101)*24,1))</f>
        <v/>
      </c>
      <c r="U101" s="48">
        <f>IF(S101="","",IF(S101&lt;=INDEX('Target Severity'!$B$5:$B$8,MATCH(G101,'Target Severity'!$A$5:$A$8,0)),"Ya","Tidak"))</f>
        <v/>
      </c>
      <c r="V101" s="48">
        <f>IF(T101="","",IF(T101&lt;=INDEX('Target Severity'!$D$5:$D$8,MATCH(G101,'Target Severity'!$A$5:$A$8,0)),"Ya","Tidak"))</f>
        <v/>
      </c>
      <c r="W101" s="46" t="n"/>
    </row>
    <row r="102" ht="15" customHeight="1" s="28">
      <c r="A102" s="46" t="n"/>
      <c r="B102" s="46" t="n"/>
      <c r="C102" s="46" t="n"/>
      <c r="D102" s="46" t="n"/>
      <c r="E102" s="46" t="n"/>
      <c r="F102" s="46" t="n"/>
      <c r="G102" s="46" t="n"/>
      <c r="H102" s="46" t="n"/>
      <c r="I102" s="47" t="n"/>
      <c r="J102" s="47" t="n"/>
      <c r="K102" s="47" t="n"/>
      <c r="L102" s="47" t="n"/>
      <c r="M102" s="46" t="n"/>
      <c r="N102" s="46" t="n"/>
      <c r="O102" s="46" t="n"/>
      <c r="P102" s="48">
        <f>IF(G102="","",IF(OR(G102="P1",G102="P2"),"Ya","Tidak"))</f>
        <v/>
      </c>
      <c r="Q102" s="46" t="n"/>
      <c r="R102" s="46" t="n"/>
      <c r="S102" s="48">
        <f>IF(OR(I102="",J102=""),"",ROUND((J102-I102)*1440,0))</f>
        <v/>
      </c>
      <c r="T102" s="48">
        <f>IF(OR(I102="",K102=""),"",ROUND((K102-I102)*24,1))</f>
        <v/>
      </c>
      <c r="U102" s="48">
        <f>IF(S102="","",IF(S102&lt;=INDEX('Target Severity'!$B$5:$B$8,MATCH(G102,'Target Severity'!$A$5:$A$8,0)),"Ya","Tidak"))</f>
        <v/>
      </c>
      <c r="V102" s="48">
        <f>IF(T102="","",IF(T102&lt;=INDEX('Target Severity'!$D$5:$D$8,MATCH(G102,'Target Severity'!$A$5:$A$8,0)),"Ya","Tidak"))</f>
        <v/>
      </c>
      <c r="W102" s="46" t="n"/>
    </row>
    <row r="103" ht="15" customHeight="1" s="28">
      <c r="A103" s="46" t="n"/>
      <c r="B103" s="46" t="n"/>
      <c r="C103" s="46" t="n"/>
      <c r="D103" s="46" t="n"/>
      <c r="E103" s="46" t="n"/>
      <c r="F103" s="46" t="n"/>
      <c r="G103" s="46" t="n"/>
      <c r="H103" s="46" t="n"/>
      <c r="I103" s="47" t="n"/>
      <c r="J103" s="47" t="n"/>
      <c r="K103" s="47" t="n"/>
      <c r="L103" s="47" t="n"/>
      <c r="M103" s="46" t="n"/>
      <c r="N103" s="46" t="n"/>
      <c r="O103" s="46" t="n"/>
      <c r="P103" s="48">
        <f>IF(G103="","",IF(OR(G103="P1",G103="P2"),"Ya","Tidak"))</f>
        <v/>
      </c>
      <c r="Q103" s="46" t="n"/>
      <c r="R103" s="46" t="n"/>
      <c r="S103" s="48">
        <f>IF(OR(I103="",J103=""),"",ROUND((J103-I103)*1440,0))</f>
        <v/>
      </c>
      <c r="T103" s="48">
        <f>IF(OR(I103="",K103=""),"",ROUND((K103-I103)*24,1))</f>
        <v/>
      </c>
      <c r="U103" s="48">
        <f>IF(S103="","",IF(S103&lt;=INDEX('Target Severity'!$B$5:$B$8,MATCH(G103,'Target Severity'!$A$5:$A$8,0)),"Ya","Tidak"))</f>
        <v/>
      </c>
      <c r="V103" s="48">
        <f>IF(T103="","",IF(T103&lt;=INDEX('Target Severity'!$D$5:$D$8,MATCH(G103,'Target Severity'!$A$5:$A$8,0)),"Ya","Tidak"))</f>
        <v/>
      </c>
      <c r="W103" s="46" t="n"/>
    </row>
    <row r="104" ht="15" customHeight="1" s="28">
      <c r="A104" s="46" t="n"/>
      <c r="B104" s="46" t="n"/>
      <c r="C104" s="46" t="n"/>
      <c r="D104" s="46" t="n"/>
      <c r="E104" s="46" t="n"/>
      <c r="F104" s="46" t="n"/>
      <c r="G104" s="46" t="n"/>
      <c r="H104" s="46" t="n"/>
      <c r="I104" s="47" t="n"/>
      <c r="J104" s="47" t="n"/>
      <c r="K104" s="47" t="n"/>
      <c r="L104" s="47" t="n"/>
      <c r="M104" s="46" t="n"/>
      <c r="N104" s="46" t="n"/>
      <c r="O104" s="46" t="n"/>
      <c r="P104" s="48">
        <f>IF(G104="","",IF(OR(G104="P1",G104="P2"),"Ya","Tidak"))</f>
        <v/>
      </c>
      <c r="Q104" s="46" t="n"/>
      <c r="R104" s="46" t="n"/>
      <c r="S104" s="48">
        <f>IF(OR(I104="",J104=""),"",ROUND((J104-I104)*1440,0))</f>
        <v/>
      </c>
      <c r="T104" s="48">
        <f>IF(OR(I104="",K104=""),"",ROUND((K104-I104)*24,1))</f>
        <v/>
      </c>
      <c r="U104" s="48">
        <f>IF(S104="","",IF(S104&lt;=INDEX('Target Severity'!$B$5:$B$8,MATCH(G104,'Target Severity'!$A$5:$A$8,0)),"Ya","Tidak"))</f>
        <v/>
      </c>
      <c r="V104" s="48">
        <f>IF(T104="","",IF(T104&lt;=INDEX('Target Severity'!$D$5:$D$8,MATCH(G104,'Target Severity'!$A$5:$A$8,0)),"Ya","Tidak"))</f>
        <v/>
      </c>
      <c r="W104" s="46" t="n"/>
    </row>
    <row r="105" ht="15" customHeight="1" s="28">
      <c r="A105" s="46" t="n"/>
      <c r="B105" s="46" t="n"/>
      <c r="C105" s="46" t="n"/>
      <c r="D105" s="46" t="n"/>
      <c r="E105" s="46" t="n"/>
      <c r="F105" s="46" t="n"/>
      <c r="G105" s="46" t="n"/>
      <c r="H105" s="46" t="n"/>
      <c r="I105" s="47" t="n"/>
      <c r="J105" s="47" t="n"/>
      <c r="K105" s="47" t="n"/>
      <c r="L105" s="47" t="n"/>
      <c r="M105" s="46" t="n"/>
      <c r="N105" s="46" t="n"/>
      <c r="O105" s="46" t="n"/>
      <c r="P105" s="48">
        <f>IF(G105="","",IF(OR(G105="P1",G105="P2"),"Ya","Tidak"))</f>
        <v/>
      </c>
      <c r="Q105" s="46" t="n"/>
      <c r="R105" s="46" t="n"/>
      <c r="S105" s="48">
        <f>IF(OR(I105="",J105=""),"",ROUND((J105-I105)*1440,0))</f>
        <v/>
      </c>
      <c r="T105" s="48">
        <f>IF(OR(I105="",K105=""),"",ROUND((K105-I105)*24,1))</f>
        <v/>
      </c>
      <c r="U105" s="48">
        <f>IF(S105="","",IF(S105&lt;=INDEX('Target Severity'!$B$5:$B$8,MATCH(G105,'Target Severity'!$A$5:$A$8,0)),"Ya","Tidak"))</f>
        <v/>
      </c>
      <c r="V105" s="48">
        <f>IF(T105="","",IF(T105&lt;=INDEX('Target Severity'!$D$5:$D$8,MATCH(G105,'Target Severity'!$A$5:$A$8,0)),"Ya","Tidak"))</f>
        <v/>
      </c>
      <c r="W105" s="46" t="n"/>
    </row>
    <row r="106" ht="15" customHeight="1" s="28">
      <c r="A106" s="46" t="n"/>
      <c r="B106" s="46" t="n"/>
      <c r="C106" s="46" t="n"/>
      <c r="D106" s="46" t="n"/>
      <c r="E106" s="46" t="n"/>
      <c r="F106" s="46" t="n"/>
      <c r="G106" s="46" t="n"/>
      <c r="H106" s="46" t="n"/>
      <c r="I106" s="47" t="n"/>
      <c r="J106" s="47" t="n"/>
      <c r="K106" s="47" t="n"/>
      <c r="L106" s="47" t="n"/>
      <c r="M106" s="46" t="n"/>
      <c r="N106" s="46" t="n"/>
      <c r="O106" s="46" t="n"/>
      <c r="P106" s="48">
        <f>IF(G106="","",IF(OR(G106="P1",G106="P2"),"Ya","Tidak"))</f>
        <v/>
      </c>
      <c r="Q106" s="46" t="n"/>
      <c r="R106" s="46" t="n"/>
      <c r="S106" s="48">
        <f>IF(OR(I106="",J106=""),"",ROUND((J106-I106)*1440,0))</f>
        <v/>
      </c>
      <c r="T106" s="48">
        <f>IF(OR(I106="",K106=""),"",ROUND((K106-I106)*24,1))</f>
        <v/>
      </c>
      <c r="U106" s="48">
        <f>IF(S106="","",IF(S106&lt;=INDEX('Target Severity'!$B$5:$B$8,MATCH(G106,'Target Severity'!$A$5:$A$8,0)),"Ya","Tidak"))</f>
        <v/>
      </c>
      <c r="V106" s="48">
        <f>IF(T106="","",IF(T106&lt;=INDEX('Target Severity'!$D$5:$D$8,MATCH(G106,'Target Severity'!$A$5:$A$8,0)),"Ya","Tidak"))</f>
        <v/>
      </c>
      <c r="W106" s="46" t="n"/>
    </row>
    <row r="107" ht="15" customHeight="1" s="28">
      <c r="A107" s="46" t="n"/>
      <c r="B107" s="46" t="n"/>
      <c r="C107" s="46" t="n"/>
      <c r="D107" s="46" t="n"/>
      <c r="E107" s="46" t="n"/>
      <c r="F107" s="46" t="n"/>
      <c r="G107" s="46" t="n"/>
      <c r="H107" s="46" t="n"/>
      <c r="I107" s="47" t="n"/>
      <c r="J107" s="47" t="n"/>
      <c r="K107" s="47" t="n"/>
      <c r="L107" s="47" t="n"/>
      <c r="M107" s="46" t="n"/>
      <c r="N107" s="46" t="n"/>
      <c r="O107" s="46" t="n"/>
      <c r="P107" s="48">
        <f>IF(G107="","",IF(OR(G107="P1",G107="P2"),"Ya","Tidak"))</f>
        <v/>
      </c>
      <c r="Q107" s="46" t="n"/>
      <c r="R107" s="46" t="n"/>
      <c r="S107" s="48">
        <f>IF(OR(I107="",J107=""),"",ROUND((J107-I107)*1440,0))</f>
        <v/>
      </c>
      <c r="T107" s="48">
        <f>IF(OR(I107="",K107=""),"",ROUND((K107-I107)*24,1))</f>
        <v/>
      </c>
      <c r="U107" s="48">
        <f>IF(S107="","",IF(S107&lt;=INDEX('Target Severity'!$B$5:$B$8,MATCH(G107,'Target Severity'!$A$5:$A$8,0)),"Ya","Tidak"))</f>
        <v/>
      </c>
      <c r="V107" s="48">
        <f>IF(T107="","",IF(T107&lt;=INDEX('Target Severity'!$D$5:$D$8,MATCH(G107,'Target Severity'!$A$5:$A$8,0)),"Ya","Tidak"))</f>
        <v/>
      </c>
      <c r="W107" s="46" t="n"/>
    </row>
    <row r="108" ht="15" customHeight="1" s="28">
      <c r="A108" s="46" t="n"/>
      <c r="B108" s="46" t="n"/>
      <c r="C108" s="46" t="n"/>
      <c r="D108" s="46" t="n"/>
      <c r="E108" s="46" t="n"/>
      <c r="F108" s="46" t="n"/>
      <c r="G108" s="46" t="n"/>
      <c r="H108" s="46" t="n"/>
      <c r="I108" s="47" t="n"/>
      <c r="J108" s="47" t="n"/>
      <c r="K108" s="47" t="n"/>
      <c r="L108" s="47" t="n"/>
      <c r="M108" s="46" t="n"/>
      <c r="N108" s="46" t="n"/>
      <c r="O108" s="46" t="n"/>
      <c r="P108" s="48">
        <f>IF(G108="","",IF(OR(G108="P1",G108="P2"),"Ya","Tidak"))</f>
        <v/>
      </c>
      <c r="Q108" s="46" t="n"/>
      <c r="R108" s="46" t="n"/>
      <c r="S108" s="48">
        <f>IF(OR(I108="",J108=""),"",ROUND((J108-I108)*1440,0))</f>
        <v/>
      </c>
      <c r="T108" s="48">
        <f>IF(OR(I108="",K108=""),"",ROUND((K108-I108)*24,1))</f>
        <v/>
      </c>
      <c r="U108" s="48">
        <f>IF(S108="","",IF(S108&lt;=INDEX('Target Severity'!$B$5:$B$8,MATCH(G108,'Target Severity'!$A$5:$A$8,0)),"Ya","Tidak"))</f>
        <v/>
      </c>
      <c r="V108" s="48">
        <f>IF(T108="","",IF(T108&lt;=INDEX('Target Severity'!$D$5:$D$8,MATCH(G108,'Target Severity'!$A$5:$A$8,0)),"Ya","Tidak"))</f>
        <v/>
      </c>
      <c r="W108" s="46" t="n"/>
    </row>
    <row r="109" ht="15" customHeight="1" s="28">
      <c r="A109" s="46" t="n"/>
      <c r="B109" s="46" t="n"/>
      <c r="C109" s="46" t="n"/>
      <c r="D109" s="46" t="n"/>
      <c r="E109" s="46" t="n"/>
      <c r="F109" s="46" t="n"/>
      <c r="G109" s="46" t="n"/>
      <c r="H109" s="46" t="n"/>
      <c r="I109" s="47" t="n"/>
      <c r="J109" s="47" t="n"/>
      <c r="K109" s="47" t="n"/>
      <c r="L109" s="47" t="n"/>
      <c r="M109" s="46" t="n"/>
      <c r="N109" s="46" t="n"/>
      <c r="O109" s="46" t="n"/>
      <c r="P109" s="48">
        <f>IF(G109="","",IF(OR(G109="P1",G109="P2"),"Ya","Tidak"))</f>
        <v/>
      </c>
      <c r="Q109" s="46" t="n"/>
      <c r="R109" s="46" t="n"/>
      <c r="S109" s="48">
        <f>IF(OR(I109="",J109=""),"",ROUND((J109-I109)*1440,0))</f>
        <v/>
      </c>
      <c r="T109" s="48">
        <f>IF(OR(I109="",K109=""),"",ROUND((K109-I109)*24,1))</f>
        <v/>
      </c>
      <c r="U109" s="48">
        <f>IF(S109="","",IF(S109&lt;=INDEX('Target Severity'!$B$5:$B$8,MATCH(G109,'Target Severity'!$A$5:$A$8,0)),"Ya","Tidak"))</f>
        <v/>
      </c>
      <c r="V109" s="48">
        <f>IF(T109="","",IF(T109&lt;=INDEX('Target Severity'!$D$5:$D$8,MATCH(G109,'Target Severity'!$A$5:$A$8,0)),"Ya","Tidak"))</f>
        <v/>
      </c>
      <c r="W109" s="46" t="n"/>
    </row>
    <row r="110" ht="15" customHeight="1" s="28">
      <c r="A110" s="46" t="n"/>
      <c r="B110" s="46" t="n"/>
      <c r="C110" s="46" t="n"/>
      <c r="D110" s="46" t="n"/>
      <c r="E110" s="46" t="n"/>
      <c r="F110" s="46" t="n"/>
      <c r="G110" s="46" t="n"/>
      <c r="H110" s="46" t="n"/>
      <c r="I110" s="47" t="n"/>
      <c r="J110" s="47" t="n"/>
      <c r="K110" s="47" t="n"/>
      <c r="L110" s="47" t="n"/>
      <c r="M110" s="46" t="n"/>
      <c r="N110" s="46" t="n"/>
      <c r="O110" s="46" t="n"/>
      <c r="P110" s="48">
        <f>IF(G110="","",IF(OR(G110="P1",G110="P2"),"Ya","Tidak"))</f>
        <v/>
      </c>
      <c r="Q110" s="46" t="n"/>
      <c r="R110" s="46" t="n"/>
      <c r="S110" s="48">
        <f>IF(OR(I110="",J110=""),"",ROUND((J110-I110)*1440,0))</f>
        <v/>
      </c>
      <c r="T110" s="48">
        <f>IF(OR(I110="",K110=""),"",ROUND((K110-I110)*24,1))</f>
        <v/>
      </c>
      <c r="U110" s="48">
        <f>IF(S110="","",IF(S110&lt;=INDEX('Target Severity'!$B$5:$B$8,MATCH(G110,'Target Severity'!$A$5:$A$8,0)),"Ya","Tidak"))</f>
        <v/>
      </c>
      <c r="V110" s="48">
        <f>IF(T110="","",IF(T110&lt;=INDEX('Target Severity'!$D$5:$D$8,MATCH(G110,'Target Severity'!$A$5:$A$8,0)),"Ya","Tidak"))</f>
        <v/>
      </c>
      <c r="W110" s="46" t="n"/>
    </row>
    <row r="111" ht="15" customHeight="1" s="28">
      <c r="A111" s="46" t="n"/>
      <c r="B111" s="46" t="n"/>
      <c r="C111" s="46" t="n"/>
      <c r="D111" s="46" t="n"/>
      <c r="E111" s="46" t="n"/>
      <c r="F111" s="46" t="n"/>
      <c r="G111" s="46" t="n"/>
      <c r="H111" s="46" t="n"/>
      <c r="I111" s="47" t="n"/>
      <c r="J111" s="47" t="n"/>
      <c r="K111" s="47" t="n"/>
      <c r="L111" s="47" t="n"/>
      <c r="M111" s="46" t="n"/>
      <c r="N111" s="46" t="n"/>
      <c r="O111" s="46" t="n"/>
      <c r="P111" s="48">
        <f>IF(G111="","",IF(OR(G111="P1",G111="P2"),"Ya","Tidak"))</f>
        <v/>
      </c>
      <c r="Q111" s="46" t="n"/>
      <c r="R111" s="46" t="n"/>
      <c r="S111" s="48">
        <f>IF(OR(I111="",J111=""),"",ROUND((J111-I111)*1440,0))</f>
        <v/>
      </c>
      <c r="T111" s="48">
        <f>IF(OR(I111="",K111=""),"",ROUND((K111-I111)*24,1))</f>
        <v/>
      </c>
      <c r="U111" s="48">
        <f>IF(S111="","",IF(S111&lt;=INDEX('Target Severity'!$B$5:$B$8,MATCH(G111,'Target Severity'!$A$5:$A$8,0)),"Ya","Tidak"))</f>
        <v/>
      </c>
      <c r="V111" s="48">
        <f>IF(T111="","",IF(T111&lt;=INDEX('Target Severity'!$D$5:$D$8,MATCH(G111,'Target Severity'!$A$5:$A$8,0)),"Ya","Tidak"))</f>
        <v/>
      </c>
      <c r="W111" s="46" t="n"/>
    </row>
    <row r="112" ht="15" customHeight="1" s="28">
      <c r="A112" s="46" t="n"/>
      <c r="B112" s="46" t="n"/>
      <c r="C112" s="46" t="n"/>
      <c r="D112" s="46" t="n"/>
      <c r="E112" s="46" t="n"/>
      <c r="F112" s="46" t="n"/>
      <c r="G112" s="46" t="n"/>
      <c r="H112" s="46" t="n"/>
      <c r="I112" s="47" t="n"/>
      <c r="J112" s="47" t="n"/>
      <c r="K112" s="47" t="n"/>
      <c r="L112" s="47" t="n"/>
      <c r="M112" s="46" t="n"/>
      <c r="N112" s="46" t="n"/>
      <c r="O112" s="46" t="n"/>
      <c r="P112" s="48">
        <f>IF(G112="","",IF(OR(G112="P1",G112="P2"),"Ya","Tidak"))</f>
        <v/>
      </c>
      <c r="Q112" s="46" t="n"/>
      <c r="R112" s="46" t="n"/>
      <c r="S112" s="48">
        <f>IF(OR(I112="",J112=""),"",ROUND((J112-I112)*1440,0))</f>
        <v/>
      </c>
      <c r="T112" s="48">
        <f>IF(OR(I112="",K112=""),"",ROUND((K112-I112)*24,1))</f>
        <v/>
      </c>
      <c r="U112" s="48">
        <f>IF(S112="","",IF(S112&lt;=INDEX('Target Severity'!$B$5:$B$8,MATCH(G112,'Target Severity'!$A$5:$A$8,0)),"Ya","Tidak"))</f>
        <v/>
      </c>
      <c r="V112" s="48">
        <f>IF(T112="","",IF(T112&lt;=INDEX('Target Severity'!$D$5:$D$8,MATCH(G112,'Target Severity'!$A$5:$A$8,0)),"Ya","Tidak"))</f>
        <v/>
      </c>
      <c r="W112" s="46" t="n"/>
    </row>
    <row r="113" ht="15" customHeight="1" s="28">
      <c r="A113" s="46" t="n"/>
      <c r="B113" s="46" t="n"/>
      <c r="C113" s="46" t="n"/>
      <c r="D113" s="46" t="n"/>
      <c r="E113" s="46" t="n"/>
      <c r="F113" s="46" t="n"/>
      <c r="G113" s="46" t="n"/>
      <c r="H113" s="46" t="n"/>
      <c r="I113" s="47" t="n"/>
      <c r="J113" s="47" t="n"/>
      <c r="K113" s="47" t="n"/>
      <c r="L113" s="47" t="n"/>
      <c r="M113" s="46" t="n"/>
      <c r="N113" s="46" t="n"/>
      <c r="O113" s="46" t="n"/>
      <c r="P113" s="48">
        <f>IF(G113="","",IF(OR(G113="P1",G113="P2"),"Ya","Tidak"))</f>
        <v/>
      </c>
      <c r="Q113" s="46" t="n"/>
      <c r="R113" s="46" t="n"/>
      <c r="S113" s="48">
        <f>IF(OR(I113="",J113=""),"",ROUND((J113-I113)*1440,0))</f>
        <v/>
      </c>
      <c r="T113" s="48">
        <f>IF(OR(I113="",K113=""),"",ROUND((K113-I113)*24,1))</f>
        <v/>
      </c>
      <c r="U113" s="48">
        <f>IF(S113="","",IF(S113&lt;=INDEX('Target Severity'!$B$5:$B$8,MATCH(G113,'Target Severity'!$A$5:$A$8,0)),"Ya","Tidak"))</f>
        <v/>
      </c>
      <c r="V113" s="48">
        <f>IF(T113="","",IF(T113&lt;=INDEX('Target Severity'!$D$5:$D$8,MATCH(G113,'Target Severity'!$A$5:$A$8,0)),"Ya","Tidak"))</f>
        <v/>
      </c>
      <c r="W113" s="46" t="n"/>
    </row>
    <row r="114" ht="15" customHeight="1" s="28">
      <c r="A114" s="46" t="n"/>
      <c r="B114" s="46" t="n"/>
      <c r="C114" s="46" t="n"/>
      <c r="D114" s="46" t="n"/>
      <c r="E114" s="46" t="n"/>
      <c r="F114" s="46" t="n"/>
      <c r="G114" s="46" t="n"/>
      <c r="H114" s="46" t="n"/>
      <c r="I114" s="47" t="n"/>
      <c r="J114" s="47" t="n"/>
      <c r="K114" s="47" t="n"/>
      <c r="L114" s="47" t="n"/>
      <c r="M114" s="46" t="n"/>
      <c r="N114" s="46" t="n"/>
      <c r="O114" s="46" t="n"/>
      <c r="P114" s="48">
        <f>IF(G114="","",IF(OR(G114="P1",G114="P2"),"Ya","Tidak"))</f>
        <v/>
      </c>
      <c r="Q114" s="46" t="n"/>
      <c r="R114" s="46" t="n"/>
      <c r="S114" s="48">
        <f>IF(OR(I114="",J114=""),"",ROUND((J114-I114)*1440,0))</f>
        <v/>
      </c>
      <c r="T114" s="48">
        <f>IF(OR(I114="",K114=""),"",ROUND((K114-I114)*24,1))</f>
        <v/>
      </c>
      <c r="U114" s="48">
        <f>IF(S114="","",IF(S114&lt;=INDEX('Target Severity'!$B$5:$B$8,MATCH(G114,'Target Severity'!$A$5:$A$8,0)),"Ya","Tidak"))</f>
        <v/>
      </c>
      <c r="V114" s="48">
        <f>IF(T114="","",IF(T114&lt;=INDEX('Target Severity'!$D$5:$D$8,MATCH(G114,'Target Severity'!$A$5:$A$8,0)),"Ya","Tidak"))</f>
        <v/>
      </c>
      <c r="W114" s="46" t="n"/>
    </row>
    <row r="115" ht="15" customHeight="1" s="28">
      <c r="A115" s="46" t="n"/>
      <c r="B115" s="46" t="n"/>
      <c r="C115" s="46" t="n"/>
      <c r="D115" s="46" t="n"/>
      <c r="E115" s="46" t="n"/>
      <c r="F115" s="46" t="n"/>
      <c r="G115" s="46" t="n"/>
      <c r="H115" s="46" t="n"/>
      <c r="I115" s="47" t="n"/>
      <c r="J115" s="47" t="n"/>
      <c r="K115" s="47" t="n"/>
      <c r="L115" s="47" t="n"/>
      <c r="M115" s="46" t="n"/>
      <c r="N115" s="46" t="n"/>
      <c r="O115" s="46" t="n"/>
      <c r="P115" s="48">
        <f>IF(G115="","",IF(OR(G115="P1",G115="P2"),"Ya","Tidak"))</f>
        <v/>
      </c>
      <c r="Q115" s="46" t="n"/>
      <c r="R115" s="46" t="n"/>
      <c r="S115" s="48">
        <f>IF(OR(I115="",J115=""),"",ROUND((J115-I115)*1440,0))</f>
        <v/>
      </c>
      <c r="T115" s="48">
        <f>IF(OR(I115="",K115=""),"",ROUND((K115-I115)*24,1))</f>
        <v/>
      </c>
      <c r="U115" s="48">
        <f>IF(S115="","",IF(S115&lt;=INDEX('Target Severity'!$B$5:$B$8,MATCH(G115,'Target Severity'!$A$5:$A$8,0)),"Ya","Tidak"))</f>
        <v/>
      </c>
      <c r="V115" s="48">
        <f>IF(T115="","",IF(T115&lt;=INDEX('Target Severity'!$D$5:$D$8,MATCH(G115,'Target Severity'!$A$5:$A$8,0)),"Ya","Tidak"))</f>
        <v/>
      </c>
      <c r="W115" s="46" t="n"/>
    </row>
    <row r="116" ht="15" customHeight="1" s="28">
      <c r="A116" s="46" t="n"/>
      <c r="B116" s="46" t="n"/>
      <c r="C116" s="46" t="n"/>
      <c r="D116" s="46" t="n"/>
      <c r="E116" s="46" t="n"/>
      <c r="F116" s="46" t="n"/>
      <c r="G116" s="46" t="n"/>
      <c r="H116" s="46" t="n"/>
      <c r="I116" s="47" t="n"/>
      <c r="J116" s="47" t="n"/>
      <c r="K116" s="47" t="n"/>
      <c r="L116" s="47" t="n"/>
      <c r="M116" s="46" t="n"/>
      <c r="N116" s="46" t="n"/>
      <c r="O116" s="46" t="n"/>
      <c r="P116" s="48">
        <f>IF(G116="","",IF(OR(G116="P1",G116="P2"),"Ya","Tidak"))</f>
        <v/>
      </c>
      <c r="Q116" s="46" t="n"/>
      <c r="R116" s="46" t="n"/>
      <c r="S116" s="48">
        <f>IF(OR(I116="",J116=""),"",ROUND((J116-I116)*1440,0))</f>
        <v/>
      </c>
      <c r="T116" s="48">
        <f>IF(OR(I116="",K116=""),"",ROUND((K116-I116)*24,1))</f>
        <v/>
      </c>
      <c r="U116" s="48">
        <f>IF(S116="","",IF(S116&lt;=INDEX('Target Severity'!$B$5:$B$8,MATCH(G116,'Target Severity'!$A$5:$A$8,0)),"Ya","Tidak"))</f>
        <v/>
      </c>
      <c r="V116" s="48">
        <f>IF(T116="","",IF(T116&lt;=INDEX('Target Severity'!$D$5:$D$8,MATCH(G116,'Target Severity'!$A$5:$A$8,0)),"Ya","Tidak"))</f>
        <v/>
      </c>
      <c r="W116" s="46" t="n"/>
    </row>
    <row r="117" ht="15" customHeight="1" s="28">
      <c r="A117" s="46" t="n"/>
      <c r="B117" s="46" t="n"/>
      <c r="C117" s="46" t="n"/>
      <c r="D117" s="46" t="n"/>
      <c r="E117" s="46" t="n"/>
      <c r="F117" s="46" t="n"/>
      <c r="G117" s="46" t="n"/>
      <c r="H117" s="46" t="n"/>
      <c r="I117" s="47" t="n"/>
      <c r="J117" s="47" t="n"/>
      <c r="K117" s="47" t="n"/>
      <c r="L117" s="47" t="n"/>
      <c r="M117" s="46" t="n"/>
      <c r="N117" s="46" t="n"/>
      <c r="O117" s="46" t="n"/>
      <c r="P117" s="48">
        <f>IF(G117="","",IF(OR(G117="P1",G117="P2"),"Ya","Tidak"))</f>
        <v/>
      </c>
      <c r="Q117" s="46" t="n"/>
      <c r="R117" s="46" t="n"/>
      <c r="S117" s="48">
        <f>IF(OR(I117="",J117=""),"",ROUND((J117-I117)*1440,0))</f>
        <v/>
      </c>
      <c r="T117" s="48">
        <f>IF(OR(I117="",K117=""),"",ROUND((K117-I117)*24,1))</f>
        <v/>
      </c>
      <c r="U117" s="48">
        <f>IF(S117="","",IF(S117&lt;=INDEX('Target Severity'!$B$5:$B$8,MATCH(G117,'Target Severity'!$A$5:$A$8,0)),"Ya","Tidak"))</f>
        <v/>
      </c>
      <c r="V117" s="48">
        <f>IF(T117="","",IF(T117&lt;=INDEX('Target Severity'!$D$5:$D$8,MATCH(G117,'Target Severity'!$A$5:$A$8,0)),"Ya","Tidak"))</f>
        <v/>
      </c>
      <c r="W117" s="46" t="n"/>
    </row>
    <row r="118" ht="15" customHeight="1" s="28">
      <c r="A118" s="46" t="n"/>
      <c r="B118" s="46" t="n"/>
      <c r="C118" s="46" t="n"/>
      <c r="D118" s="46" t="n"/>
      <c r="E118" s="46" t="n"/>
      <c r="F118" s="46" t="n"/>
      <c r="G118" s="46" t="n"/>
      <c r="H118" s="46" t="n"/>
      <c r="I118" s="47" t="n"/>
      <c r="J118" s="47" t="n"/>
      <c r="K118" s="47" t="n"/>
      <c r="L118" s="47" t="n"/>
      <c r="M118" s="46" t="n"/>
      <c r="N118" s="46" t="n"/>
      <c r="O118" s="46" t="n"/>
      <c r="P118" s="48">
        <f>IF(G118="","",IF(OR(G118="P1",G118="P2"),"Ya","Tidak"))</f>
        <v/>
      </c>
      <c r="Q118" s="46" t="n"/>
      <c r="R118" s="46" t="n"/>
      <c r="S118" s="48">
        <f>IF(OR(I118="",J118=""),"",ROUND((J118-I118)*1440,0))</f>
        <v/>
      </c>
      <c r="T118" s="48">
        <f>IF(OR(I118="",K118=""),"",ROUND((K118-I118)*24,1))</f>
        <v/>
      </c>
      <c r="U118" s="48">
        <f>IF(S118="","",IF(S118&lt;=INDEX('Target Severity'!$B$5:$B$8,MATCH(G118,'Target Severity'!$A$5:$A$8,0)),"Ya","Tidak"))</f>
        <v/>
      </c>
      <c r="V118" s="48">
        <f>IF(T118="","",IF(T118&lt;=INDEX('Target Severity'!$D$5:$D$8,MATCH(G118,'Target Severity'!$A$5:$A$8,0)),"Ya","Tidak"))</f>
        <v/>
      </c>
      <c r="W118" s="46" t="n"/>
    </row>
    <row r="119" ht="15" customHeight="1" s="28">
      <c r="A119" s="46" t="n"/>
      <c r="B119" s="46" t="n"/>
      <c r="C119" s="46" t="n"/>
      <c r="D119" s="46" t="n"/>
      <c r="E119" s="46" t="n"/>
      <c r="F119" s="46" t="n"/>
      <c r="G119" s="46" t="n"/>
      <c r="H119" s="46" t="n"/>
      <c r="I119" s="47" t="n"/>
      <c r="J119" s="47" t="n"/>
      <c r="K119" s="47" t="n"/>
      <c r="L119" s="47" t="n"/>
      <c r="M119" s="46" t="n"/>
      <c r="N119" s="46" t="n"/>
      <c r="O119" s="46" t="n"/>
      <c r="P119" s="48">
        <f>IF(G119="","",IF(OR(G119="P1",G119="P2"),"Ya","Tidak"))</f>
        <v/>
      </c>
      <c r="Q119" s="46" t="n"/>
      <c r="R119" s="46" t="n"/>
      <c r="S119" s="48">
        <f>IF(OR(I119="",J119=""),"",ROUND((J119-I119)*1440,0))</f>
        <v/>
      </c>
      <c r="T119" s="48">
        <f>IF(OR(I119="",K119=""),"",ROUND((K119-I119)*24,1))</f>
        <v/>
      </c>
      <c r="U119" s="48">
        <f>IF(S119="","",IF(S119&lt;=INDEX('Target Severity'!$B$5:$B$8,MATCH(G119,'Target Severity'!$A$5:$A$8,0)),"Ya","Tidak"))</f>
        <v/>
      </c>
      <c r="V119" s="48">
        <f>IF(T119="","",IF(T119&lt;=INDEX('Target Severity'!$D$5:$D$8,MATCH(G119,'Target Severity'!$A$5:$A$8,0)),"Ya","Tidak"))</f>
        <v/>
      </c>
      <c r="W119" s="46" t="n"/>
    </row>
    <row r="120" ht="15" customHeight="1" s="28">
      <c r="A120" s="46" t="n"/>
      <c r="B120" s="46" t="n"/>
      <c r="C120" s="46" t="n"/>
      <c r="D120" s="46" t="n"/>
      <c r="E120" s="46" t="n"/>
      <c r="F120" s="46" t="n"/>
      <c r="G120" s="46" t="n"/>
      <c r="H120" s="46" t="n"/>
      <c r="I120" s="47" t="n"/>
      <c r="J120" s="47" t="n"/>
      <c r="K120" s="47" t="n"/>
      <c r="L120" s="47" t="n"/>
      <c r="M120" s="46" t="n"/>
      <c r="N120" s="46" t="n"/>
      <c r="O120" s="46" t="n"/>
      <c r="P120" s="48">
        <f>IF(G120="","",IF(OR(G120="P1",G120="P2"),"Ya","Tidak"))</f>
        <v/>
      </c>
      <c r="Q120" s="46" t="n"/>
      <c r="R120" s="46" t="n"/>
      <c r="S120" s="48">
        <f>IF(OR(I120="",J120=""),"",ROUND((J120-I120)*1440,0))</f>
        <v/>
      </c>
      <c r="T120" s="48">
        <f>IF(OR(I120="",K120=""),"",ROUND((K120-I120)*24,1))</f>
        <v/>
      </c>
      <c r="U120" s="48">
        <f>IF(S120="","",IF(S120&lt;=INDEX('Target Severity'!$B$5:$B$8,MATCH(G120,'Target Severity'!$A$5:$A$8,0)),"Ya","Tidak"))</f>
        <v/>
      </c>
      <c r="V120" s="48">
        <f>IF(T120="","",IF(T120&lt;=INDEX('Target Severity'!$D$5:$D$8,MATCH(G120,'Target Severity'!$A$5:$A$8,0)),"Ya","Tidak"))</f>
        <v/>
      </c>
      <c r="W120" s="46" t="n"/>
    </row>
    <row r="121" ht="15" customHeight="1" s="28">
      <c r="A121" s="46" t="n"/>
      <c r="B121" s="46" t="n"/>
      <c r="C121" s="46" t="n"/>
      <c r="D121" s="46" t="n"/>
      <c r="E121" s="46" t="n"/>
      <c r="F121" s="46" t="n"/>
      <c r="G121" s="46" t="n"/>
      <c r="H121" s="46" t="n"/>
      <c r="I121" s="47" t="n"/>
      <c r="J121" s="47" t="n"/>
      <c r="K121" s="47" t="n"/>
      <c r="L121" s="47" t="n"/>
      <c r="M121" s="46" t="n"/>
      <c r="N121" s="46" t="n"/>
      <c r="O121" s="46" t="n"/>
      <c r="P121" s="48">
        <f>IF(G121="","",IF(OR(G121="P1",G121="P2"),"Ya","Tidak"))</f>
        <v/>
      </c>
      <c r="Q121" s="46" t="n"/>
      <c r="R121" s="46" t="n"/>
      <c r="S121" s="48">
        <f>IF(OR(I121="",J121=""),"",ROUND((J121-I121)*1440,0))</f>
        <v/>
      </c>
      <c r="T121" s="48">
        <f>IF(OR(I121="",K121=""),"",ROUND((K121-I121)*24,1))</f>
        <v/>
      </c>
      <c r="U121" s="48">
        <f>IF(S121="","",IF(S121&lt;=INDEX('Target Severity'!$B$5:$B$8,MATCH(G121,'Target Severity'!$A$5:$A$8,0)),"Ya","Tidak"))</f>
        <v/>
      </c>
      <c r="V121" s="48">
        <f>IF(T121="","",IF(T121&lt;=INDEX('Target Severity'!$D$5:$D$8,MATCH(G121,'Target Severity'!$A$5:$A$8,0)),"Ya","Tidak"))</f>
        <v/>
      </c>
      <c r="W121" s="46" t="n"/>
    </row>
    <row r="122" ht="15" customHeight="1" s="28">
      <c r="A122" s="46" t="n"/>
      <c r="B122" s="46" t="n"/>
      <c r="C122" s="46" t="n"/>
      <c r="D122" s="46" t="n"/>
      <c r="E122" s="46" t="n"/>
      <c r="F122" s="46" t="n"/>
      <c r="G122" s="46" t="n"/>
      <c r="H122" s="46" t="n"/>
      <c r="I122" s="47" t="n"/>
      <c r="J122" s="47" t="n"/>
      <c r="K122" s="47" t="n"/>
      <c r="L122" s="47" t="n"/>
      <c r="M122" s="46" t="n"/>
      <c r="N122" s="46" t="n"/>
      <c r="O122" s="46" t="n"/>
      <c r="P122" s="48">
        <f>IF(G122="","",IF(OR(G122="P1",G122="P2"),"Ya","Tidak"))</f>
        <v/>
      </c>
      <c r="Q122" s="46" t="n"/>
      <c r="R122" s="46" t="n"/>
      <c r="S122" s="48">
        <f>IF(OR(I122="",J122=""),"",ROUND((J122-I122)*1440,0))</f>
        <v/>
      </c>
      <c r="T122" s="48">
        <f>IF(OR(I122="",K122=""),"",ROUND((K122-I122)*24,1))</f>
        <v/>
      </c>
      <c r="U122" s="48">
        <f>IF(S122="","",IF(S122&lt;=INDEX('Target Severity'!$B$5:$B$8,MATCH(G122,'Target Severity'!$A$5:$A$8,0)),"Ya","Tidak"))</f>
        <v/>
      </c>
      <c r="V122" s="48">
        <f>IF(T122="","",IF(T122&lt;=INDEX('Target Severity'!$D$5:$D$8,MATCH(G122,'Target Severity'!$A$5:$A$8,0)),"Ya","Tidak"))</f>
        <v/>
      </c>
      <c r="W122" s="46" t="n"/>
    </row>
    <row r="123" ht="15" customHeight="1" s="28">
      <c r="A123" s="46" t="n"/>
      <c r="B123" s="46" t="n"/>
      <c r="C123" s="46" t="n"/>
      <c r="D123" s="46" t="n"/>
      <c r="E123" s="46" t="n"/>
      <c r="F123" s="46" t="n"/>
      <c r="G123" s="46" t="n"/>
      <c r="H123" s="46" t="n"/>
      <c r="I123" s="47" t="n"/>
      <c r="J123" s="47" t="n"/>
      <c r="K123" s="47" t="n"/>
      <c r="L123" s="47" t="n"/>
      <c r="M123" s="46" t="n"/>
      <c r="N123" s="46" t="n"/>
      <c r="O123" s="46" t="n"/>
      <c r="P123" s="48">
        <f>IF(G123="","",IF(OR(G123="P1",G123="P2"),"Ya","Tidak"))</f>
        <v/>
      </c>
      <c r="Q123" s="46" t="n"/>
      <c r="R123" s="46" t="n"/>
      <c r="S123" s="48">
        <f>IF(OR(I123="",J123=""),"",ROUND((J123-I123)*1440,0))</f>
        <v/>
      </c>
      <c r="T123" s="48">
        <f>IF(OR(I123="",K123=""),"",ROUND((K123-I123)*24,1))</f>
        <v/>
      </c>
      <c r="U123" s="48">
        <f>IF(S123="","",IF(S123&lt;=INDEX('Target Severity'!$B$5:$B$8,MATCH(G123,'Target Severity'!$A$5:$A$8,0)),"Ya","Tidak"))</f>
        <v/>
      </c>
      <c r="V123" s="48">
        <f>IF(T123="","",IF(T123&lt;=INDEX('Target Severity'!$D$5:$D$8,MATCH(G123,'Target Severity'!$A$5:$A$8,0)),"Ya","Tidak"))</f>
        <v/>
      </c>
      <c r="W123" s="46" t="n"/>
    </row>
    <row r="124" ht="15" customHeight="1" s="28">
      <c r="A124" s="46" t="n"/>
      <c r="B124" s="46" t="n"/>
      <c r="C124" s="46" t="n"/>
      <c r="D124" s="46" t="n"/>
      <c r="E124" s="46" t="n"/>
      <c r="F124" s="46" t="n"/>
      <c r="G124" s="46" t="n"/>
      <c r="H124" s="46" t="n"/>
      <c r="I124" s="47" t="n"/>
      <c r="J124" s="47" t="n"/>
      <c r="K124" s="47" t="n"/>
      <c r="L124" s="47" t="n"/>
      <c r="M124" s="46" t="n"/>
      <c r="N124" s="46" t="n"/>
      <c r="O124" s="46" t="n"/>
      <c r="P124" s="48">
        <f>IF(G124="","",IF(OR(G124="P1",G124="P2"),"Ya","Tidak"))</f>
        <v/>
      </c>
      <c r="Q124" s="46" t="n"/>
      <c r="R124" s="46" t="n"/>
      <c r="S124" s="48">
        <f>IF(OR(I124="",J124=""),"",ROUND((J124-I124)*1440,0))</f>
        <v/>
      </c>
      <c r="T124" s="48">
        <f>IF(OR(I124="",K124=""),"",ROUND((K124-I124)*24,1))</f>
        <v/>
      </c>
      <c r="U124" s="48">
        <f>IF(S124="","",IF(S124&lt;=INDEX('Target Severity'!$B$5:$B$8,MATCH(G124,'Target Severity'!$A$5:$A$8,0)),"Ya","Tidak"))</f>
        <v/>
      </c>
      <c r="V124" s="48">
        <f>IF(T124="","",IF(T124&lt;=INDEX('Target Severity'!$D$5:$D$8,MATCH(G124,'Target Severity'!$A$5:$A$8,0)),"Ya","Tidak"))</f>
        <v/>
      </c>
      <c r="W124" s="46" t="n"/>
    </row>
    <row r="125" ht="15" customHeight="1" s="28">
      <c r="A125" s="46" t="n"/>
      <c r="B125" s="46" t="n"/>
      <c r="C125" s="46" t="n"/>
      <c r="D125" s="46" t="n"/>
      <c r="E125" s="46" t="n"/>
      <c r="F125" s="46" t="n"/>
      <c r="G125" s="46" t="n"/>
      <c r="H125" s="46" t="n"/>
      <c r="I125" s="47" t="n"/>
      <c r="J125" s="47" t="n"/>
      <c r="K125" s="47" t="n"/>
      <c r="L125" s="47" t="n"/>
      <c r="M125" s="46" t="n"/>
      <c r="N125" s="46" t="n"/>
      <c r="O125" s="46" t="n"/>
      <c r="P125" s="48">
        <f>IF(G125="","",IF(OR(G125="P1",G125="P2"),"Ya","Tidak"))</f>
        <v/>
      </c>
      <c r="Q125" s="46" t="n"/>
      <c r="R125" s="46" t="n"/>
      <c r="S125" s="48">
        <f>IF(OR(I125="",J125=""),"",ROUND((J125-I125)*1440,0))</f>
        <v/>
      </c>
      <c r="T125" s="48">
        <f>IF(OR(I125="",K125=""),"",ROUND((K125-I125)*24,1))</f>
        <v/>
      </c>
      <c r="U125" s="48">
        <f>IF(S125="","",IF(S125&lt;=INDEX('Target Severity'!$B$5:$B$8,MATCH(G125,'Target Severity'!$A$5:$A$8,0)),"Ya","Tidak"))</f>
        <v/>
      </c>
      <c r="V125" s="48">
        <f>IF(T125="","",IF(T125&lt;=INDEX('Target Severity'!$D$5:$D$8,MATCH(G125,'Target Severity'!$A$5:$A$8,0)),"Ya","Tidak"))</f>
        <v/>
      </c>
      <c r="W125" s="46" t="n"/>
    </row>
    <row r="126" ht="15" customHeight="1" s="28">
      <c r="A126" s="46" t="n"/>
      <c r="B126" s="46" t="n"/>
      <c r="C126" s="46" t="n"/>
      <c r="D126" s="46" t="n"/>
      <c r="E126" s="46" t="n"/>
      <c r="F126" s="46" t="n"/>
      <c r="G126" s="46" t="n"/>
      <c r="H126" s="46" t="n"/>
      <c r="I126" s="47" t="n"/>
      <c r="J126" s="47" t="n"/>
      <c r="K126" s="47" t="n"/>
      <c r="L126" s="47" t="n"/>
      <c r="M126" s="46" t="n"/>
      <c r="N126" s="46" t="n"/>
      <c r="O126" s="46" t="n"/>
      <c r="P126" s="48">
        <f>IF(G126="","",IF(OR(G126="P1",G126="P2"),"Ya","Tidak"))</f>
        <v/>
      </c>
      <c r="Q126" s="46" t="n"/>
      <c r="R126" s="46" t="n"/>
      <c r="S126" s="48">
        <f>IF(OR(I126="",J126=""),"",ROUND((J126-I126)*1440,0))</f>
        <v/>
      </c>
      <c r="T126" s="48">
        <f>IF(OR(I126="",K126=""),"",ROUND((K126-I126)*24,1))</f>
        <v/>
      </c>
      <c r="U126" s="48">
        <f>IF(S126="","",IF(S126&lt;=INDEX('Target Severity'!$B$5:$B$8,MATCH(G126,'Target Severity'!$A$5:$A$8,0)),"Ya","Tidak"))</f>
        <v/>
      </c>
      <c r="V126" s="48">
        <f>IF(T126="","",IF(T126&lt;=INDEX('Target Severity'!$D$5:$D$8,MATCH(G126,'Target Severity'!$A$5:$A$8,0)),"Ya","Tidak"))</f>
        <v/>
      </c>
      <c r="W126" s="46" t="n"/>
    </row>
    <row r="127" ht="15" customHeight="1" s="28">
      <c r="A127" s="46" t="n"/>
      <c r="B127" s="46" t="n"/>
      <c r="C127" s="46" t="n"/>
      <c r="D127" s="46" t="n"/>
      <c r="E127" s="46" t="n"/>
      <c r="F127" s="46" t="n"/>
      <c r="G127" s="46" t="n"/>
      <c r="H127" s="46" t="n"/>
      <c r="I127" s="47" t="n"/>
      <c r="J127" s="47" t="n"/>
      <c r="K127" s="47" t="n"/>
      <c r="L127" s="47" t="n"/>
      <c r="M127" s="46" t="n"/>
      <c r="N127" s="46" t="n"/>
      <c r="O127" s="46" t="n"/>
      <c r="P127" s="48">
        <f>IF(G127="","",IF(OR(G127="P1",G127="P2"),"Ya","Tidak"))</f>
        <v/>
      </c>
      <c r="Q127" s="46" t="n"/>
      <c r="R127" s="46" t="n"/>
      <c r="S127" s="48">
        <f>IF(OR(I127="",J127=""),"",ROUND((J127-I127)*1440,0))</f>
        <v/>
      </c>
      <c r="T127" s="48">
        <f>IF(OR(I127="",K127=""),"",ROUND((K127-I127)*24,1))</f>
        <v/>
      </c>
      <c r="U127" s="48">
        <f>IF(S127="","",IF(S127&lt;=INDEX('Target Severity'!$B$5:$B$8,MATCH(G127,'Target Severity'!$A$5:$A$8,0)),"Ya","Tidak"))</f>
        <v/>
      </c>
      <c r="V127" s="48">
        <f>IF(T127="","",IF(T127&lt;=INDEX('Target Severity'!$D$5:$D$8,MATCH(G127,'Target Severity'!$A$5:$A$8,0)),"Ya","Tidak"))</f>
        <v/>
      </c>
      <c r="W127" s="46" t="n"/>
    </row>
    <row r="128" ht="15" customHeight="1" s="28">
      <c r="A128" s="46" t="n"/>
      <c r="B128" s="46" t="n"/>
      <c r="C128" s="46" t="n"/>
      <c r="D128" s="46" t="n"/>
      <c r="E128" s="46" t="n"/>
      <c r="F128" s="46" t="n"/>
      <c r="G128" s="46" t="n"/>
      <c r="H128" s="46" t="n"/>
      <c r="I128" s="47" t="n"/>
      <c r="J128" s="47" t="n"/>
      <c r="K128" s="47" t="n"/>
      <c r="L128" s="47" t="n"/>
      <c r="M128" s="46" t="n"/>
      <c r="N128" s="46" t="n"/>
      <c r="O128" s="46" t="n"/>
      <c r="P128" s="48">
        <f>IF(G128="","",IF(OR(G128="P1",G128="P2"),"Ya","Tidak"))</f>
        <v/>
      </c>
      <c r="Q128" s="46" t="n"/>
      <c r="R128" s="46" t="n"/>
      <c r="S128" s="48">
        <f>IF(OR(I128="",J128=""),"",ROUND((J128-I128)*1440,0))</f>
        <v/>
      </c>
      <c r="T128" s="48">
        <f>IF(OR(I128="",K128=""),"",ROUND((K128-I128)*24,1))</f>
        <v/>
      </c>
      <c r="U128" s="48">
        <f>IF(S128="","",IF(S128&lt;=INDEX('Target Severity'!$B$5:$B$8,MATCH(G128,'Target Severity'!$A$5:$A$8,0)),"Ya","Tidak"))</f>
        <v/>
      </c>
      <c r="V128" s="48">
        <f>IF(T128="","",IF(T128&lt;=INDEX('Target Severity'!$D$5:$D$8,MATCH(G128,'Target Severity'!$A$5:$A$8,0)),"Ya","Tidak"))</f>
        <v/>
      </c>
      <c r="W128" s="46" t="n"/>
    </row>
    <row r="129" ht="15" customHeight="1" s="28">
      <c r="A129" s="46" t="n"/>
      <c r="B129" s="46" t="n"/>
      <c r="C129" s="46" t="n"/>
      <c r="D129" s="46" t="n"/>
      <c r="E129" s="46" t="n"/>
      <c r="F129" s="46" t="n"/>
      <c r="G129" s="46" t="n"/>
      <c r="H129" s="46" t="n"/>
      <c r="I129" s="47" t="n"/>
      <c r="J129" s="47" t="n"/>
      <c r="K129" s="47" t="n"/>
      <c r="L129" s="47" t="n"/>
      <c r="M129" s="46" t="n"/>
      <c r="N129" s="46" t="n"/>
      <c r="O129" s="46" t="n"/>
      <c r="P129" s="48">
        <f>IF(G129="","",IF(OR(G129="P1",G129="P2"),"Ya","Tidak"))</f>
        <v/>
      </c>
      <c r="Q129" s="46" t="n"/>
      <c r="R129" s="46" t="n"/>
      <c r="S129" s="48">
        <f>IF(OR(I129="",J129=""),"",ROUND((J129-I129)*1440,0))</f>
        <v/>
      </c>
      <c r="T129" s="48">
        <f>IF(OR(I129="",K129=""),"",ROUND((K129-I129)*24,1))</f>
        <v/>
      </c>
      <c r="U129" s="48">
        <f>IF(S129="","",IF(S129&lt;=INDEX('Target Severity'!$B$5:$B$8,MATCH(G129,'Target Severity'!$A$5:$A$8,0)),"Ya","Tidak"))</f>
        <v/>
      </c>
      <c r="V129" s="48">
        <f>IF(T129="","",IF(T129&lt;=INDEX('Target Severity'!$D$5:$D$8,MATCH(G129,'Target Severity'!$A$5:$A$8,0)),"Ya","Tidak"))</f>
        <v/>
      </c>
      <c r="W129" s="46" t="n"/>
    </row>
    <row r="130" ht="15" customHeight="1" s="28">
      <c r="A130" s="46" t="n"/>
      <c r="B130" s="46" t="n"/>
      <c r="C130" s="46" t="n"/>
      <c r="D130" s="46" t="n"/>
      <c r="E130" s="46" t="n"/>
      <c r="F130" s="46" t="n"/>
      <c r="G130" s="46" t="n"/>
      <c r="H130" s="46" t="n"/>
      <c r="I130" s="47" t="n"/>
      <c r="J130" s="47" t="n"/>
      <c r="K130" s="47" t="n"/>
      <c r="L130" s="47" t="n"/>
      <c r="M130" s="46" t="n"/>
      <c r="N130" s="46" t="n"/>
      <c r="O130" s="46" t="n"/>
      <c r="P130" s="48">
        <f>IF(G130="","",IF(OR(G130="P1",G130="P2"),"Ya","Tidak"))</f>
        <v/>
      </c>
      <c r="Q130" s="46" t="n"/>
      <c r="R130" s="46" t="n"/>
      <c r="S130" s="48">
        <f>IF(OR(I130="",J130=""),"",ROUND((J130-I130)*1440,0))</f>
        <v/>
      </c>
      <c r="T130" s="48">
        <f>IF(OR(I130="",K130=""),"",ROUND((K130-I130)*24,1))</f>
        <v/>
      </c>
      <c r="U130" s="48">
        <f>IF(S130="","",IF(S130&lt;=INDEX('Target Severity'!$B$5:$B$8,MATCH(G130,'Target Severity'!$A$5:$A$8,0)),"Ya","Tidak"))</f>
        <v/>
      </c>
      <c r="V130" s="48">
        <f>IF(T130="","",IF(T130&lt;=INDEX('Target Severity'!$D$5:$D$8,MATCH(G130,'Target Severity'!$A$5:$A$8,0)),"Ya","Tidak"))</f>
        <v/>
      </c>
      <c r="W130" s="46" t="n"/>
    </row>
    <row r="131" ht="15" customHeight="1" s="28">
      <c r="A131" s="46" t="n"/>
      <c r="B131" s="46" t="n"/>
      <c r="C131" s="46" t="n"/>
      <c r="D131" s="46" t="n"/>
      <c r="E131" s="46" t="n"/>
      <c r="F131" s="46" t="n"/>
      <c r="G131" s="46" t="n"/>
      <c r="H131" s="46" t="n"/>
      <c r="I131" s="47" t="n"/>
      <c r="J131" s="47" t="n"/>
      <c r="K131" s="47" t="n"/>
      <c r="L131" s="47" t="n"/>
      <c r="M131" s="46" t="n"/>
      <c r="N131" s="46" t="n"/>
      <c r="O131" s="46" t="n"/>
      <c r="P131" s="48">
        <f>IF(G131="","",IF(OR(G131="P1",G131="P2"),"Ya","Tidak"))</f>
        <v/>
      </c>
      <c r="Q131" s="46" t="n"/>
      <c r="R131" s="46" t="n"/>
      <c r="S131" s="48">
        <f>IF(OR(I131="",J131=""),"",ROUND((J131-I131)*1440,0))</f>
        <v/>
      </c>
      <c r="T131" s="48">
        <f>IF(OR(I131="",K131=""),"",ROUND((K131-I131)*24,1))</f>
        <v/>
      </c>
      <c r="U131" s="48">
        <f>IF(S131="","",IF(S131&lt;=INDEX('Target Severity'!$B$5:$B$8,MATCH(G131,'Target Severity'!$A$5:$A$8,0)),"Ya","Tidak"))</f>
        <v/>
      </c>
      <c r="V131" s="48">
        <f>IF(T131="","",IF(T131&lt;=INDEX('Target Severity'!$D$5:$D$8,MATCH(G131,'Target Severity'!$A$5:$A$8,0)),"Ya","Tidak"))</f>
        <v/>
      </c>
      <c r="W131" s="46" t="n"/>
    </row>
    <row r="132" ht="15" customHeight="1" s="28">
      <c r="A132" s="46" t="n"/>
      <c r="B132" s="46" t="n"/>
      <c r="C132" s="46" t="n"/>
      <c r="D132" s="46" t="n"/>
      <c r="E132" s="46" t="n"/>
      <c r="F132" s="46" t="n"/>
      <c r="G132" s="46" t="n"/>
      <c r="H132" s="46" t="n"/>
      <c r="I132" s="47" t="n"/>
      <c r="J132" s="47" t="n"/>
      <c r="K132" s="47" t="n"/>
      <c r="L132" s="47" t="n"/>
      <c r="M132" s="46" t="n"/>
      <c r="N132" s="46" t="n"/>
      <c r="O132" s="46" t="n"/>
      <c r="P132" s="48">
        <f>IF(G132="","",IF(OR(G132="P1",G132="P2"),"Ya","Tidak"))</f>
        <v/>
      </c>
      <c r="Q132" s="46" t="n"/>
      <c r="R132" s="46" t="n"/>
      <c r="S132" s="48">
        <f>IF(OR(I132="",J132=""),"",ROUND((J132-I132)*1440,0))</f>
        <v/>
      </c>
      <c r="T132" s="48">
        <f>IF(OR(I132="",K132=""),"",ROUND((K132-I132)*24,1))</f>
        <v/>
      </c>
      <c r="U132" s="48">
        <f>IF(S132="","",IF(S132&lt;=INDEX('Target Severity'!$B$5:$B$8,MATCH(G132,'Target Severity'!$A$5:$A$8,0)),"Ya","Tidak"))</f>
        <v/>
      </c>
      <c r="V132" s="48">
        <f>IF(T132="","",IF(T132&lt;=INDEX('Target Severity'!$D$5:$D$8,MATCH(G132,'Target Severity'!$A$5:$A$8,0)),"Ya","Tidak"))</f>
        <v/>
      </c>
      <c r="W132" s="46" t="n"/>
    </row>
    <row r="133" ht="15" customHeight="1" s="28">
      <c r="A133" s="46" t="n"/>
      <c r="B133" s="46" t="n"/>
      <c r="C133" s="46" t="n"/>
      <c r="D133" s="46" t="n"/>
      <c r="E133" s="46" t="n"/>
      <c r="F133" s="46" t="n"/>
      <c r="G133" s="46" t="n"/>
      <c r="H133" s="46" t="n"/>
      <c r="I133" s="47" t="n"/>
      <c r="J133" s="47" t="n"/>
      <c r="K133" s="47" t="n"/>
      <c r="L133" s="47" t="n"/>
      <c r="M133" s="46" t="n"/>
      <c r="N133" s="46" t="n"/>
      <c r="O133" s="46" t="n"/>
      <c r="P133" s="48">
        <f>IF(G133="","",IF(OR(G133="P1",G133="P2"),"Ya","Tidak"))</f>
        <v/>
      </c>
      <c r="Q133" s="46" t="n"/>
      <c r="R133" s="46" t="n"/>
      <c r="S133" s="48">
        <f>IF(OR(I133="",J133=""),"",ROUND((J133-I133)*1440,0))</f>
        <v/>
      </c>
      <c r="T133" s="48">
        <f>IF(OR(I133="",K133=""),"",ROUND((K133-I133)*24,1))</f>
        <v/>
      </c>
      <c r="U133" s="48">
        <f>IF(S133="","",IF(S133&lt;=INDEX('Target Severity'!$B$5:$B$8,MATCH(G133,'Target Severity'!$A$5:$A$8,0)),"Ya","Tidak"))</f>
        <v/>
      </c>
      <c r="V133" s="48">
        <f>IF(T133="","",IF(T133&lt;=INDEX('Target Severity'!$D$5:$D$8,MATCH(G133,'Target Severity'!$A$5:$A$8,0)),"Ya","Tidak"))</f>
        <v/>
      </c>
      <c r="W133" s="46" t="n"/>
    </row>
    <row r="134" ht="15" customHeight="1" s="28">
      <c r="A134" s="46" t="n"/>
      <c r="B134" s="46" t="n"/>
      <c r="C134" s="46" t="n"/>
      <c r="D134" s="46" t="n"/>
      <c r="E134" s="46" t="n"/>
      <c r="F134" s="46" t="n"/>
      <c r="G134" s="46" t="n"/>
      <c r="H134" s="46" t="n"/>
      <c r="I134" s="47" t="n"/>
      <c r="J134" s="47" t="n"/>
      <c r="K134" s="47" t="n"/>
      <c r="L134" s="47" t="n"/>
      <c r="M134" s="46" t="n"/>
      <c r="N134" s="46" t="n"/>
      <c r="O134" s="46" t="n"/>
      <c r="P134" s="48">
        <f>IF(G134="","",IF(OR(G134="P1",G134="P2"),"Ya","Tidak"))</f>
        <v/>
      </c>
      <c r="Q134" s="46" t="n"/>
      <c r="R134" s="46" t="n"/>
      <c r="S134" s="48">
        <f>IF(OR(I134="",J134=""),"",ROUND((J134-I134)*1440,0))</f>
        <v/>
      </c>
      <c r="T134" s="48">
        <f>IF(OR(I134="",K134=""),"",ROUND((K134-I134)*24,1))</f>
        <v/>
      </c>
      <c r="U134" s="48">
        <f>IF(S134="","",IF(S134&lt;=INDEX('Target Severity'!$B$5:$B$8,MATCH(G134,'Target Severity'!$A$5:$A$8,0)),"Ya","Tidak"))</f>
        <v/>
      </c>
      <c r="V134" s="48">
        <f>IF(T134="","",IF(T134&lt;=INDEX('Target Severity'!$D$5:$D$8,MATCH(G134,'Target Severity'!$A$5:$A$8,0)),"Ya","Tidak"))</f>
        <v/>
      </c>
      <c r="W134" s="46" t="n"/>
    </row>
    <row r="135" ht="15" customHeight="1" s="28">
      <c r="A135" s="46" t="n"/>
      <c r="B135" s="46" t="n"/>
      <c r="C135" s="46" t="n"/>
      <c r="D135" s="46" t="n"/>
      <c r="E135" s="46" t="n"/>
      <c r="F135" s="46" t="n"/>
      <c r="G135" s="46" t="n"/>
      <c r="H135" s="46" t="n"/>
      <c r="I135" s="47" t="n"/>
      <c r="J135" s="47" t="n"/>
      <c r="K135" s="47" t="n"/>
      <c r="L135" s="47" t="n"/>
      <c r="M135" s="46" t="n"/>
      <c r="N135" s="46" t="n"/>
      <c r="O135" s="46" t="n"/>
      <c r="P135" s="48">
        <f>IF(G135="","",IF(OR(G135="P1",G135="P2"),"Ya","Tidak"))</f>
        <v/>
      </c>
      <c r="Q135" s="46" t="n"/>
      <c r="R135" s="46" t="n"/>
      <c r="S135" s="48">
        <f>IF(OR(I135="",J135=""),"",ROUND((J135-I135)*1440,0))</f>
        <v/>
      </c>
      <c r="T135" s="48">
        <f>IF(OR(I135="",K135=""),"",ROUND((K135-I135)*24,1))</f>
        <v/>
      </c>
      <c r="U135" s="48">
        <f>IF(S135="","",IF(S135&lt;=INDEX('Target Severity'!$B$5:$B$8,MATCH(G135,'Target Severity'!$A$5:$A$8,0)),"Ya","Tidak"))</f>
        <v/>
      </c>
      <c r="V135" s="48">
        <f>IF(T135="","",IF(T135&lt;=INDEX('Target Severity'!$D$5:$D$8,MATCH(G135,'Target Severity'!$A$5:$A$8,0)),"Ya","Tidak"))</f>
        <v/>
      </c>
      <c r="W135" s="46" t="n"/>
    </row>
    <row r="136" ht="15" customHeight="1" s="28">
      <c r="A136" s="46" t="n"/>
      <c r="B136" s="46" t="n"/>
      <c r="C136" s="46" t="n"/>
      <c r="D136" s="46" t="n"/>
      <c r="E136" s="46" t="n"/>
      <c r="F136" s="46" t="n"/>
      <c r="G136" s="46" t="n"/>
      <c r="H136" s="46" t="n"/>
      <c r="I136" s="47" t="n"/>
      <c r="J136" s="47" t="n"/>
      <c r="K136" s="47" t="n"/>
      <c r="L136" s="47" t="n"/>
      <c r="M136" s="46" t="n"/>
      <c r="N136" s="46" t="n"/>
      <c r="O136" s="46" t="n"/>
      <c r="P136" s="48">
        <f>IF(G136="","",IF(OR(G136="P1",G136="P2"),"Ya","Tidak"))</f>
        <v/>
      </c>
      <c r="Q136" s="46" t="n"/>
      <c r="R136" s="46" t="n"/>
      <c r="S136" s="48">
        <f>IF(OR(I136="",J136=""),"",ROUND((J136-I136)*1440,0))</f>
        <v/>
      </c>
      <c r="T136" s="48">
        <f>IF(OR(I136="",K136=""),"",ROUND((K136-I136)*24,1))</f>
        <v/>
      </c>
      <c r="U136" s="48">
        <f>IF(S136="","",IF(S136&lt;=INDEX('Target Severity'!$B$5:$B$8,MATCH(G136,'Target Severity'!$A$5:$A$8,0)),"Ya","Tidak"))</f>
        <v/>
      </c>
      <c r="V136" s="48">
        <f>IF(T136="","",IF(T136&lt;=INDEX('Target Severity'!$D$5:$D$8,MATCH(G136,'Target Severity'!$A$5:$A$8,0)),"Ya","Tidak"))</f>
        <v/>
      </c>
      <c r="W136" s="46" t="n"/>
    </row>
    <row r="137" ht="15" customHeight="1" s="28">
      <c r="A137" s="46" t="n"/>
      <c r="B137" s="46" t="n"/>
      <c r="C137" s="46" t="n"/>
      <c r="D137" s="46" t="n"/>
      <c r="E137" s="46" t="n"/>
      <c r="F137" s="46" t="n"/>
      <c r="G137" s="46" t="n"/>
      <c r="H137" s="46" t="n"/>
      <c r="I137" s="47" t="n"/>
      <c r="J137" s="47" t="n"/>
      <c r="K137" s="47" t="n"/>
      <c r="L137" s="47" t="n"/>
      <c r="M137" s="46" t="n"/>
      <c r="N137" s="46" t="n"/>
      <c r="O137" s="46" t="n"/>
      <c r="P137" s="48">
        <f>IF(G137="","",IF(OR(G137="P1",G137="P2"),"Ya","Tidak"))</f>
        <v/>
      </c>
      <c r="Q137" s="46" t="n"/>
      <c r="R137" s="46" t="n"/>
      <c r="S137" s="48">
        <f>IF(OR(I137="",J137=""),"",ROUND((J137-I137)*1440,0))</f>
        <v/>
      </c>
      <c r="T137" s="48">
        <f>IF(OR(I137="",K137=""),"",ROUND((K137-I137)*24,1))</f>
        <v/>
      </c>
      <c r="U137" s="48">
        <f>IF(S137="","",IF(S137&lt;=INDEX('Target Severity'!$B$5:$B$8,MATCH(G137,'Target Severity'!$A$5:$A$8,0)),"Ya","Tidak"))</f>
        <v/>
      </c>
      <c r="V137" s="48">
        <f>IF(T137="","",IF(T137&lt;=INDEX('Target Severity'!$D$5:$D$8,MATCH(G137,'Target Severity'!$A$5:$A$8,0)),"Ya","Tidak"))</f>
        <v/>
      </c>
      <c r="W137" s="46" t="n"/>
    </row>
    <row r="138" ht="15" customHeight="1" s="28">
      <c r="A138" s="46" t="n"/>
      <c r="B138" s="46" t="n"/>
      <c r="C138" s="46" t="n"/>
      <c r="D138" s="46" t="n"/>
      <c r="E138" s="46" t="n"/>
      <c r="F138" s="46" t="n"/>
      <c r="G138" s="46" t="n"/>
      <c r="H138" s="46" t="n"/>
      <c r="I138" s="47" t="n"/>
      <c r="J138" s="47" t="n"/>
      <c r="K138" s="47" t="n"/>
      <c r="L138" s="47" t="n"/>
      <c r="M138" s="46" t="n"/>
      <c r="N138" s="46" t="n"/>
      <c r="O138" s="46" t="n"/>
      <c r="P138" s="48">
        <f>IF(G138="","",IF(OR(G138="P1",G138="P2"),"Ya","Tidak"))</f>
        <v/>
      </c>
      <c r="Q138" s="46" t="n"/>
      <c r="R138" s="46" t="n"/>
      <c r="S138" s="48">
        <f>IF(OR(I138="",J138=""),"",ROUND((J138-I138)*1440,0))</f>
        <v/>
      </c>
      <c r="T138" s="48">
        <f>IF(OR(I138="",K138=""),"",ROUND((K138-I138)*24,1))</f>
        <v/>
      </c>
      <c r="U138" s="48">
        <f>IF(S138="","",IF(S138&lt;=INDEX('Target Severity'!$B$5:$B$8,MATCH(G138,'Target Severity'!$A$5:$A$8,0)),"Ya","Tidak"))</f>
        <v/>
      </c>
      <c r="V138" s="48">
        <f>IF(T138="","",IF(T138&lt;=INDEX('Target Severity'!$D$5:$D$8,MATCH(G138,'Target Severity'!$A$5:$A$8,0)),"Ya","Tidak"))</f>
        <v/>
      </c>
      <c r="W138" s="46" t="n"/>
    </row>
    <row r="139" ht="15" customHeight="1" s="28">
      <c r="A139" s="46" t="n"/>
      <c r="B139" s="46" t="n"/>
      <c r="C139" s="46" t="n"/>
      <c r="D139" s="46" t="n"/>
      <c r="E139" s="46" t="n"/>
      <c r="F139" s="46" t="n"/>
      <c r="G139" s="46" t="n"/>
      <c r="H139" s="46" t="n"/>
      <c r="I139" s="47" t="n"/>
      <c r="J139" s="47" t="n"/>
      <c r="K139" s="47" t="n"/>
      <c r="L139" s="47" t="n"/>
      <c r="M139" s="46" t="n"/>
      <c r="N139" s="46" t="n"/>
      <c r="O139" s="46" t="n"/>
      <c r="P139" s="48">
        <f>IF(G139="","",IF(OR(G139="P1",G139="P2"),"Ya","Tidak"))</f>
        <v/>
      </c>
      <c r="Q139" s="46" t="n"/>
      <c r="R139" s="46" t="n"/>
      <c r="S139" s="48">
        <f>IF(OR(I139="",J139=""),"",ROUND((J139-I139)*1440,0))</f>
        <v/>
      </c>
      <c r="T139" s="48">
        <f>IF(OR(I139="",K139=""),"",ROUND((K139-I139)*24,1))</f>
        <v/>
      </c>
      <c r="U139" s="48">
        <f>IF(S139="","",IF(S139&lt;=INDEX('Target Severity'!$B$5:$B$8,MATCH(G139,'Target Severity'!$A$5:$A$8,0)),"Ya","Tidak"))</f>
        <v/>
      </c>
      <c r="V139" s="48">
        <f>IF(T139="","",IF(T139&lt;=INDEX('Target Severity'!$D$5:$D$8,MATCH(G139,'Target Severity'!$A$5:$A$8,0)),"Ya","Tidak"))</f>
        <v/>
      </c>
      <c r="W139" s="46" t="n"/>
    </row>
    <row r="140" ht="15" customHeight="1" s="28">
      <c r="A140" s="46" t="n"/>
      <c r="B140" s="46" t="n"/>
      <c r="C140" s="46" t="n"/>
      <c r="D140" s="46" t="n"/>
      <c r="E140" s="46" t="n"/>
      <c r="F140" s="46" t="n"/>
      <c r="G140" s="46" t="n"/>
      <c r="H140" s="46" t="n"/>
      <c r="I140" s="47" t="n"/>
      <c r="J140" s="47" t="n"/>
      <c r="K140" s="47" t="n"/>
      <c r="L140" s="47" t="n"/>
      <c r="M140" s="46" t="n"/>
      <c r="N140" s="46" t="n"/>
      <c r="O140" s="46" t="n"/>
      <c r="P140" s="48">
        <f>IF(G140="","",IF(OR(G140="P1",G140="P2"),"Ya","Tidak"))</f>
        <v/>
      </c>
      <c r="Q140" s="46" t="n"/>
      <c r="R140" s="46" t="n"/>
      <c r="S140" s="48">
        <f>IF(OR(I140="",J140=""),"",ROUND((J140-I140)*1440,0))</f>
        <v/>
      </c>
      <c r="T140" s="48">
        <f>IF(OR(I140="",K140=""),"",ROUND((K140-I140)*24,1))</f>
        <v/>
      </c>
      <c r="U140" s="48">
        <f>IF(S140="","",IF(S140&lt;=INDEX('Target Severity'!$B$5:$B$8,MATCH(G140,'Target Severity'!$A$5:$A$8,0)),"Ya","Tidak"))</f>
        <v/>
      </c>
      <c r="V140" s="48">
        <f>IF(T140="","",IF(T140&lt;=INDEX('Target Severity'!$D$5:$D$8,MATCH(G140,'Target Severity'!$A$5:$A$8,0)),"Ya","Tidak"))</f>
        <v/>
      </c>
      <c r="W140" s="46" t="n"/>
    </row>
    <row r="141" ht="15" customHeight="1" s="28">
      <c r="A141" s="46" t="n"/>
      <c r="B141" s="46" t="n"/>
      <c r="C141" s="46" t="n"/>
      <c r="D141" s="46" t="n"/>
      <c r="E141" s="46" t="n"/>
      <c r="F141" s="46" t="n"/>
      <c r="G141" s="46" t="n"/>
      <c r="H141" s="46" t="n"/>
      <c r="I141" s="47" t="n"/>
      <c r="J141" s="47" t="n"/>
      <c r="K141" s="47" t="n"/>
      <c r="L141" s="47" t="n"/>
      <c r="M141" s="46" t="n"/>
      <c r="N141" s="46" t="n"/>
      <c r="O141" s="46" t="n"/>
      <c r="P141" s="48">
        <f>IF(G141="","",IF(OR(G141="P1",G141="P2"),"Ya","Tidak"))</f>
        <v/>
      </c>
      <c r="Q141" s="46" t="n"/>
      <c r="R141" s="46" t="n"/>
      <c r="S141" s="48">
        <f>IF(OR(I141="",J141=""),"",ROUND((J141-I141)*1440,0))</f>
        <v/>
      </c>
      <c r="T141" s="48">
        <f>IF(OR(I141="",K141=""),"",ROUND((K141-I141)*24,1))</f>
        <v/>
      </c>
      <c r="U141" s="48">
        <f>IF(S141="","",IF(S141&lt;=INDEX('Target Severity'!$B$5:$B$8,MATCH(G141,'Target Severity'!$A$5:$A$8,0)),"Ya","Tidak"))</f>
        <v/>
      </c>
      <c r="V141" s="48">
        <f>IF(T141="","",IF(T141&lt;=INDEX('Target Severity'!$D$5:$D$8,MATCH(G141,'Target Severity'!$A$5:$A$8,0)),"Ya","Tidak"))</f>
        <v/>
      </c>
      <c r="W141" s="46" t="n"/>
    </row>
    <row r="142" ht="15" customHeight="1" s="28">
      <c r="A142" s="46" t="n"/>
      <c r="B142" s="46" t="n"/>
      <c r="C142" s="46" t="n"/>
      <c r="D142" s="46" t="n"/>
      <c r="E142" s="46" t="n"/>
      <c r="F142" s="46" t="n"/>
      <c r="G142" s="46" t="n"/>
      <c r="H142" s="46" t="n"/>
      <c r="I142" s="47" t="n"/>
      <c r="J142" s="47" t="n"/>
      <c r="K142" s="47" t="n"/>
      <c r="L142" s="47" t="n"/>
      <c r="M142" s="46" t="n"/>
      <c r="N142" s="46" t="n"/>
      <c r="O142" s="46" t="n"/>
      <c r="P142" s="48">
        <f>IF(G142="","",IF(OR(G142="P1",G142="P2"),"Ya","Tidak"))</f>
        <v/>
      </c>
      <c r="Q142" s="46" t="n"/>
      <c r="R142" s="46" t="n"/>
      <c r="S142" s="48">
        <f>IF(OR(I142="",J142=""),"",ROUND((J142-I142)*1440,0))</f>
        <v/>
      </c>
      <c r="T142" s="48">
        <f>IF(OR(I142="",K142=""),"",ROUND((K142-I142)*24,1))</f>
        <v/>
      </c>
      <c r="U142" s="48">
        <f>IF(S142="","",IF(S142&lt;=INDEX('Target Severity'!$B$5:$B$8,MATCH(G142,'Target Severity'!$A$5:$A$8,0)),"Ya","Tidak"))</f>
        <v/>
      </c>
      <c r="V142" s="48">
        <f>IF(T142="","",IF(T142&lt;=INDEX('Target Severity'!$D$5:$D$8,MATCH(G142,'Target Severity'!$A$5:$A$8,0)),"Ya","Tidak"))</f>
        <v/>
      </c>
      <c r="W142" s="46" t="n"/>
    </row>
    <row r="143" ht="15" customHeight="1" s="28">
      <c r="A143" s="46" t="n"/>
      <c r="B143" s="46" t="n"/>
      <c r="C143" s="46" t="n"/>
      <c r="D143" s="46" t="n"/>
      <c r="E143" s="46" t="n"/>
      <c r="F143" s="46" t="n"/>
      <c r="G143" s="46" t="n"/>
      <c r="H143" s="46" t="n"/>
      <c r="I143" s="47" t="n"/>
      <c r="J143" s="47" t="n"/>
      <c r="K143" s="47" t="n"/>
      <c r="L143" s="47" t="n"/>
      <c r="M143" s="46" t="n"/>
      <c r="N143" s="46" t="n"/>
      <c r="O143" s="46" t="n"/>
      <c r="P143" s="48">
        <f>IF(G143="","",IF(OR(G143="P1",G143="P2"),"Ya","Tidak"))</f>
        <v/>
      </c>
      <c r="Q143" s="46" t="n"/>
      <c r="R143" s="46" t="n"/>
      <c r="S143" s="48">
        <f>IF(OR(I143="",J143=""),"",ROUND((J143-I143)*1440,0))</f>
        <v/>
      </c>
      <c r="T143" s="48">
        <f>IF(OR(I143="",K143=""),"",ROUND((K143-I143)*24,1))</f>
        <v/>
      </c>
      <c r="U143" s="48">
        <f>IF(S143="","",IF(S143&lt;=INDEX('Target Severity'!$B$5:$B$8,MATCH(G143,'Target Severity'!$A$5:$A$8,0)),"Ya","Tidak"))</f>
        <v/>
      </c>
      <c r="V143" s="48">
        <f>IF(T143="","",IF(T143&lt;=INDEX('Target Severity'!$D$5:$D$8,MATCH(G143,'Target Severity'!$A$5:$A$8,0)),"Ya","Tidak"))</f>
        <v/>
      </c>
      <c r="W143" s="46" t="n"/>
    </row>
    <row r="144" ht="15" customHeight="1" s="28">
      <c r="A144" s="46" t="n"/>
      <c r="B144" s="46" t="n"/>
      <c r="C144" s="46" t="n"/>
      <c r="D144" s="46" t="n"/>
      <c r="E144" s="46" t="n"/>
      <c r="F144" s="46" t="n"/>
      <c r="G144" s="46" t="n"/>
      <c r="H144" s="46" t="n"/>
      <c r="I144" s="47" t="n"/>
      <c r="J144" s="47" t="n"/>
      <c r="K144" s="47" t="n"/>
      <c r="L144" s="47" t="n"/>
      <c r="M144" s="46" t="n"/>
      <c r="N144" s="46" t="n"/>
      <c r="O144" s="46" t="n"/>
      <c r="P144" s="48">
        <f>IF(G144="","",IF(OR(G144="P1",G144="P2"),"Ya","Tidak"))</f>
        <v/>
      </c>
      <c r="Q144" s="46" t="n"/>
      <c r="R144" s="46" t="n"/>
      <c r="S144" s="48">
        <f>IF(OR(I144="",J144=""),"",ROUND((J144-I144)*1440,0))</f>
        <v/>
      </c>
      <c r="T144" s="48">
        <f>IF(OR(I144="",K144=""),"",ROUND((K144-I144)*24,1))</f>
        <v/>
      </c>
      <c r="U144" s="48">
        <f>IF(S144="","",IF(S144&lt;=INDEX('Target Severity'!$B$5:$B$8,MATCH(G144,'Target Severity'!$A$5:$A$8,0)),"Ya","Tidak"))</f>
        <v/>
      </c>
      <c r="V144" s="48">
        <f>IF(T144="","",IF(T144&lt;=INDEX('Target Severity'!$D$5:$D$8,MATCH(G144,'Target Severity'!$A$5:$A$8,0)),"Ya","Tidak"))</f>
        <v/>
      </c>
      <c r="W144" s="46" t="n"/>
    </row>
    <row r="145" ht="15" customHeight="1" s="28">
      <c r="A145" s="46" t="n"/>
      <c r="B145" s="46" t="n"/>
      <c r="C145" s="46" t="n"/>
      <c r="D145" s="46" t="n"/>
      <c r="E145" s="46" t="n"/>
      <c r="F145" s="46" t="n"/>
      <c r="G145" s="46" t="n"/>
      <c r="H145" s="46" t="n"/>
      <c r="I145" s="47" t="n"/>
      <c r="J145" s="47" t="n"/>
      <c r="K145" s="47" t="n"/>
      <c r="L145" s="47" t="n"/>
      <c r="M145" s="46" t="n"/>
      <c r="N145" s="46" t="n"/>
      <c r="O145" s="46" t="n"/>
      <c r="P145" s="48">
        <f>IF(G145="","",IF(OR(G145="P1",G145="P2"),"Ya","Tidak"))</f>
        <v/>
      </c>
      <c r="Q145" s="46" t="n"/>
      <c r="R145" s="46" t="n"/>
      <c r="S145" s="48">
        <f>IF(OR(I145="",J145=""),"",ROUND((J145-I145)*1440,0))</f>
        <v/>
      </c>
      <c r="T145" s="48">
        <f>IF(OR(I145="",K145=""),"",ROUND((K145-I145)*24,1))</f>
        <v/>
      </c>
      <c r="U145" s="48">
        <f>IF(S145="","",IF(S145&lt;=INDEX('Target Severity'!$B$5:$B$8,MATCH(G145,'Target Severity'!$A$5:$A$8,0)),"Ya","Tidak"))</f>
        <v/>
      </c>
      <c r="V145" s="48">
        <f>IF(T145="","",IF(T145&lt;=INDEX('Target Severity'!$D$5:$D$8,MATCH(G145,'Target Severity'!$A$5:$A$8,0)),"Ya","Tidak"))</f>
        <v/>
      </c>
      <c r="W145" s="46" t="n"/>
    </row>
    <row r="146" ht="15" customHeight="1" s="28">
      <c r="A146" s="46" t="n"/>
      <c r="B146" s="46" t="n"/>
      <c r="C146" s="46" t="n"/>
      <c r="D146" s="46" t="n"/>
      <c r="E146" s="46" t="n"/>
      <c r="F146" s="46" t="n"/>
      <c r="G146" s="46" t="n"/>
      <c r="H146" s="46" t="n"/>
      <c r="I146" s="47" t="n"/>
      <c r="J146" s="47" t="n"/>
      <c r="K146" s="47" t="n"/>
      <c r="L146" s="47" t="n"/>
      <c r="M146" s="46" t="n"/>
      <c r="N146" s="46" t="n"/>
      <c r="O146" s="46" t="n"/>
      <c r="P146" s="48">
        <f>IF(G146="","",IF(OR(G146="P1",G146="P2"),"Ya","Tidak"))</f>
        <v/>
      </c>
      <c r="Q146" s="46" t="n"/>
      <c r="R146" s="46" t="n"/>
      <c r="S146" s="48">
        <f>IF(OR(I146="",J146=""),"",ROUND((J146-I146)*1440,0))</f>
        <v/>
      </c>
      <c r="T146" s="48">
        <f>IF(OR(I146="",K146=""),"",ROUND((K146-I146)*24,1))</f>
        <v/>
      </c>
      <c r="U146" s="48">
        <f>IF(S146="","",IF(S146&lt;=INDEX('Target Severity'!$B$5:$B$8,MATCH(G146,'Target Severity'!$A$5:$A$8,0)),"Ya","Tidak"))</f>
        <v/>
      </c>
      <c r="V146" s="48">
        <f>IF(T146="","",IF(T146&lt;=INDEX('Target Severity'!$D$5:$D$8,MATCH(G146,'Target Severity'!$A$5:$A$8,0)),"Ya","Tidak"))</f>
        <v/>
      </c>
      <c r="W146" s="46" t="n"/>
    </row>
    <row r="147" ht="15" customHeight="1" s="28">
      <c r="A147" s="46" t="n"/>
      <c r="B147" s="46" t="n"/>
      <c r="C147" s="46" t="n"/>
      <c r="D147" s="46" t="n"/>
      <c r="E147" s="46" t="n"/>
      <c r="F147" s="46" t="n"/>
      <c r="G147" s="46" t="n"/>
      <c r="H147" s="46" t="n"/>
      <c r="I147" s="47" t="n"/>
      <c r="J147" s="47" t="n"/>
      <c r="K147" s="47" t="n"/>
      <c r="L147" s="47" t="n"/>
      <c r="M147" s="46" t="n"/>
      <c r="N147" s="46" t="n"/>
      <c r="O147" s="46" t="n"/>
      <c r="P147" s="48">
        <f>IF(G147="","",IF(OR(G147="P1",G147="P2"),"Ya","Tidak"))</f>
        <v/>
      </c>
      <c r="Q147" s="46" t="n"/>
      <c r="R147" s="46" t="n"/>
      <c r="S147" s="48">
        <f>IF(OR(I147="",J147=""),"",ROUND((J147-I147)*1440,0))</f>
        <v/>
      </c>
      <c r="T147" s="48">
        <f>IF(OR(I147="",K147=""),"",ROUND((K147-I147)*24,1))</f>
        <v/>
      </c>
      <c r="U147" s="48">
        <f>IF(S147="","",IF(S147&lt;=INDEX('Target Severity'!$B$5:$B$8,MATCH(G147,'Target Severity'!$A$5:$A$8,0)),"Ya","Tidak"))</f>
        <v/>
      </c>
      <c r="V147" s="48">
        <f>IF(T147="","",IF(T147&lt;=INDEX('Target Severity'!$D$5:$D$8,MATCH(G147,'Target Severity'!$A$5:$A$8,0)),"Ya","Tidak"))</f>
        <v/>
      </c>
      <c r="W147" s="46" t="n"/>
    </row>
    <row r="148" ht="15" customHeight="1" s="28">
      <c r="A148" s="46" t="n"/>
      <c r="B148" s="46" t="n"/>
      <c r="C148" s="46" t="n"/>
      <c r="D148" s="46" t="n"/>
      <c r="E148" s="46" t="n"/>
      <c r="F148" s="46" t="n"/>
      <c r="G148" s="46" t="n"/>
      <c r="H148" s="46" t="n"/>
      <c r="I148" s="47" t="n"/>
      <c r="J148" s="47" t="n"/>
      <c r="K148" s="47" t="n"/>
      <c r="L148" s="47" t="n"/>
      <c r="M148" s="46" t="n"/>
      <c r="N148" s="46" t="n"/>
      <c r="O148" s="46" t="n"/>
      <c r="P148" s="48">
        <f>IF(G148="","",IF(OR(G148="P1",G148="P2"),"Ya","Tidak"))</f>
        <v/>
      </c>
      <c r="Q148" s="46" t="n"/>
      <c r="R148" s="46" t="n"/>
      <c r="S148" s="48">
        <f>IF(OR(I148="",J148=""),"",ROUND((J148-I148)*1440,0))</f>
        <v/>
      </c>
      <c r="T148" s="48">
        <f>IF(OR(I148="",K148=""),"",ROUND((K148-I148)*24,1))</f>
        <v/>
      </c>
      <c r="U148" s="48">
        <f>IF(S148="","",IF(S148&lt;=INDEX('Target Severity'!$B$5:$B$8,MATCH(G148,'Target Severity'!$A$5:$A$8,0)),"Ya","Tidak"))</f>
        <v/>
      </c>
      <c r="V148" s="48">
        <f>IF(T148="","",IF(T148&lt;=INDEX('Target Severity'!$D$5:$D$8,MATCH(G148,'Target Severity'!$A$5:$A$8,0)),"Ya","Tidak"))</f>
        <v/>
      </c>
      <c r="W148" s="46" t="n"/>
    </row>
    <row r="149" ht="15" customHeight="1" s="28">
      <c r="A149" s="46" t="n"/>
      <c r="B149" s="46" t="n"/>
      <c r="C149" s="46" t="n"/>
      <c r="D149" s="46" t="n"/>
      <c r="E149" s="46" t="n"/>
      <c r="F149" s="46" t="n"/>
      <c r="G149" s="46" t="n"/>
      <c r="H149" s="46" t="n"/>
      <c r="I149" s="47" t="n"/>
      <c r="J149" s="47" t="n"/>
      <c r="K149" s="47" t="n"/>
      <c r="L149" s="47" t="n"/>
      <c r="M149" s="46" t="n"/>
      <c r="N149" s="46" t="n"/>
      <c r="O149" s="46" t="n"/>
      <c r="P149" s="48">
        <f>IF(G149="","",IF(OR(G149="P1",G149="P2"),"Ya","Tidak"))</f>
        <v/>
      </c>
      <c r="Q149" s="46" t="n"/>
      <c r="R149" s="46" t="n"/>
      <c r="S149" s="48">
        <f>IF(OR(I149="",J149=""),"",ROUND((J149-I149)*1440,0))</f>
        <v/>
      </c>
      <c r="T149" s="48">
        <f>IF(OR(I149="",K149=""),"",ROUND((K149-I149)*24,1))</f>
        <v/>
      </c>
      <c r="U149" s="48">
        <f>IF(S149="","",IF(S149&lt;=INDEX('Target Severity'!$B$5:$B$8,MATCH(G149,'Target Severity'!$A$5:$A$8,0)),"Ya","Tidak"))</f>
        <v/>
      </c>
      <c r="V149" s="48">
        <f>IF(T149="","",IF(T149&lt;=INDEX('Target Severity'!$D$5:$D$8,MATCH(G149,'Target Severity'!$A$5:$A$8,0)),"Ya","Tidak"))</f>
        <v/>
      </c>
      <c r="W149" s="46" t="n"/>
    </row>
    <row r="150" ht="15" customHeight="1" s="28">
      <c r="A150" s="46" t="n"/>
      <c r="B150" s="46" t="n"/>
      <c r="C150" s="46" t="n"/>
      <c r="D150" s="46" t="n"/>
      <c r="E150" s="46" t="n"/>
      <c r="F150" s="46" t="n"/>
      <c r="G150" s="46" t="n"/>
      <c r="H150" s="46" t="n"/>
      <c r="I150" s="47" t="n"/>
      <c r="J150" s="47" t="n"/>
      <c r="K150" s="47" t="n"/>
      <c r="L150" s="47" t="n"/>
      <c r="M150" s="46" t="n"/>
      <c r="N150" s="46" t="n"/>
      <c r="O150" s="46" t="n"/>
      <c r="P150" s="48">
        <f>IF(G150="","",IF(OR(G150="P1",G150="P2"),"Ya","Tidak"))</f>
        <v/>
      </c>
      <c r="Q150" s="46" t="n"/>
      <c r="R150" s="46" t="n"/>
      <c r="S150" s="48">
        <f>IF(OR(I150="",J150=""),"",ROUND((J150-I150)*1440,0))</f>
        <v/>
      </c>
      <c r="T150" s="48">
        <f>IF(OR(I150="",K150=""),"",ROUND((K150-I150)*24,1))</f>
        <v/>
      </c>
      <c r="U150" s="48">
        <f>IF(S150="","",IF(S150&lt;=INDEX('Target Severity'!$B$5:$B$8,MATCH(G150,'Target Severity'!$A$5:$A$8,0)),"Ya","Tidak"))</f>
        <v/>
      </c>
      <c r="V150" s="48">
        <f>IF(T150="","",IF(T150&lt;=INDEX('Target Severity'!$D$5:$D$8,MATCH(G150,'Target Severity'!$A$5:$A$8,0)),"Ya","Tidak"))</f>
        <v/>
      </c>
      <c r="W150" s="46" t="n"/>
    </row>
    <row r="151" ht="15" customHeight="1" s="28">
      <c r="A151" s="46" t="n"/>
      <c r="B151" s="46" t="n"/>
      <c r="C151" s="46" t="n"/>
      <c r="D151" s="46" t="n"/>
      <c r="E151" s="46" t="n"/>
      <c r="F151" s="46" t="n"/>
      <c r="G151" s="46" t="n"/>
      <c r="H151" s="46" t="n"/>
      <c r="I151" s="47" t="n"/>
      <c r="J151" s="47" t="n"/>
      <c r="K151" s="47" t="n"/>
      <c r="L151" s="47" t="n"/>
      <c r="M151" s="46" t="n"/>
      <c r="N151" s="46" t="n"/>
      <c r="O151" s="46" t="n"/>
      <c r="P151" s="48">
        <f>IF(G151="","",IF(OR(G151="P1",G151="P2"),"Ya","Tidak"))</f>
        <v/>
      </c>
      <c r="Q151" s="46" t="n"/>
      <c r="R151" s="46" t="n"/>
      <c r="S151" s="48">
        <f>IF(OR(I151="",J151=""),"",ROUND((J151-I151)*1440,0))</f>
        <v/>
      </c>
      <c r="T151" s="48">
        <f>IF(OR(I151="",K151=""),"",ROUND((K151-I151)*24,1))</f>
        <v/>
      </c>
      <c r="U151" s="48">
        <f>IF(S151="","",IF(S151&lt;=INDEX('Target Severity'!$B$5:$B$8,MATCH(G151,'Target Severity'!$A$5:$A$8,0)),"Ya","Tidak"))</f>
        <v/>
      </c>
      <c r="V151" s="48">
        <f>IF(T151="","",IF(T151&lt;=INDEX('Target Severity'!$D$5:$D$8,MATCH(G151,'Target Severity'!$A$5:$A$8,0)),"Ya","Tidak"))</f>
        <v/>
      </c>
      <c r="W151" s="46" t="n"/>
    </row>
    <row r="152" ht="15" customHeight="1" s="28">
      <c r="A152" s="46" t="n"/>
      <c r="B152" s="46" t="n"/>
      <c r="C152" s="46" t="n"/>
      <c r="D152" s="46" t="n"/>
      <c r="E152" s="46" t="n"/>
      <c r="F152" s="46" t="n"/>
      <c r="G152" s="46" t="n"/>
      <c r="H152" s="46" t="n"/>
      <c r="I152" s="47" t="n"/>
      <c r="J152" s="47" t="n"/>
      <c r="K152" s="47" t="n"/>
      <c r="L152" s="47" t="n"/>
      <c r="M152" s="46" t="n"/>
      <c r="N152" s="46" t="n"/>
      <c r="O152" s="46" t="n"/>
      <c r="P152" s="48">
        <f>IF(G152="","",IF(OR(G152="P1",G152="P2"),"Ya","Tidak"))</f>
        <v/>
      </c>
      <c r="Q152" s="46" t="n"/>
      <c r="R152" s="46" t="n"/>
      <c r="S152" s="48">
        <f>IF(OR(I152="",J152=""),"",ROUND((J152-I152)*1440,0))</f>
        <v/>
      </c>
      <c r="T152" s="48">
        <f>IF(OR(I152="",K152=""),"",ROUND((K152-I152)*24,1))</f>
        <v/>
      </c>
      <c r="U152" s="48">
        <f>IF(S152="","",IF(S152&lt;=INDEX('Target Severity'!$B$5:$B$8,MATCH(G152,'Target Severity'!$A$5:$A$8,0)),"Ya","Tidak"))</f>
        <v/>
      </c>
      <c r="V152" s="48">
        <f>IF(T152="","",IF(T152&lt;=INDEX('Target Severity'!$D$5:$D$8,MATCH(G152,'Target Severity'!$A$5:$A$8,0)),"Ya","Tidak"))</f>
        <v/>
      </c>
      <c r="W152" s="46" t="n"/>
    </row>
    <row r="153" ht="15" customHeight="1" s="28">
      <c r="A153" s="46" t="n"/>
      <c r="B153" s="46" t="n"/>
      <c r="C153" s="46" t="n"/>
      <c r="D153" s="46" t="n"/>
      <c r="E153" s="46" t="n"/>
      <c r="F153" s="46" t="n"/>
      <c r="G153" s="46" t="n"/>
      <c r="H153" s="46" t="n"/>
      <c r="I153" s="47" t="n"/>
      <c r="J153" s="47" t="n"/>
      <c r="K153" s="47" t="n"/>
      <c r="L153" s="47" t="n"/>
      <c r="M153" s="46" t="n"/>
      <c r="N153" s="46" t="n"/>
      <c r="O153" s="46" t="n"/>
      <c r="P153" s="48">
        <f>IF(G153="","",IF(OR(G153="P1",G153="P2"),"Ya","Tidak"))</f>
        <v/>
      </c>
      <c r="Q153" s="46" t="n"/>
      <c r="R153" s="46" t="n"/>
      <c r="S153" s="48">
        <f>IF(OR(I153="",J153=""),"",ROUND((J153-I153)*1440,0))</f>
        <v/>
      </c>
      <c r="T153" s="48">
        <f>IF(OR(I153="",K153=""),"",ROUND((K153-I153)*24,1))</f>
        <v/>
      </c>
      <c r="U153" s="48">
        <f>IF(S153="","",IF(S153&lt;=INDEX('Target Severity'!$B$5:$B$8,MATCH(G153,'Target Severity'!$A$5:$A$8,0)),"Ya","Tidak"))</f>
        <v/>
      </c>
      <c r="V153" s="48">
        <f>IF(T153="","",IF(T153&lt;=INDEX('Target Severity'!$D$5:$D$8,MATCH(G153,'Target Severity'!$A$5:$A$8,0)),"Ya","Tidak"))</f>
        <v/>
      </c>
      <c r="W153" s="46" t="n"/>
    </row>
    <row r="154" ht="15" customHeight="1" s="28">
      <c r="A154" s="46" t="n"/>
      <c r="B154" s="46" t="n"/>
      <c r="C154" s="46" t="n"/>
      <c r="D154" s="46" t="n"/>
      <c r="E154" s="46" t="n"/>
      <c r="F154" s="46" t="n"/>
      <c r="G154" s="46" t="n"/>
      <c r="H154" s="46" t="n"/>
      <c r="I154" s="47" t="n"/>
      <c r="J154" s="47" t="n"/>
      <c r="K154" s="47" t="n"/>
      <c r="L154" s="47" t="n"/>
      <c r="M154" s="46" t="n"/>
      <c r="N154" s="46" t="n"/>
      <c r="O154" s="46" t="n"/>
      <c r="P154" s="48">
        <f>IF(G154="","",IF(OR(G154="P1",G154="P2"),"Ya","Tidak"))</f>
        <v/>
      </c>
      <c r="Q154" s="46" t="n"/>
      <c r="R154" s="46" t="n"/>
      <c r="S154" s="48">
        <f>IF(OR(I154="",J154=""),"",ROUND((J154-I154)*1440,0))</f>
        <v/>
      </c>
      <c r="T154" s="48">
        <f>IF(OR(I154="",K154=""),"",ROUND((K154-I154)*24,1))</f>
        <v/>
      </c>
      <c r="U154" s="48">
        <f>IF(S154="","",IF(S154&lt;=INDEX('Target Severity'!$B$5:$B$8,MATCH(G154,'Target Severity'!$A$5:$A$8,0)),"Ya","Tidak"))</f>
        <v/>
      </c>
      <c r="V154" s="48">
        <f>IF(T154="","",IF(T154&lt;=INDEX('Target Severity'!$D$5:$D$8,MATCH(G154,'Target Severity'!$A$5:$A$8,0)),"Ya","Tidak"))</f>
        <v/>
      </c>
      <c r="W154" s="46" t="n"/>
    </row>
    <row r="155" ht="15" customHeight="1" s="28">
      <c r="A155" s="46" t="n"/>
      <c r="B155" s="46" t="n"/>
      <c r="C155" s="46" t="n"/>
      <c r="D155" s="46" t="n"/>
      <c r="E155" s="46" t="n"/>
      <c r="F155" s="46" t="n"/>
      <c r="G155" s="46" t="n"/>
      <c r="H155" s="46" t="n"/>
      <c r="I155" s="47" t="n"/>
      <c r="J155" s="47" t="n"/>
      <c r="K155" s="47" t="n"/>
      <c r="L155" s="47" t="n"/>
      <c r="M155" s="46" t="n"/>
      <c r="N155" s="46" t="n"/>
      <c r="O155" s="46" t="n"/>
      <c r="P155" s="48">
        <f>IF(G155="","",IF(OR(G155="P1",G155="P2"),"Ya","Tidak"))</f>
        <v/>
      </c>
      <c r="Q155" s="46" t="n"/>
      <c r="R155" s="46" t="n"/>
      <c r="S155" s="48">
        <f>IF(OR(I155="",J155=""),"",ROUND((J155-I155)*1440,0))</f>
        <v/>
      </c>
      <c r="T155" s="48">
        <f>IF(OR(I155="",K155=""),"",ROUND((K155-I155)*24,1))</f>
        <v/>
      </c>
      <c r="U155" s="48">
        <f>IF(S155="","",IF(S155&lt;=INDEX('Target Severity'!$B$5:$B$8,MATCH(G155,'Target Severity'!$A$5:$A$8,0)),"Ya","Tidak"))</f>
        <v/>
      </c>
      <c r="V155" s="48">
        <f>IF(T155="","",IF(T155&lt;=INDEX('Target Severity'!$D$5:$D$8,MATCH(G155,'Target Severity'!$A$5:$A$8,0)),"Ya","Tidak"))</f>
        <v/>
      </c>
      <c r="W155" s="46" t="n"/>
    </row>
    <row r="156" ht="15" customHeight="1" s="28">
      <c r="A156" s="46" t="n"/>
      <c r="B156" s="46" t="n"/>
      <c r="C156" s="46" t="n"/>
      <c r="D156" s="46" t="n"/>
      <c r="E156" s="46" t="n"/>
      <c r="F156" s="46" t="n"/>
      <c r="G156" s="46" t="n"/>
      <c r="H156" s="46" t="n"/>
      <c r="I156" s="47" t="n"/>
      <c r="J156" s="47" t="n"/>
      <c r="K156" s="47" t="n"/>
      <c r="L156" s="47" t="n"/>
      <c r="M156" s="46" t="n"/>
      <c r="N156" s="46" t="n"/>
      <c r="O156" s="46" t="n"/>
      <c r="P156" s="48">
        <f>IF(G156="","",IF(OR(G156="P1",G156="P2"),"Ya","Tidak"))</f>
        <v/>
      </c>
      <c r="Q156" s="46" t="n"/>
      <c r="R156" s="46" t="n"/>
      <c r="S156" s="48">
        <f>IF(OR(I156="",J156=""),"",ROUND((J156-I156)*1440,0))</f>
        <v/>
      </c>
      <c r="T156" s="48">
        <f>IF(OR(I156="",K156=""),"",ROUND((K156-I156)*24,1))</f>
        <v/>
      </c>
      <c r="U156" s="48">
        <f>IF(S156="","",IF(S156&lt;=INDEX('Target Severity'!$B$5:$B$8,MATCH(G156,'Target Severity'!$A$5:$A$8,0)),"Ya","Tidak"))</f>
        <v/>
      </c>
      <c r="V156" s="48">
        <f>IF(T156="","",IF(T156&lt;=INDEX('Target Severity'!$D$5:$D$8,MATCH(G156,'Target Severity'!$A$5:$A$8,0)),"Ya","Tidak"))</f>
        <v/>
      </c>
      <c r="W156" s="46" t="n"/>
    </row>
    <row r="157" ht="15" customHeight="1" s="28">
      <c r="A157" s="46" t="n"/>
      <c r="B157" s="46" t="n"/>
      <c r="C157" s="46" t="n"/>
      <c r="D157" s="46" t="n"/>
      <c r="E157" s="46" t="n"/>
      <c r="F157" s="46" t="n"/>
      <c r="G157" s="46" t="n"/>
      <c r="H157" s="46" t="n"/>
      <c r="I157" s="47" t="n"/>
      <c r="J157" s="47" t="n"/>
      <c r="K157" s="47" t="n"/>
      <c r="L157" s="47" t="n"/>
      <c r="M157" s="46" t="n"/>
      <c r="N157" s="46" t="n"/>
      <c r="O157" s="46" t="n"/>
      <c r="P157" s="48">
        <f>IF(G157="","",IF(OR(G157="P1",G157="P2"),"Ya","Tidak"))</f>
        <v/>
      </c>
      <c r="Q157" s="46" t="n"/>
      <c r="R157" s="46" t="n"/>
      <c r="S157" s="48">
        <f>IF(OR(I157="",J157=""),"",ROUND((J157-I157)*1440,0))</f>
        <v/>
      </c>
      <c r="T157" s="48">
        <f>IF(OR(I157="",K157=""),"",ROUND((K157-I157)*24,1))</f>
        <v/>
      </c>
      <c r="U157" s="48">
        <f>IF(S157="","",IF(S157&lt;=INDEX('Target Severity'!$B$5:$B$8,MATCH(G157,'Target Severity'!$A$5:$A$8,0)),"Ya","Tidak"))</f>
        <v/>
      </c>
      <c r="V157" s="48">
        <f>IF(T157="","",IF(T157&lt;=INDEX('Target Severity'!$D$5:$D$8,MATCH(G157,'Target Severity'!$A$5:$A$8,0)),"Ya","Tidak"))</f>
        <v/>
      </c>
      <c r="W157" s="46" t="n"/>
    </row>
    <row r="158" ht="15" customHeight="1" s="28">
      <c r="A158" s="46" t="n"/>
      <c r="B158" s="46" t="n"/>
      <c r="C158" s="46" t="n"/>
      <c r="D158" s="46" t="n"/>
      <c r="E158" s="46" t="n"/>
      <c r="F158" s="46" t="n"/>
      <c r="G158" s="46" t="n"/>
      <c r="H158" s="46" t="n"/>
      <c r="I158" s="47" t="n"/>
      <c r="J158" s="47" t="n"/>
      <c r="K158" s="47" t="n"/>
      <c r="L158" s="47" t="n"/>
      <c r="M158" s="46" t="n"/>
      <c r="N158" s="46" t="n"/>
      <c r="O158" s="46" t="n"/>
      <c r="P158" s="48">
        <f>IF(G158="","",IF(OR(G158="P1",G158="P2"),"Ya","Tidak"))</f>
        <v/>
      </c>
      <c r="Q158" s="46" t="n"/>
      <c r="R158" s="46" t="n"/>
      <c r="S158" s="48">
        <f>IF(OR(I158="",J158=""),"",ROUND((J158-I158)*1440,0))</f>
        <v/>
      </c>
      <c r="T158" s="48">
        <f>IF(OR(I158="",K158=""),"",ROUND((K158-I158)*24,1))</f>
        <v/>
      </c>
      <c r="U158" s="48">
        <f>IF(S158="","",IF(S158&lt;=INDEX('Target Severity'!$B$5:$B$8,MATCH(G158,'Target Severity'!$A$5:$A$8,0)),"Ya","Tidak"))</f>
        <v/>
      </c>
      <c r="V158" s="48">
        <f>IF(T158="","",IF(T158&lt;=INDEX('Target Severity'!$D$5:$D$8,MATCH(G158,'Target Severity'!$A$5:$A$8,0)),"Ya","Tidak"))</f>
        <v/>
      </c>
      <c r="W158" s="46" t="n"/>
    </row>
    <row r="159" ht="15" customHeight="1" s="28">
      <c r="A159" s="46" t="n"/>
      <c r="B159" s="46" t="n"/>
      <c r="C159" s="46" t="n"/>
      <c r="D159" s="46" t="n"/>
      <c r="E159" s="46" t="n"/>
      <c r="F159" s="46" t="n"/>
      <c r="G159" s="46" t="n"/>
      <c r="H159" s="46" t="n"/>
      <c r="I159" s="47" t="n"/>
      <c r="J159" s="47" t="n"/>
      <c r="K159" s="47" t="n"/>
      <c r="L159" s="47" t="n"/>
      <c r="M159" s="46" t="n"/>
      <c r="N159" s="46" t="n"/>
      <c r="O159" s="46" t="n"/>
      <c r="P159" s="48">
        <f>IF(G159="","",IF(OR(G159="P1",G159="P2"),"Ya","Tidak"))</f>
        <v/>
      </c>
      <c r="Q159" s="46" t="n"/>
      <c r="R159" s="46" t="n"/>
      <c r="S159" s="48">
        <f>IF(OR(I159="",J159=""),"",ROUND((J159-I159)*1440,0))</f>
        <v/>
      </c>
      <c r="T159" s="48">
        <f>IF(OR(I159="",K159=""),"",ROUND((K159-I159)*24,1))</f>
        <v/>
      </c>
      <c r="U159" s="48">
        <f>IF(S159="","",IF(S159&lt;=INDEX('Target Severity'!$B$5:$B$8,MATCH(G159,'Target Severity'!$A$5:$A$8,0)),"Ya","Tidak"))</f>
        <v/>
      </c>
      <c r="V159" s="48">
        <f>IF(T159="","",IF(T159&lt;=INDEX('Target Severity'!$D$5:$D$8,MATCH(G159,'Target Severity'!$A$5:$A$8,0)),"Ya","Tidak"))</f>
        <v/>
      </c>
      <c r="W159" s="46" t="n"/>
    </row>
    <row r="160" ht="15" customHeight="1" s="28">
      <c r="A160" s="46" t="n"/>
      <c r="B160" s="46" t="n"/>
      <c r="C160" s="46" t="n"/>
      <c r="D160" s="46" t="n"/>
      <c r="E160" s="46" t="n"/>
      <c r="F160" s="46" t="n"/>
      <c r="G160" s="46" t="n"/>
      <c r="H160" s="46" t="n"/>
      <c r="I160" s="47" t="n"/>
      <c r="J160" s="47" t="n"/>
      <c r="K160" s="47" t="n"/>
      <c r="L160" s="47" t="n"/>
      <c r="M160" s="46" t="n"/>
      <c r="N160" s="46" t="n"/>
      <c r="O160" s="46" t="n"/>
      <c r="P160" s="48">
        <f>IF(G160="","",IF(OR(G160="P1",G160="P2"),"Ya","Tidak"))</f>
        <v/>
      </c>
      <c r="Q160" s="46" t="n"/>
      <c r="R160" s="46" t="n"/>
      <c r="S160" s="48">
        <f>IF(OR(I160="",J160=""),"",ROUND((J160-I160)*1440,0))</f>
        <v/>
      </c>
      <c r="T160" s="48">
        <f>IF(OR(I160="",K160=""),"",ROUND((K160-I160)*24,1))</f>
        <v/>
      </c>
      <c r="U160" s="48">
        <f>IF(S160="","",IF(S160&lt;=INDEX('Target Severity'!$B$5:$B$8,MATCH(G160,'Target Severity'!$A$5:$A$8,0)),"Ya","Tidak"))</f>
        <v/>
      </c>
      <c r="V160" s="48">
        <f>IF(T160="","",IF(T160&lt;=INDEX('Target Severity'!$D$5:$D$8,MATCH(G160,'Target Severity'!$A$5:$A$8,0)),"Ya","Tidak"))</f>
        <v/>
      </c>
      <c r="W160" s="46" t="n"/>
    </row>
    <row r="161" ht="15" customHeight="1" s="28">
      <c r="A161" s="46" t="n"/>
      <c r="B161" s="46" t="n"/>
      <c r="C161" s="46" t="n"/>
      <c r="D161" s="46" t="n"/>
      <c r="E161" s="46" t="n"/>
      <c r="F161" s="46" t="n"/>
      <c r="G161" s="46" t="n"/>
      <c r="H161" s="46" t="n"/>
      <c r="I161" s="47" t="n"/>
      <c r="J161" s="47" t="n"/>
      <c r="K161" s="47" t="n"/>
      <c r="L161" s="47" t="n"/>
      <c r="M161" s="46" t="n"/>
      <c r="N161" s="46" t="n"/>
      <c r="O161" s="46" t="n"/>
      <c r="P161" s="48">
        <f>IF(G161="","",IF(OR(G161="P1",G161="P2"),"Ya","Tidak"))</f>
        <v/>
      </c>
      <c r="Q161" s="46" t="n"/>
      <c r="R161" s="46" t="n"/>
      <c r="S161" s="48">
        <f>IF(OR(I161="",J161=""),"",ROUND((J161-I161)*1440,0))</f>
        <v/>
      </c>
      <c r="T161" s="48">
        <f>IF(OR(I161="",K161=""),"",ROUND((K161-I161)*24,1))</f>
        <v/>
      </c>
      <c r="U161" s="48">
        <f>IF(S161="","",IF(S161&lt;=INDEX('Target Severity'!$B$5:$B$8,MATCH(G161,'Target Severity'!$A$5:$A$8,0)),"Ya","Tidak"))</f>
        <v/>
      </c>
      <c r="V161" s="48">
        <f>IF(T161="","",IF(T161&lt;=INDEX('Target Severity'!$D$5:$D$8,MATCH(G161,'Target Severity'!$A$5:$A$8,0)),"Ya","Tidak"))</f>
        <v/>
      </c>
      <c r="W161" s="46" t="n"/>
    </row>
    <row r="162" ht="15" customHeight="1" s="28">
      <c r="A162" s="46" t="n"/>
      <c r="B162" s="46" t="n"/>
      <c r="C162" s="46" t="n"/>
      <c r="D162" s="46" t="n"/>
      <c r="E162" s="46" t="n"/>
      <c r="F162" s="46" t="n"/>
      <c r="G162" s="46" t="n"/>
      <c r="H162" s="46" t="n"/>
      <c r="I162" s="47" t="n"/>
      <c r="J162" s="47" t="n"/>
      <c r="K162" s="47" t="n"/>
      <c r="L162" s="47" t="n"/>
      <c r="M162" s="46" t="n"/>
      <c r="N162" s="46" t="n"/>
      <c r="O162" s="46" t="n"/>
      <c r="P162" s="48">
        <f>IF(G162="","",IF(OR(G162="P1",G162="P2"),"Ya","Tidak"))</f>
        <v/>
      </c>
      <c r="Q162" s="46" t="n"/>
      <c r="R162" s="46" t="n"/>
      <c r="S162" s="48">
        <f>IF(OR(I162="",J162=""),"",ROUND((J162-I162)*1440,0))</f>
        <v/>
      </c>
      <c r="T162" s="48">
        <f>IF(OR(I162="",K162=""),"",ROUND((K162-I162)*24,1))</f>
        <v/>
      </c>
      <c r="U162" s="48">
        <f>IF(S162="","",IF(S162&lt;=INDEX('Target Severity'!$B$5:$B$8,MATCH(G162,'Target Severity'!$A$5:$A$8,0)),"Ya","Tidak"))</f>
        <v/>
      </c>
      <c r="V162" s="48">
        <f>IF(T162="","",IF(T162&lt;=INDEX('Target Severity'!$D$5:$D$8,MATCH(G162,'Target Severity'!$A$5:$A$8,0)),"Ya","Tidak"))</f>
        <v/>
      </c>
      <c r="W162" s="46" t="n"/>
    </row>
    <row r="163" ht="15" customHeight="1" s="28">
      <c r="A163" s="46" t="n"/>
      <c r="B163" s="46" t="n"/>
      <c r="C163" s="46" t="n"/>
      <c r="D163" s="46" t="n"/>
      <c r="E163" s="46" t="n"/>
      <c r="F163" s="46" t="n"/>
      <c r="G163" s="46" t="n"/>
      <c r="H163" s="46" t="n"/>
      <c r="I163" s="47" t="n"/>
      <c r="J163" s="47" t="n"/>
      <c r="K163" s="47" t="n"/>
      <c r="L163" s="47" t="n"/>
      <c r="M163" s="46" t="n"/>
      <c r="N163" s="46" t="n"/>
      <c r="O163" s="46" t="n"/>
      <c r="P163" s="48">
        <f>IF(G163="","",IF(OR(G163="P1",G163="P2"),"Ya","Tidak"))</f>
        <v/>
      </c>
      <c r="Q163" s="46" t="n"/>
      <c r="R163" s="46" t="n"/>
      <c r="S163" s="48">
        <f>IF(OR(I163="",J163=""),"",ROUND((J163-I163)*1440,0))</f>
        <v/>
      </c>
      <c r="T163" s="48">
        <f>IF(OR(I163="",K163=""),"",ROUND((K163-I163)*24,1))</f>
        <v/>
      </c>
      <c r="U163" s="48">
        <f>IF(S163="","",IF(S163&lt;=INDEX('Target Severity'!$B$5:$B$8,MATCH(G163,'Target Severity'!$A$5:$A$8,0)),"Ya","Tidak"))</f>
        <v/>
      </c>
      <c r="V163" s="48">
        <f>IF(T163="","",IF(T163&lt;=INDEX('Target Severity'!$D$5:$D$8,MATCH(G163,'Target Severity'!$A$5:$A$8,0)),"Ya","Tidak"))</f>
        <v/>
      </c>
      <c r="W163" s="46" t="n"/>
    </row>
    <row r="164" ht="15" customHeight="1" s="28">
      <c r="A164" s="46" t="n"/>
      <c r="B164" s="46" t="n"/>
      <c r="C164" s="46" t="n"/>
      <c r="D164" s="46" t="n"/>
      <c r="E164" s="46" t="n"/>
      <c r="F164" s="46" t="n"/>
      <c r="G164" s="46" t="n"/>
      <c r="H164" s="46" t="n"/>
      <c r="I164" s="47" t="n"/>
      <c r="J164" s="47" t="n"/>
      <c r="K164" s="47" t="n"/>
      <c r="L164" s="47" t="n"/>
      <c r="M164" s="46" t="n"/>
      <c r="N164" s="46" t="n"/>
      <c r="O164" s="46" t="n"/>
      <c r="P164" s="48">
        <f>IF(G164="","",IF(OR(G164="P1",G164="P2"),"Ya","Tidak"))</f>
        <v/>
      </c>
      <c r="Q164" s="46" t="n"/>
      <c r="R164" s="46" t="n"/>
      <c r="S164" s="48">
        <f>IF(OR(I164="",J164=""),"",ROUND((J164-I164)*1440,0))</f>
        <v/>
      </c>
      <c r="T164" s="48">
        <f>IF(OR(I164="",K164=""),"",ROUND((K164-I164)*24,1))</f>
        <v/>
      </c>
      <c r="U164" s="48">
        <f>IF(S164="","",IF(S164&lt;=INDEX('Target Severity'!$B$5:$B$8,MATCH(G164,'Target Severity'!$A$5:$A$8,0)),"Ya","Tidak"))</f>
        <v/>
      </c>
      <c r="V164" s="48">
        <f>IF(T164="","",IF(T164&lt;=INDEX('Target Severity'!$D$5:$D$8,MATCH(G164,'Target Severity'!$A$5:$A$8,0)),"Ya","Tidak"))</f>
        <v/>
      </c>
      <c r="W164" s="46" t="n"/>
    </row>
    <row r="165" ht="15" customHeight="1" s="28">
      <c r="A165" s="46" t="n"/>
      <c r="B165" s="46" t="n"/>
      <c r="C165" s="46" t="n"/>
      <c r="D165" s="46" t="n"/>
      <c r="E165" s="46" t="n"/>
      <c r="F165" s="46" t="n"/>
      <c r="G165" s="46" t="n"/>
      <c r="H165" s="46" t="n"/>
      <c r="I165" s="47" t="n"/>
      <c r="J165" s="47" t="n"/>
      <c r="K165" s="47" t="n"/>
      <c r="L165" s="47" t="n"/>
      <c r="M165" s="46" t="n"/>
      <c r="N165" s="46" t="n"/>
      <c r="O165" s="46" t="n"/>
      <c r="P165" s="48">
        <f>IF(G165="","",IF(OR(G165="P1",G165="P2"),"Ya","Tidak"))</f>
        <v/>
      </c>
      <c r="Q165" s="46" t="n"/>
      <c r="R165" s="46" t="n"/>
      <c r="S165" s="48">
        <f>IF(OR(I165="",J165=""),"",ROUND((J165-I165)*1440,0))</f>
        <v/>
      </c>
      <c r="T165" s="48">
        <f>IF(OR(I165="",K165=""),"",ROUND((K165-I165)*24,1))</f>
        <v/>
      </c>
      <c r="U165" s="48">
        <f>IF(S165="","",IF(S165&lt;=INDEX('Target Severity'!$B$5:$B$8,MATCH(G165,'Target Severity'!$A$5:$A$8,0)),"Ya","Tidak"))</f>
        <v/>
      </c>
      <c r="V165" s="48">
        <f>IF(T165="","",IF(T165&lt;=INDEX('Target Severity'!$D$5:$D$8,MATCH(G165,'Target Severity'!$A$5:$A$8,0)),"Ya","Tidak"))</f>
        <v/>
      </c>
      <c r="W165" s="46" t="n"/>
    </row>
    <row r="166" ht="15" customHeight="1" s="28">
      <c r="A166" s="46" t="n"/>
      <c r="B166" s="46" t="n"/>
      <c r="C166" s="46" t="n"/>
      <c r="D166" s="46" t="n"/>
      <c r="E166" s="46" t="n"/>
      <c r="F166" s="46" t="n"/>
      <c r="G166" s="46" t="n"/>
      <c r="H166" s="46" t="n"/>
      <c r="I166" s="47" t="n"/>
      <c r="J166" s="47" t="n"/>
      <c r="K166" s="47" t="n"/>
      <c r="L166" s="47" t="n"/>
      <c r="M166" s="46" t="n"/>
      <c r="N166" s="46" t="n"/>
      <c r="O166" s="46" t="n"/>
      <c r="P166" s="48">
        <f>IF(G166="","",IF(OR(G166="P1",G166="P2"),"Ya","Tidak"))</f>
        <v/>
      </c>
      <c r="Q166" s="46" t="n"/>
      <c r="R166" s="46" t="n"/>
      <c r="S166" s="48">
        <f>IF(OR(I166="",J166=""),"",ROUND((J166-I166)*1440,0))</f>
        <v/>
      </c>
      <c r="T166" s="48">
        <f>IF(OR(I166="",K166=""),"",ROUND((K166-I166)*24,1))</f>
        <v/>
      </c>
      <c r="U166" s="48">
        <f>IF(S166="","",IF(S166&lt;=INDEX('Target Severity'!$B$5:$B$8,MATCH(G166,'Target Severity'!$A$5:$A$8,0)),"Ya","Tidak"))</f>
        <v/>
      </c>
      <c r="V166" s="48">
        <f>IF(T166="","",IF(T166&lt;=INDEX('Target Severity'!$D$5:$D$8,MATCH(G166,'Target Severity'!$A$5:$A$8,0)),"Ya","Tidak"))</f>
        <v/>
      </c>
      <c r="W166" s="46" t="n"/>
    </row>
    <row r="167" ht="15" customHeight="1" s="28">
      <c r="A167" s="46" t="n"/>
      <c r="B167" s="46" t="n"/>
      <c r="C167" s="46" t="n"/>
      <c r="D167" s="46" t="n"/>
      <c r="E167" s="46" t="n"/>
      <c r="F167" s="46" t="n"/>
      <c r="G167" s="46" t="n"/>
      <c r="H167" s="46" t="n"/>
      <c r="I167" s="47" t="n"/>
      <c r="J167" s="47" t="n"/>
      <c r="K167" s="47" t="n"/>
      <c r="L167" s="47" t="n"/>
      <c r="M167" s="46" t="n"/>
      <c r="N167" s="46" t="n"/>
      <c r="O167" s="46" t="n"/>
      <c r="P167" s="48">
        <f>IF(G167="","",IF(OR(G167="P1",G167="P2"),"Ya","Tidak"))</f>
        <v/>
      </c>
      <c r="Q167" s="46" t="n"/>
      <c r="R167" s="46" t="n"/>
      <c r="S167" s="48">
        <f>IF(OR(I167="",J167=""),"",ROUND((J167-I167)*1440,0))</f>
        <v/>
      </c>
      <c r="T167" s="48">
        <f>IF(OR(I167="",K167=""),"",ROUND((K167-I167)*24,1))</f>
        <v/>
      </c>
      <c r="U167" s="48">
        <f>IF(S167="","",IF(S167&lt;=INDEX('Target Severity'!$B$5:$B$8,MATCH(G167,'Target Severity'!$A$5:$A$8,0)),"Ya","Tidak"))</f>
        <v/>
      </c>
      <c r="V167" s="48">
        <f>IF(T167="","",IF(T167&lt;=INDEX('Target Severity'!$D$5:$D$8,MATCH(G167,'Target Severity'!$A$5:$A$8,0)),"Ya","Tidak"))</f>
        <v/>
      </c>
      <c r="W167" s="46" t="n"/>
    </row>
    <row r="168" ht="15" customHeight="1" s="28">
      <c r="A168" s="46" t="n"/>
      <c r="B168" s="46" t="n"/>
      <c r="C168" s="46" t="n"/>
      <c r="D168" s="46" t="n"/>
      <c r="E168" s="46" t="n"/>
      <c r="F168" s="46" t="n"/>
      <c r="G168" s="46" t="n"/>
      <c r="H168" s="46" t="n"/>
      <c r="I168" s="47" t="n"/>
      <c r="J168" s="47" t="n"/>
      <c r="K168" s="47" t="n"/>
      <c r="L168" s="47" t="n"/>
      <c r="M168" s="46" t="n"/>
      <c r="N168" s="46" t="n"/>
      <c r="O168" s="46" t="n"/>
      <c r="P168" s="48">
        <f>IF(G168="","",IF(OR(G168="P1",G168="P2"),"Ya","Tidak"))</f>
        <v/>
      </c>
      <c r="Q168" s="46" t="n"/>
      <c r="R168" s="46" t="n"/>
      <c r="S168" s="48">
        <f>IF(OR(I168="",J168=""),"",ROUND((J168-I168)*1440,0))</f>
        <v/>
      </c>
      <c r="T168" s="48">
        <f>IF(OR(I168="",K168=""),"",ROUND((K168-I168)*24,1))</f>
        <v/>
      </c>
      <c r="U168" s="48">
        <f>IF(S168="","",IF(S168&lt;=INDEX('Target Severity'!$B$5:$B$8,MATCH(G168,'Target Severity'!$A$5:$A$8,0)),"Ya","Tidak"))</f>
        <v/>
      </c>
      <c r="V168" s="48">
        <f>IF(T168="","",IF(T168&lt;=INDEX('Target Severity'!$D$5:$D$8,MATCH(G168,'Target Severity'!$A$5:$A$8,0)),"Ya","Tidak"))</f>
        <v/>
      </c>
      <c r="W168" s="46" t="n"/>
    </row>
    <row r="169" ht="15" customHeight="1" s="28">
      <c r="A169" s="46" t="n"/>
      <c r="B169" s="46" t="n"/>
      <c r="C169" s="46" t="n"/>
      <c r="D169" s="46" t="n"/>
      <c r="E169" s="46" t="n"/>
      <c r="F169" s="46" t="n"/>
      <c r="G169" s="46" t="n"/>
      <c r="H169" s="46" t="n"/>
      <c r="I169" s="47" t="n"/>
      <c r="J169" s="47" t="n"/>
      <c r="K169" s="47" t="n"/>
      <c r="L169" s="47" t="n"/>
      <c r="M169" s="46" t="n"/>
      <c r="N169" s="46" t="n"/>
      <c r="O169" s="46" t="n"/>
      <c r="P169" s="48">
        <f>IF(G169="","",IF(OR(G169="P1",G169="P2"),"Ya","Tidak"))</f>
        <v/>
      </c>
      <c r="Q169" s="46" t="n"/>
      <c r="R169" s="46" t="n"/>
      <c r="S169" s="48">
        <f>IF(OR(I169="",J169=""),"",ROUND((J169-I169)*1440,0))</f>
        <v/>
      </c>
      <c r="T169" s="48">
        <f>IF(OR(I169="",K169=""),"",ROUND((K169-I169)*24,1))</f>
        <v/>
      </c>
      <c r="U169" s="48">
        <f>IF(S169="","",IF(S169&lt;=INDEX('Target Severity'!$B$5:$B$8,MATCH(G169,'Target Severity'!$A$5:$A$8,0)),"Ya","Tidak"))</f>
        <v/>
      </c>
      <c r="V169" s="48">
        <f>IF(T169="","",IF(T169&lt;=INDEX('Target Severity'!$D$5:$D$8,MATCH(G169,'Target Severity'!$A$5:$A$8,0)),"Ya","Tidak"))</f>
        <v/>
      </c>
      <c r="W169" s="46" t="n"/>
    </row>
    <row r="170" ht="15" customHeight="1" s="28">
      <c r="A170" s="46" t="n"/>
      <c r="B170" s="46" t="n"/>
      <c r="C170" s="46" t="n"/>
      <c r="D170" s="46" t="n"/>
      <c r="E170" s="46" t="n"/>
      <c r="F170" s="46" t="n"/>
      <c r="G170" s="46" t="n"/>
      <c r="H170" s="46" t="n"/>
      <c r="I170" s="47" t="n"/>
      <c r="J170" s="47" t="n"/>
      <c r="K170" s="47" t="n"/>
      <c r="L170" s="47" t="n"/>
      <c r="M170" s="46" t="n"/>
      <c r="N170" s="46" t="n"/>
      <c r="O170" s="46" t="n"/>
      <c r="P170" s="48">
        <f>IF(G170="","",IF(OR(G170="P1",G170="P2"),"Ya","Tidak"))</f>
        <v/>
      </c>
      <c r="Q170" s="46" t="n"/>
      <c r="R170" s="46" t="n"/>
      <c r="S170" s="48">
        <f>IF(OR(I170="",J170=""),"",ROUND((J170-I170)*1440,0))</f>
        <v/>
      </c>
      <c r="T170" s="48">
        <f>IF(OR(I170="",K170=""),"",ROUND((K170-I170)*24,1))</f>
        <v/>
      </c>
      <c r="U170" s="48">
        <f>IF(S170="","",IF(S170&lt;=INDEX('Target Severity'!$B$5:$B$8,MATCH(G170,'Target Severity'!$A$5:$A$8,0)),"Ya","Tidak"))</f>
        <v/>
      </c>
      <c r="V170" s="48">
        <f>IF(T170="","",IF(T170&lt;=INDEX('Target Severity'!$D$5:$D$8,MATCH(G170,'Target Severity'!$A$5:$A$8,0)),"Ya","Tidak"))</f>
        <v/>
      </c>
      <c r="W170" s="46" t="n"/>
    </row>
    <row r="171" ht="15" customHeight="1" s="28">
      <c r="A171" s="46" t="n"/>
      <c r="B171" s="46" t="n"/>
      <c r="C171" s="46" t="n"/>
      <c r="D171" s="46" t="n"/>
      <c r="E171" s="46" t="n"/>
      <c r="F171" s="46" t="n"/>
      <c r="G171" s="46" t="n"/>
      <c r="H171" s="46" t="n"/>
      <c r="I171" s="47" t="n"/>
      <c r="J171" s="47" t="n"/>
      <c r="K171" s="47" t="n"/>
      <c r="L171" s="47" t="n"/>
      <c r="M171" s="46" t="n"/>
      <c r="N171" s="46" t="n"/>
      <c r="O171" s="46" t="n"/>
      <c r="P171" s="48">
        <f>IF(G171="","",IF(OR(G171="P1",G171="P2"),"Ya","Tidak"))</f>
        <v/>
      </c>
      <c r="Q171" s="46" t="n"/>
      <c r="R171" s="46" t="n"/>
      <c r="S171" s="48">
        <f>IF(OR(I171="",J171=""),"",ROUND((J171-I171)*1440,0))</f>
        <v/>
      </c>
      <c r="T171" s="48">
        <f>IF(OR(I171="",K171=""),"",ROUND((K171-I171)*24,1))</f>
        <v/>
      </c>
      <c r="U171" s="48">
        <f>IF(S171="","",IF(S171&lt;=INDEX('Target Severity'!$B$5:$B$8,MATCH(G171,'Target Severity'!$A$5:$A$8,0)),"Ya","Tidak"))</f>
        <v/>
      </c>
      <c r="V171" s="48">
        <f>IF(T171="","",IF(T171&lt;=INDEX('Target Severity'!$D$5:$D$8,MATCH(G171,'Target Severity'!$A$5:$A$8,0)),"Ya","Tidak"))</f>
        <v/>
      </c>
      <c r="W171" s="46" t="n"/>
    </row>
    <row r="172" ht="15" customHeight="1" s="28">
      <c r="A172" s="46" t="n"/>
      <c r="B172" s="46" t="n"/>
      <c r="C172" s="46" t="n"/>
      <c r="D172" s="46" t="n"/>
      <c r="E172" s="46" t="n"/>
      <c r="F172" s="46" t="n"/>
      <c r="G172" s="46" t="n"/>
      <c r="H172" s="46" t="n"/>
      <c r="I172" s="47" t="n"/>
      <c r="J172" s="47" t="n"/>
      <c r="K172" s="47" t="n"/>
      <c r="L172" s="47" t="n"/>
      <c r="M172" s="46" t="n"/>
      <c r="N172" s="46" t="n"/>
      <c r="O172" s="46" t="n"/>
      <c r="P172" s="48">
        <f>IF(G172="","",IF(OR(G172="P1",G172="P2"),"Ya","Tidak"))</f>
        <v/>
      </c>
      <c r="Q172" s="46" t="n"/>
      <c r="R172" s="46" t="n"/>
      <c r="S172" s="48">
        <f>IF(OR(I172="",J172=""),"",ROUND((J172-I172)*1440,0))</f>
        <v/>
      </c>
      <c r="T172" s="48">
        <f>IF(OR(I172="",K172=""),"",ROUND((K172-I172)*24,1))</f>
        <v/>
      </c>
      <c r="U172" s="48">
        <f>IF(S172="","",IF(S172&lt;=INDEX('Target Severity'!$B$5:$B$8,MATCH(G172,'Target Severity'!$A$5:$A$8,0)),"Ya","Tidak"))</f>
        <v/>
      </c>
      <c r="V172" s="48">
        <f>IF(T172="","",IF(T172&lt;=INDEX('Target Severity'!$D$5:$D$8,MATCH(G172,'Target Severity'!$A$5:$A$8,0)),"Ya","Tidak"))</f>
        <v/>
      </c>
      <c r="W172" s="46" t="n"/>
    </row>
    <row r="173" ht="15" customHeight="1" s="28">
      <c r="A173" s="46" t="n"/>
      <c r="B173" s="46" t="n"/>
      <c r="C173" s="46" t="n"/>
      <c r="D173" s="46" t="n"/>
      <c r="E173" s="46" t="n"/>
      <c r="F173" s="46" t="n"/>
      <c r="G173" s="46" t="n"/>
      <c r="H173" s="46" t="n"/>
      <c r="I173" s="47" t="n"/>
      <c r="J173" s="47" t="n"/>
      <c r="K173" s="47" t="n"/>
      <c r="L173" s="47" t="n"/>
      <c r="M173" s="46" t="n"/>
      <c r="N173" s="46" t="n"/>
      <c r="O173" s="46" t="n"/>
      <c r="P173" s="48">
        <f>IF(G173="","",IF(OR(G173="P1",G173="P2"),"Ya","Tidak"))</f>
        <v/>
      </c>
      <c r="Q173" s="46" t="n"/>
      <c r="R173" s="46" t="n"/>
      <c r="S173" s="48">
        <f>IF(OR(I173="",J173=""),"",ROUND((J173-I173)*1440,0))</f>
        <v/>
      </c>
      <c r="T173" s="48">
        <f>IF(OR(I173="",K173=""),"",ROUND((K173-I173)*24,1))</f>
        <v/>
      </c>
      <c r="U173" s="48">
        <f>IF(S173="","",IF(S173&lt;=INDEX('Target Severity'!$B$5:$B$8,MATCH(G173,'Target Severity'!$A$5:$A$8,0)),"Ya","Tidak"))</f>
        <v/>
      </c>
      <c r="V173" s="48">
        <f>IF(T173="","",IF(T173&lt;=INDEX('Target Severity'!$D$5:$D$8,MATCH(G173,'Target Severity'!$A$5:$A$8,0)),"Ya","Tidak"))</f>
        <v/>
      </c>
      <c r="W173" s="46" t="n"/>
    </row>
    <row r="174" ht="15" customHeight="1" s="28">
      <c r="A174" s="46" t="n"/>
      <c r="B174" s="46" t="n"/>
      <c r="C174" s="46" t="n"/>
      <c r="D174" s="46" t="n"/>
      <c r="E174" s="46" t="n"/>
      <c r="F174" s="46" t="n"/>
      <c r="G174" s="46" t="n"/>
      <c r="H174" s="46" t="n"/>
      <c r="I174" s="47" t="n"/>
      <c r="J174" s="47" t="n"/>
      <c r="K174" s="47" t="n"/>
      <c r="L174" s="47" t="n"/>
      <c r="M174" s="46" t="n"/>
      <c r="N174" s="46" t="n"/>
      <c r="O174" s="46" t="n"/>
      <c r="P174" s="48">
        <f>IF(G174="","",IF(OR(G174="P1",G174="P2"),"Ya","Tidak"))</f>
        <v/>
      </c>
      <c r="Q174" s="46" t="n"/>
      <c r="R174" s="46" t="n"/>
      <c r="S174" s="48">
        <f>IF(OR(I174="",J174=""),"",ROUND((J174-I174)*1440,0))</f>
        <v/>
      </c>
      <c r="T174" s="48">
        <f>IF(OR(I174="",K174=""),"",ROUND((K174-I174)*24,1))</f>
        <v/>
      </c>
      <c r="U174" s="48">
        <f>IF(S174="","",IF(S174&lt;=INDEX('Target Severity'!$B$5:$B$8,MATCH(G174,'Target Severity'!$A$5:$A$8,0)),"Ya","Tidak"))</f>
        <v/>
      </c>
      <c r="V174" s="48">
        <f>IF(T174="","",IF(T174&lt;=INDEX('Target Severity'!$D$5:$D$8,MATCH(G174,'Target Severity'!$A$5:$A$8,0)),"Ya","Tidak"))</f>
        <v/>
      </c>
      <c r="W174" s="46" t="n"/>
    </row>
    <row r="175" ht="15" customHeight="1" s="28">
      <c r="A175" s="46" t="n"/>
      <c r="B175" s="46" t="n"/>
      <c r="C175" s="46" t="n"/>
      <c r="D175" s="46" t="n"/>
      <c r="E175" s="46" t="n"/>
      <c r="F175" s="46" t="n"/>
      <c r="G175" s="46" t="n"/>
      <c r="H175" s="46" t="n"/>
      <c r="I175" s="47" t="n"/>
      <c r="J175" s="47" t="n"/>
      <c r="K175" s="47" t="n"/>
      <c r="L175" s="47" t="n"/>
      <c r="M175" s="46" t="n"/>
      <c r="N175" s="46" t="n"/>
      <c r="O175" s="46" t="n"/>
      <c r="P175" s="48">
        <f>IF(G175="","",IF(OR(G175="P1",G175="P2"),"Ya","Tidak"))</f>
        <v/>
      </c>
      <c r="Q175" s="46" t="n"/>
      <c r="R175" s="46" t="n"/>
      <c r="S175" s="48">
        <f>IF(OR(I175="",J175=""),"",ROUND((J175-I175)*1440,0))</f>
        <v/>
      </c>
      <c r="T175" s="48">
        <f>IF(OR(I175="",K175=""),"",ROUND((K175-I175)*24,1))</f>
        <v/>
      </c>
      <c r="U175" s="48">
        <f>IF(S175="","",IF(S175&lt;=INDEX('Target Severity'!$B$5:$B$8,MATCH(G175,'Target Severity'!$A$5:$A$8,0)),"Ya","Tidak"))</f>
        <v/>
      </c>
      <c r="V175" s="48">
        <f>IF(T175="","",IF(T175&lt;=INDEX('Target Severity'!$D$5:$D$8,MATCH(G175,'Target Severity'!$A$5:$A$8,0)),"Ya","Tidak"))</f>
        <v/>
      </c>
      <c r="W175" s="46" t="n"/>
    </row>
    <row r="176" ht="15" customHeight="1" s="28">
      <c r="A176" s="46" t="n"/>
      <c r="B176" s="46" t="n"/>
      <c r="C176" s="46" t="n"/>
      <c r="D176" s="46" t="n"/>
      <c r="E176" s="46" t="n"/>
      <c r="F176" s="46" t="n"/>
      <c r="G176" s="46" t="n"/>
      <c r="H176" s="46" t="n"/>
      <c r="I176" s="47" t="n"/>
      <c r="J176" s="47" t="n"/>
      <c r="K176" s="47" t="n"/>
      <c r="L176" s="47" t="n"/>
      <c r="M176" s="46" t="n"/>
      <c r="N176" s="46" t="n"/>
      <c r="O176" s="46" t="n"/>
      <c r="P176" s="48">
        <f>IF(G176="","",IF(OR(G176="P1",G176="P2"),"Ya","Tidak"))</f>
        <v/>
      </c>
      <c r="Q176" s="46" t="n"/>
      <c r="R176" s="46" t="n"/>
      <c r="S176" s="48">
        <f>IF(OR(I176="",J176=""),"",ROUND((J176-I176)*1440,0))</f>
        <v/>
      </c>
      <c r="T176" s="48">
        <f>IF(OR(I176="",K176=""),"",ROUND((K176-I176)*24,1))</f>
        <v/>
      </c>
      <c r="U176" s="48">
        <f>IF(S176="","",IF(S176&lt;=INDEX('Target Severity'!$B$5:$B$8,MATCH(G176,'Target Severity'!$A$5:$A$8,0)),"Ya","Tidak"))</f>
        <v/>
      </c>
      <c r="V176" s="48">
        <f>IF(T176="","",IF(T176&lt;=INDEX('Target Severity'!$D$5:$D$8,MATCH(G176,'Target Severity'!$A$5:$A$8,0)),"Ya","Tidak"))</f>
        <v/>
      </c>
      <c r="W176" s="46" t="n"/>
    </row>
    <row r="177" ht="15" customHeight="1" s="28">
      <c r="A177" s="46" t="n"/>
      <c r="B177" s="46" t="n"/>
      <c r="C177" s="46" t="n"/>
      <c r="D177" s="46" t="n"/>
      <c r="E177" s="46" t="n"/>
      <c r="F177" s="46" t="n"/>
      <c r="G177" s="46" t="n"/>
      <c r="H177" s="46" t="n"/>
      <c r="I177" s="47" t="n"/>
      <c r="J177" s="47" t="n"/>
      <c r="K177" s="47" t="n"/>
      <c r="L177" s="47" t="n"/>
      <c r="M177" s="46" t="n"/>
      <c r="N177" s="46" t="n"/>
      <c r="O177" s="46" t="n"/>
      <c r="P177" s="48">
        <f>IF(G177="","",IF(OR(G177="P1",G177="P2"),"Ya","Tidak"))</f>
        <v/>
      </c>
      <c r="Q177" s="46" t="n"/>
      <c r="R177" s="46" t="n"/>
      <c r="S177" s="48">
        <f>IF(OR(I177="",J177=""),"",ROUND((J177-I177)*1440,0))</f>
        <v/>
      </c>
      <c r="T177" s="48">
        <f>IF(OR(I177="",K177=""),"",ROUND((K177-I177)*24,1))</f>
        <v/>
      </c>
      <c r="U177" s="48">
        <f>IF(S177="","",IF(S177&lt;=INDEX('Target Severity'!$B$5:$B$8,MATCH(G177,'Target Severity'!$A$5:$A$8,0)),"Ya","Tidak"))</f>
        <v/>
      </c>
      <c r="V177" s="48">
        <f>IF(T177="","",IF(T177&lt;=INDEX('Target Severity'!$D$5:$D$8,MATCH(G177,'Target Severity'!$A$5:$A$8,0)),"Ya","Tidak"))</f>
        <v/>
      </c>
      <c r="W177" s="46" t="n"/>
    </row>
    <row r="178" ht="15" customHeight="1" s="28">
      <c r="A178" s="46" t="n"/>
      <c r="B178" s="46" t="n"/>
      <c r="C178" s="46" t="n"/>
      <c r="D178" s="46" t="n"/>
      <c r="E178" s="46" t="n"/>
      <c r="F178" s="46" t="n"/>
      <c r="G178" s="46" t="n"/>
      <c r="H178" s="46" t="n"/>
      <c r="I178" s="47" t="n"/>
      <c r="J178" s="47" t="n"/>
      <c r="K178" s="47" t="n"/>
      <c r="L178" s="47" t="n"/>
      <c r="M178" s="46" t="n"/>
      <c r="N178" s="46" t="n"/>
      <c r="O178" s="46" t="n"/>
      <c r="P178" s="48">
        <f>IF(G178="","",IF(OR(G178="P1",G178="P2"),"Ya","Tidak"))</f>
        <v/>
      </c>
      <c r="Q178" s="46" t="n"/>
      <c r="R178" s="46" t="n"/>
      <c r="S178" s="48">
        <f>IF(OR(I178="",J178=""),"",ROUND((J178-I178)*1440,0))</f>
        <v/>
      </c>
      <c r="T178" s="48">
        <f>IF(OR(I178="",K178=""),"",ROUND((K178-I178)*24,1))</f>
        <v/>
      </c>
      <c r="U178" s="48">
        <f>IF(S178="","",IF(S178&lt;=INDEX('Target Severity'!$B$5:$B$8,MATCH(G178,'Target Severity'!$A$5:$A$8,0)),"Ya","Tidak"))</f>
        <v/>
      </c>
      <c r="V178" s="48">
        <f>IF(T178="","",IF(T178&lt;=INDEX('Target Severity'!$D$5:$D$8,MATCH(G178,'Target Severity'!$A$5:$A$8,0)),"Ya","Tidak"))</f>
        <v/>
      </c>
      <c r="W178" s="46" t="n"/>
    </row>
    <row r="179" ht="15" customHeight="1" s="28">
      <c r="A179" s="46" t="n"/>
      <c r="B179" s="46" t="n"/>
      <c r="C179" s="46" t="n"/>
      <c r="D179" s="46" t="n"/>
      <c r="E179" s="46" t="n"/>
      <c r="F179" s="46" t="n"/>
      <c r="G179" s="46" t="n"/>
      <c r="H179" s="46" t="n"/>
      <c r="I179" s="47" t="n"/>
      <c r="J179" s="47" t="n"/>
      <c r="K179" s="47" t="n"/>
      <c r="L179" s="47" t="n"/>
      <c r="M179" s="46" t="n"/>
      <c r="N179" s="46" t="n"/>
      <c r="O179" s="46" t="n"/>
      <c r="P179" s="48">
        <f>IF(G179="","",IF(OR(G179="P1",G179="P2"),"Ya","Tidak"))</f>
        <v/>
      </c>
      <c r="Q179" s="46" t="n"/>
      <c r="R179" s="46" t="n"/>
      <c r="S179" s="48">
        <f>IF(OR(I179="",J179=""),"",ROUND((J179-I179)*1440,0))</f>
        <v/>
      </c>
      <c r="T179" s="48">
        <f>IF(OR(I179="",K179=""),"",ROUND((K179-I179)*24,1))</f>
        <v/>
      </c>
      <c r="U179" s="48">
        <f>IF(S179="","",IF(S179&lt;=INDEX('Target Severity'!$B$5:$B$8,MATCH(G179,'Target Severity'!$A$5:$A$8,0)),"Ya","Tidak"))</f>
        <v/>
      </c>
      <c r="V179" s="48">
        <f>IF(T179="","",IF(T179&lt;=INDEX('Target Severity'!$D$5:$D$8,MATCH(G179,'Target Severity'!$A$5:$A$8,0)),"Ya","Tidak"))</f>
        <v/>
      </c>
      <c r="W179" s="46" t="n"/>
    </row>
    <row r="180" ht="15" customHeight="1" s="28">
      <c r="A180" s="46" t="n"/>
      <c r="B180" s="46" t="n"/>
      <c r="C180" s="46" t="n"/>
      <c r="D180" s="46" t="n"/>
      <c r="E180" s="46" t="n"/>
      <c r="F180" s="46" t="n"/>
      <c r="G180" s="46" t="n"/>
      <c r="H180" s="46" t="n"/>
      <c r="I180" s="47" t="n"/>
      <c r="J180" s="47" t="n"/>
      <c r="K180" s="47" t="n"/>
      <c r="L180" s="47" t="n"/>
      <c r="M180" s="46" t="n"/>
      <c r="N180" s="46" t="n"/>
      <c r="O180" s="46" t="n"/>
      <c r="P180" s="48">
        <f>IF(G180="","",IF(OR(G180="P1",G180="P2"),"Ya","Tidak"))</f>
        <v/>
      </c>
      <c r="Q180" s="46" t="n"/>
      <c r="R180" s="46" t="n"/>
      <c r="S180" s="48">
        <f>IF(OR(I180="",J180=""),"",ROUND((J180-I180)*1440,0))</f>
        <v/>
      </c>
      <c r="T180" s="48">
        <f>IF(OR(I180="",K180=""),"",ROUND((K180-I180)*24,1))</f>
        <v/>
      </c>
      <c r="U180" s="48">
        <f>IF(S180="","",IF(S180&lt;=INDEX('Target Severity'!$B$5:$B$8,MATCH(G180,'Target Severity'!$A$5:$A$8,0)),"Ya","Tidak"))</f>
        <v/>
      </c>
      <c r="V180" s="48">
        <f>IF(T180="","",IF(T180&lt;=INDEX('Target Severity'!$D$5:$D$8,MATCH(G180,'Target Severity'!$A$5:$A$8,0)),"Ya","Tidak"))</f>
        <v/>
      </c>
      <c r="W180" s="46" t="n"/>
    </row>
    <row r="181" ht="15" customHeight="1" s="28">
      <c r="A181" s="46" t="n"/>
      <c r="B181" s="46" t="n"/>
      <c r="C181" s="46" t="n"/>
      <c r="D181" s="46" t="n"/>
      <c r="E181" s="46" t="n"/>
      <c r="F181" s="46" t="n"/>
      <c r="G181" s="46" t="n"/>
      <c r="H181" s="46" t="n"/>
      <c r="I181" s="47" t="n"/>
      <c r="J181" s="47" t="n"/>
      <c r="K181" s="47" t="n"/>
      <c r="L181" s="47" t="n"/>
      <c r="M181" s="46" t="n"/>
      <c r="N181" s="46" t="n"/>
      <c r="O181" s="46" t="n"/>
      <c r="P181" s="48">
        <f>IF(G181="","",IF(OR(G181="P1",G181="P2"),"Ya","Tidak"))</f>
        <v/>
      </c>
      <c r="Q181" s="46" t="n"/>
      <c r="R181" s="46" t="n"/>
      <c r="S181" s="48">
        <f>IF(OR(I181="",J181=""),"",ROUND((J181-I181)*1440,0))</f>
        <v/>
      </c>
      <c r="T181" s="48">
        <f>IF(OR(I181="",K181=""),"",ROUND((K181-I181)*24,1))</f>
        <v/>
      </c>
      <c r="U181" s="48">
        <f>IF(S181="","",IF(S181&lt;=INDEX('Target Severity'!$B$5:$B$8,MATCH(G181,'Target Severity'!$A$5:$A$8,0)),"Ya","Tidak"))</f>
        <v/>
      </c>
      <c r="V181" s="48">
        <f>IF(T181="","",IF(T181&lt;=INDEX('Target Severity'!$D$5:$D$8,MATCH(G181,'Target Severity'!$A$5:$A$8,0)),"Ya","Tidak"))</f>
        <v/>
      </c>
      <c r="W181" s="46" t="n"/>
    </row>
    <row r="182" ht="15" customHeight="1" s="28">
      <c r="A182" s="46" t="n"/>
      <c r="B182" s="46" t="n"/>
      <c r="C182" s="46" t="n"/>
      <c r="D182" s="46" t="n"/>
      <c r="E182" s="46" t="n"/>
      <c r="F182" s="46" t="n"/>
      <c r="G182" s="46" t="n"/>
      <c r="H182" s="46" t="n"/>
      <c r="I182" s="47" t="n"/>
      <c r="J182" s="47" t="n"/>
      <c r="K182" s="47" t="n"/>
      <c r="L182" s="47" t="n"/>
      <c r="M182" s="46" t="n"/>
      <c r="N182" s="46" t="n"/>
      <c r="O182" s="46" t="n"/>
      <c r="P182" s="48">
        <f>IF(G182="","",IF(OR(G182="P1",G182="P2"),"Ya","Tidak"))</f>
        <v/>
      </c>
      <c r="Q182" s="46" t="n"/>
      <c r="R182" s="46" t="n"/>
      <c r="S182" s="48">
        <f>IF(OR(I182="",J182=""),"",ROUND((J182-I182)*1440,0))</f>
        <v/>
      </c>
      <c r="T182" s="48">
        <f>IF(OR(I182="",K182=""),"",ROUND((K182-I182)*24,1))</f>
        <v/>
      </c>
      <c r="U182" s="48">
        <f>IF(S182="","",IF(S182&lt;=INDEX('Target Severity'!$B$5:$B$8,MATCH(G182,'Target Severity'!$A$5:$A$8,0)),"Ya","Tidak"))</f>
        <v/>
      </c>
      <c r="V182" s="48">
        <f>IF(T182="","",IF(T182&lt;=INDEX('Target Severity'!$D$5:$D$8,MATCH(G182,'Target Severity'!$A$5:$A$8,0)),"Ya","Tidak"))</f>
        <v/>
      </c>
      <c r="W182" s="46" t="n"/>
    </row>
    <row r="183" ht="15" customHeight="1" s="28">
      <c r="A183" s="46" t="n"/>
      <c r="B183" s="46" t="n"/>
      <c r="C183" s="46" t="n"/>
      <c r="D183" s="46" t="n"/>
      <c r="E183" s="46" t="n"/>
      <c r="F183" s="46" t="n"/>
      <c r="G183" s="46" t="n"/>
      <c r="H183" s="46" t="n"/>
      <c r="I183" s="47" t="n"/>
      <c r="J183" s="47" t="n"/>
      <c r="K183" s="47" t="n"/>
      <c r="L183" s="47" t="n"/>
      <c r="M183" s="46" t="n"/>
      <c r="N183" s="46" t="n"/>
      <c r="O183" s="46" t="n"/>
      <c r="P183" s="48">
        <f>IF(G183="","",IF(OR(G183="P1",G183="P2"),"Ya","Tidak"))</f>
        <v/>
      </c>
      <c r="Q183" s="46" t="n"/>
      <c r="R183" s="46" t="n"/>
      <c r="S183" s="48">
        <f>IF(OR(I183="",J183=""),"",ROUND((J183-I183)*1440,0))</f>
        <v/>
      </c>
      <c r="T183" s="48">
        <f>IF(OR(I183="",K183=""),"",ROUND((K183-I183)*24,1))</f>
        <v/>
      </c>
      <c r="U183" s="48">
        <f>IF(S183="","",IF(S183&lt;=INDEX('Target Severity'!$B$5:$B$8,MATCH(G183,'Target Severity'!$A$5:$A$8,0)),"Ya","Tidak"))</f>
        <v/>
      </c>
      <c r="V183" s="48">
        <f>IF(T183="","",IF(T183&lt;=INDEX('Target Severity'!$D$5:$D$8,MATCH(G183,'Target Severity'!$A$5:$A$8,0)),"Ya","Tidak"))</f>
        <v/>
      </c>
      <c r="W183" s="46" t="n"/>
    </row>
    <row r="184" ht="15" customHeight="1" s="28">
      <c r="A184" s="46" t="n"/>
      <c r="B184" s="46" t="n"/>
      <c r="C184" s="46" t="n"/>
      <c r="D184" s="46" t="n"/>
      <c r="E184" s="46" t="n"/>
      <c r="F184" s="46" t="n"/>
      <c r="G184" s="46" t="n"/>
      <c r="H184" s="46" t="n"/>
      <c r="I184" s="47" t="n"/>
      <c r="J184" s="47" t="n"/>
      <c r="K184" s="47" t="n"/>
      <c r="L184" s="47" t="n"/>
      <c r="M184" s="46" t="n"/>
      <c r="N184" s="46" t="n"/>
      <c r="O184" s="46" t="n"/>
      <c r="P184" s="48">
        <f>IF(G184="","",IF(OR(G184="P1",G184="P2"),"Ya","Tidak"))</f>
        <v/>
      </c>
      <c r="Q184" s="46" t="n"/>
      <c r="R184" s="46" t="n"/>
      <c r="S184" s="48">
        <f>IF(OR(I184="",J184=""),"",ROUND((J184-I184)*1440,0))</f>
        <v/>
      </c>
      <c r="T184" s="48">
        <f>IF(OR(I184="",K184=""),"",ROUND((K184-I184)*24,1))</f>
        <v/>
      </c>
      <c r="U184" s="48">
        <f>IF(S184="","",IF(S184&lt;=INDEX('Target Severity'!$B$5:$B$8,MATCH(G184,'Target Severity'!$A$5:$A$8,0)),"Ya","Tidak"))</f>
        <v/>
      </c>
      <c r="V184" s="48">
        <f>IF(T184="","",IF(T184&lt;=INDEX('Target Severity'!$D$5:$D$8,MATCH(G184,'Target Severity'!$A$5:$A$8,0)),"Ya","Tidak"))</f>
        <v/>
      </c>
      <c r="W184" s="46" t="n"/>
    </row>
    <row r="185" ht="15" customHeight="1" s="28">
      <c r="A185" s="46" t="n"/>
      <c r="B185" s="46" t="n"/>
      <c r="C185" s="46" t="n"/>
      <c r="D185" s="46" t="n"/>
      <c r="E185" s="46" t="n"/>
      <c r="F185" s="46" t="n"/>
      <c r="G185" s="46" t="n"/>
      <c r="H185" s="46" t="n"/>
      <c r="I185" s="47" t="n"/>
      <c r="J185" s="47" t="n"/>
      <c r="K185" s="47" t="n"/>
      <c r="L185" s="47" t="n"/>
      <c r="M185" s="46" t="n"/>
      <c r="N185" s="46" t="n"/>
      <c r="O185" s="46" t="n"/>
      <c r="P185" s="48">
        <f>IF(G185="","",IF(OR(G185="P1",G185="P2"),"Ya","Tidak"))</f>
        <v/>
      </c>
      <c r="Q185" s="46" t="n"/>
      <c r="R185" s="46" t="n"/>
      <c r="S185" s="48">
        <f>IF(OR(I185="",J185=""),"",ROUND((J185-I185)*1440,0))</f>
        <v/>
      </c>
      <c r="T185" s="48">
        <f>IF(OR(I185="",K185=""),"",ROUND((K185-I185)*24,1))</f>
        <v/>
      </c>
      <c r="U185" s="48">
        <f>IF(S185="","",IF(S185&lt;=INDEX('Target Severity'!$B$5:$B$8,MATCH(G185,'Target Severity'!$A$5:$A$8,0)),"Ya","Tidak"))</f>
        <v/>
      </c>
      <c r="V185" s="48">
        <f>IF(T185="","",IF(T185&lt;=INDEX('Target Severity'!$D$5:$D$8,MATCH(G185,'Target Severity'!$A$5:$A$8,0)),"Ya","Tidak"))</f>
        <v/>
      </c>
      <c r="W185" s="46" t="n"/>
    </row>
    <row r="186" ht="15" customHeight="1" s="28">
      <c r="A186" s="46" t="n"/>
      <c r="B186" s="46" t="n"/>
      <c r="C186" s="46" t="n"/>
      <c r="D186" s="46" t="n"/>
      <c r="E186" s="46" t="n"/>
      <c r="F186" s="46" t="n"/>
      <c r="G186" s="46" t="n"/>
      <c r="H186" s="46" t="n"/>
      <c r="I186" s="47" t="n"/>
      <c r="J186" s="47" t="n"/>
      <c r="K186" s="47" t="n"/>
      <c r="L186" s="47" t="n"/>
      <c r="M186" s="46" t="n"/>
      <c r="N186" s="46" t="n"/>
      <c r="O186" s="46" t="n"/>
      <c r="P186" s="48">
        <f>IF(G186="","",IF(OR(G186="P1",G186="P2"),"Ya","Tidak"))</f>
        <v/>
      </c>
      <c r="Q186" s="46" t="n"/>
      <c r="R186" s="46" t="n"/>
      <c r="S186" s="48">
        <f>IF(OR(I186="",J186=""),"",ROUND((J186-I186)*1440,0))</f>
        <v/>
      </c>
      <c r="T186" s="48">
        <f>IF(OR(I186="",K186=""),"",ROUND((K186-I186)*24,1))</f>
        <v/>
      </c>
      <c r="U186" s="48">
        <f>IF(S186="","",IF(S186&lt;=INDEX('Target Severity'!$B$5:$B$8,MATCH(G186,'Target Severity'!$A$5:$A$8,0)),"Ya","Tidak"))</f>
        <v/>
      </c>
      <c r="V186" s="48">
        <f>IF(T186="","",IF(T186&lt;=INDEX('Target Severity'!$D$5:$D$8,MATCH(G186,'Target Severity'!$A$5:$A$8,0)),"Ya","Tidak"))</f>
        <v/>
      </c>
      <c r="W186" s="46" t="n"/>
    </row>
    <row r="187" ht="15" customHeight="1" s="28">
      <c r="A187" s="46" t="n"/>
      <c r="B187" s="46" t="n"/>
      <c r="C187" s="46" t="n"/>
      <c r="D187" s="46" t="n"/>
      <c r="E187" s="46" t="n"/>
      <c r="F187" s="46" t="n"/>
      <c r="G187" s="46" t="n"/>
      <c r="H187" s="46" t="n"/>
      <c r="I187" s="47" t="n"/>
      <c r="J187" s="47" t="n"/>
      <c r="K187" s="47" t="n"/>
      <c r="L187" s="47" t="n"/>
      <c r="M187" s="46" t="n"/>
      <c r="N187" s="46" t="n"/>
      <c r="O187" s="46" t="n"/>
      <c r="P187" s="48">
        <f>IF(G187="","",IF(OR(G187="P1",G187="P2"),"Ya","Tidak"))</f>
        <v/>
      </c>
      <c r="Q187" s="46" t="n"/>
      <c r="R187" s="46" t="n"/>
      <c r="S187" s="48">
        <f>IF(OR(I187="",J187=""),"",ROUND((J187-I187)*1440,0))</f>
        <v/>
      </c>
      <c r="T187" s="48">
        <f>IF(OR(I187="",K187=""),"",ROUND((K187-I187)*24,1))</f>
        <v/>
      </c>
      <c r="U187" s="48">
        <f>IF(S187="","",IF(S187&lt;=INDEX('Target Severity'!$B$5:$B$8,MATCH(G187,'Target Severity'!$A$5:$A$8,0)),"Ya","Tidak"))</f>
        <v/>
      </c>
      <c r="V187" s="48">
        <f>IF(T187="","",IF(T187&lt;=INDEX('Target Severity'!$D$5:$D$8,MATCH(G187,'Target Severity'!$A$5:$A$8,0)),"Ya","Tidak"))</f>
        <v/>
      </c>
      <c r="W187" s="46" t="n"/>
    </row>
    <row r="188" ht="15" customHeight="1" s="28">
      <c r="A188" s="46" t="n"/>
      <c r="B188" s="46" t="n"/>
      <c r="C188" s="46" t="n"/>
      <c r="D188" s="46" t="n"/>
      <c r="E188" s="46" t="n"/>
      <c r="F188" s="46" t="n"/>
      <c r="G188" s="46" t="n"/>
      <c r="H188" s="46" t="n"/>
      <c r="I188" s="47" t="n"/>
      <c r="J188" s="47" t="n"/>
      <c r="K188" s="47" t="n"/>
      <c r="L188" s="47" t="n"/>
      <c r="M188" s="46" t="n"/>
      <c r="N188" s="46" t="n"/>
      <c r="O188" s="46" t="n"/>
      <c r="P188" s="48">
        <f>IF(G188="","",IF(OR(G188="P1",G188="P2"),"Ya","Tidak"))</f>
        <v/>
      </c>
      <c r="Q188" s="46" t="n"/>
      <c r="R188" s="46" t="n"/>
      <c r="S188" s="48">
        <f>IF(OR(I188="",J188=""),"",ROUND((J188-I188)*1440,0))</f>
        <v/>
      </c>
      <c r="T188" s="48">
        <f>IF(OR(I188="",K188=""),"",ROUND((K188-I188)*24,1))</f>
        <v/>
      </c>
      <c r="U188" s="48">
        <f>IF(S188="","",IF(S188&lt;=INDEX('Target Severity'!$B$5:$B$8,MATCH(G188,'Target Severity'!$A$5:$A$8,0)),"Ya","Tidak"))</f>
        <v/>
      </c>
      <c r="V188" s="48">
        <f>IF(T188="","",IF(T188&lt;=INDEX('Target Severity'!$D$5:$D$8,MATCH(G188,'Target Severity'!$A$5:$A$8,0)),"Ya","Tidak"))</f>
        <v/>
      </c>
      <c r="W188" s="46" t="n"/>
    </row>
    <row r="189" ht="15" customHeight="1" s="28">
      <c r="A189" s="46" t="n"/>
      <c r="B189" s="46" t="n"/>
      <c r="C189" s="46" t="n"/>
      <c r="D189" s="46" t="n"/>
      <c r="E189" s="46" t="n"/>
      <c r="F189" s="46" t="n"/>
      <c r="G189" s="46" t="n"/>
      <c r="H189" s="46" t="n"/>
      <c r="I189" s="47" t="n"/>
      <c r="J189" s="47" t="n"/>
      <c r="K189" s="47" t="n"/>
      <c r="L189" s="47" t="n"/>
      <c r="M189" s="46" t="n"/>
      <c r="N189" s="46" t="n"/>
      <c r="O189" s="46" t="n"/>
      <c r="P189" s="48">
        <f>IF(G189="","",IF(OR(G189="P1",G189="P2"),"Ya","Tidak"))</f>
        <v/>
      </c>
      <c r="Q189" s="46" t="n"/>
      <c r="R189" s="46" t="n"/>
      <c r="S189" s="48">
        <f>IF(OR(I189="",J189=""),"",ROUND((J189-I189)*1440,0))</f>
        <v/>
      </c>
      <c r="T189" s="48">
        <f>IF(OR(I189="",K189=""),"",ROUND((K189-I189)*24,1))</f>
        <v/>
      </c>
      <c r="U189" s="48">
        <f>IF(S189="","",IF(S189&lt;=INDEX('Target Severity'!$B$5:$B$8,MATCH(G189,'Target Severity'!$A$5:$A$8,0)),"Ya","Tidak"))</f>
        <v/>
      </c>
      <c r="V189" s="48">
        <f>IF(T189="","",IF(T189&lt;=INDEX('Target Severity'!$D$5:$D$8,MATCH(G189,'Target Severity'!$A$5:$A$8,0)),"Ya","Tidak"))</f>
        <v/>
      </c>
      <c r="W189" s="46" t="n"/>
    </row>
    <row r="190" ht="15" customHeight="1" s="28">
      <c r="A190" s="46" t="n"/>
      <c r="B190" s="46" t="n"/>
      <c r="C190" s="46" t="n"/>
      <c r="D190" s="46" t="n"/>
      <c r="E190" s="46" t="n"/>
      <c r="F190" s="46" t="n"/>
      <c r="G190" s="46" t="n"/>
      <c r="H190" s="46" t="n"/>
      <c r="I190" s="47" t="n"/>
      <c r="J190" s="47" t="n"/>
      <c r="K190" s="47" t="n"/>
      <c r="L190" s="47" t="n"/>
      <c r="M190" s="46" t="n"/>
      <c r="N190" s="46" t="n"/>
      <c r="O190" s="46" t="n"/>
      <c r="P190" s="48">
        <f>IF(G190="","",IF(OR(G190="P1",G190="P2"),"Ya","Tidak"))</f>
        <v/>
      </c>
      <c r="Q190" s="46" t="n"/>
      <c r="R190" s="46" t="n"/>
      <c r="S190" s="48">
        <f>IF(OR(I190="",J190=""),"",ROUND((J190-I190)*1440,0))</f>
        <v/>
      </c>
      <c r="T190" s="48">
        <f>IF(OR(I190="",K190=""),"",ROUND((K190-I190)*24,1))</f>
        <v/>
      </c>
      <c r="U190" s="48">
        <f>IF(S190="","",IF(S190&lt;=INDEX('Target Severity'!$B$5:$B$8,MATCH(G190,'Target Severity'!$A$5:$A$8,0)),"Ya","Tidak"))</f>
        <v/>
      </c>
      <c r="V190" s="48">
        <f>IF(T190="","",IF(T190&lt;=INDEX('Target Severity'!$D$5:$D$8,MATCH(G190,'Target Severity'!$A$5:$A$8,0)),"Ya","Tidak"))</f>
        <v/>
      </c>
      <c r="W190" s="46" t="n"/>
    </row>
    <row r="191" ht="15" customHeight="1" s="28">
      <c r="A191" s="46" t="n"/>
      <c r="B191" s="46" t="n"/>
      <c r="C191" s="46" t="n"/>
      <c r="D191" s="46" t="n"/>
      <c r="E191" s="46" t="n"/>
      <c r="F191" s="46" t="n"/>
      <c r="G191" s="46" t="n"/>
      <c r="H191" s="46" t="n"/>
      <c r="I191" s="47" t="n"/>
      <c r="J191" s="47" t="n"/>
      <c r="K191" s="47" t="n"/>
      <c r="L191" s="47" t="n"/>
      <c r="M191" s="46" t="n"/>
      <c r="N191" s="46" t="n"/>
      <c r="O191" s="46" t="n"/>
      <c r="P191" s="48">
        <f>IF(G191="","",IF(OR(G191="P1",G191="P2"),"Ya","Tidak"))</f>
        <v/>
      </c>
      <c r="Q191" s="46" t="n"/>
      <c r="R191" s="46" t="n"/>
      <c r="S191" s="48">
        <f>IF(OR(I191="",J191=""),"",ROUND((J191-I191)*1440,0))</f>
        <v/>
      </c>
      <c r="T191" s="48">
        <f>IF(OR(I191="",K191=""),"",ROUND((K191-I191)*24,1))</f>
        <v/>
      </c>
      <c r="U191" s="48">
        <f>IF(S191="","",IF(S191&lt;=INDEX('Target Severity'!$B$5:$B$8,MATCH(G191,'Target Severity'!$A$5:$A$8,0)),"Ya","Tidak"))</f>
        <v/>
      </c>
      <c r="V191" s="48">
        <f>IF(T191="","",IF(T191&lt;=INDEX('Target Severity'!$D$5:$D$8,MATCH(G191,'Target Severity'!$A$5:$A$8,0)),"Ya","Tidak"))</f>
        <v/>
      </c>
      <c r="W191" s="46" t="n"/>
    </row>
    <row r="192" ht="15" customHeight="1" s="28">
      <c r="A192" s="46" t="n"/>
      <c r="B192" s="46" t="n"/>
      <c r="C192" s="46" t="n"/>
      <c r="D192" s="46" t="n"/>
      <c r="E192" s="46" t="n"/>
      <c r="F192" s="46" t="n"/>
      <c r="G192" s="46" t="n"/>
      <c r="H192" s="46" t="n"/>
      <c r="I192" s="47" t="n"/>
      <c r="J192" s="47" t="n"/>
      <c r="K192" s="47" t="n"/>
      <c r="L192" s="47" t="n"/>
      <c r="M192" s="46" t="n"/>
      <c r="N192" s="46" t="n"/>
      <c r="O192" s="46" t="n"/>
      <c r="P192" s="48">
        <f>IF(G192="","",IF(OR(G192="P1",G192="P2"),"Ya","Tidak"))</f>
        <v/>
      </c>
      <c r="Q192" s="46" t="n"/>
      <c r="R192" s="46" t="n"/>
      <c r="S192" s="48">
        <f>IF(OR(I192="",J192=""),"",ROUND((J192-I192)*1440,0))</f>
        <v/>
      </c>
      <c r="T192" s="48">
        <f>IF(OR(I192="",K192=""),"",ROUND((K192-I192)*24,1))</f>
        <v/>
      </c>
      <c r="U192" s="48">
        <f>IF(S192="","",IF(S192&lt;=INDEX('Target Severity'!$B$5:$B$8,MATCH(G192,'Target Severity'!$A$5:$A$8,0)),"Ya","Tidak"))</f>
        <v/>
      </c>
      <c r="V192" s="48">
        <f>IF(T192="","",IF(T192&lt;=INDEX('Target Severity'!$D$5:$D$8,MATCH(G192,'Target Severity'!$A$5:$A$8,0)),"Ya","Tidak"))</f>
        <v/>
      </c>
      <c r="W192" s="46" t="n"/>
    </row>
    <row r="193" ht="15" customHeight="1" s="28">
      <c r="A193" s="46" t="n"/>
      <c r="B193" s="46" t="n"/>
      <c r="C193" s="46" t="n"/>
      <c r="D193" s="46" t="n"/>
      <c r="E193" s="46" t="n"/>
      <c r="F193" s="46" t="n"/>
      <c r="G193" s="46" t="n"/>
      <c r="H193" s="46" t="n"/>
      <c r="I193" s="47" t="n"/>
      <c r="J193" s="47" t="n"/>
      <c r="K193" s="47" t="n"/>
      <c r="L193" s="47" t="n"/>
      <c r="M193" s="46" t="n"/>
      <c r="N193" s="46" t="n"/>
      <c r="O193" s="46" t="n"/>
      <c r="P193" s="48">
        <f>IF(G193="","",IF(OR(G193="P1",G193="P2"),"Ya","Tidak"))</f>
        <v/>
      </c>
      <c r="Q193" s="46" t="n"/>
      <c r="R193" s="46" t="n"/>
      <c r="S193" s="48">
        <f>IF(OR(I193="",J193=""),"",ROUND((J193-I193)*1440,0))</f>
        <v/>
      </c>
      <c r="T193" s="48">
        <f>IF(OR(I193="",K193=""),"",ROUND((K193-I193)*24,1))</f>
        <v/>
      </c>
      <c r="U193" s="48">
        <f>IF(S193="","",IF(S193&lt;=INDEX('Target Severity'!$B$5:$B$8,MATCH(G193,'Target Severity'!$A$5:$A$8,0)),"Ya","Tidak"))</f>
        <v/>
      </c>
      <c r="V193" s="48">
        <f>IF(T193="","",IF(T193&lt;=INDEX('Target Severity'!$D$5:$D$8,MATCH(G193,'Target Severity'!$A$5:$A$8,0)),"Ya","Tidak"))</f>
        <v/>
      </c>
      <c r="W193" s="46" t="n"/>
    </row>
    <row r="194" ht="15" customHeight="1" s="28">
      <c r="A194" s="46" t="n"/>
      <c r="B194" s="46" t="n"/>
      <c r="C194" s="46" t="n"/>
      <c r="D194" s="46" t="n"/>
      <c r="E194" s="46" t="n"/>
      <c r="F194" s="46" t="n"/>
      <c r="G194" s="46" t="n"/>
      <c r="H194" s="46" t="n"/>
      <c r="I194" s="47" t="n"/>
      <c r="J194" s="47" t="n"/>
      <c r="K194" s="47" t="n"/>
      <c r="L194" s="47" t="n"/>
      <c r="M194" s="46" t="n"/>
      <c r="N194" s="46" t="n"/>
      <c r="O194" s="46" t="n"/>
      <c r="P194" s="48">
        <f>IF(G194="","",IF(OR(G194="P1",G194="P2"),"Ya","Tidak"))</f>
        <v/>
      </c>
      <c r="Q194" s="46" t="n"/>
      <c r="R194" s="46" t="n"/>
      <c r="S194" s="48">
        <f>IF(OR(I194="",J194=""),"",ROUND((J194-I194)*1440,0))</f>
        <v/>
      </c>
      <c r="T194" s="48">
        <f>IF(OR(I194="",K194=""),"",ROUND((K194-I194)*24,1))</f>
        <v/>
      </c>
      <c r="U194" s="48">
        <f>IF(S194="","",IF(S194&lt;=INDEX('Target Severity'!$B$5:$B$8,MATCH(G194,'Target Severity'!$A$5:$A$8,0)),"Ya","Tidak"))</f>
        <v/>
      </c>
      <c r="V194" s="48">
        <f>IF(T194="","",IF(T194&lt;=INDEX('Target Severity'!$D$5:$D$8,MATCH(G194,'Target Severity'!$A$5:$A$8,0)),"Ya","Tidak"))</f>
        <v/>
      </c>
      <c r="W194" s="46" t="n"/>
    </row>
    <row r="195" ht="15" customHeight="1" s="28">
      <c r="A195" s="46" t="n"/>
      <c r="B195" s="46" t="n"/>
      <c r="C195" s="46" t="n"/>
      <c r="D195" s="46" t="n"/>
      <c r="E195" s="46" t="n"/>
      <c r="F195" s="46" t="n"/>
      <c r="G195" s="46" t="n"/>
      <c r="H195" s="46" t="n"/>
      <c r="I195" s="47" t="n"/>
      <c r="J195" s="47" t="n"/>
      <c r="K195" s="47" t="n"/>
      <c r="L195" s="47" t="n"/>
      <c r="M195" s="46" t="n"/>
      <c r="N195" s="46" t="n"/>
      <c r="O195" s="46" t="n"/>
      <c r="P195" s="48">
        <f>IF(G195="","",IF(OR(G195="P1",G195="P2"),"Ya","Tidak"))</f>
        <v/>
      </c>
      <c r="Q195" s="46" t="n"/>
      <c r="R195" s="46" t="n"/>
      <c r="S195" s="48">
        <f>IF(OR(I195="",J195=""),"",ROUND((J195-I195)*1440,0))</f>
        <v/>
      </c>
      <c r="T195" s="48">
        <f>IF(OR(I195="",K195=""),"",ROUND((K195-I195)*24,1))</f>
        <v/>
      </c>
      <c r="U195" s="48">
        <f>IF(S195="","",IF(S195&lt;=INDEX('Target Severity'!$B$5:$B$8,MATCH(G195,'Target Severity'!$A$5:$A$8,0)),"Ya","Tidak"))</f>
        <v/>
      </c>
      <c r="V195" s="48">
        <f>IF(T195="","",IF(T195&lt;=INDEX('Target Severity'!$D$5:$D$8,MATCH(G195,'Target Severity'!$A$5:$A$8,0)),"Ya","Tidak"))</f>
        <v/>
      </c>
      <c r="W195" s="46" t="n"/>
    </row>
    <row r="196" ht="15" customHeight="1" s="28">
      <c r="A196" s="46" t="n"/>
      <c r="B196" s="46" t="n"/>
      <c r="C196" s="46" t="n"/>
      <c r="D196" s="46" t="n"/>
      <c r="E196" s="46" t="n"/>
      <c r="F196" s="46" t="n"/>
      <c r="G196" s="46" t="n"/>
      <c r="H196" s="46" t="n"/>
      <c r="I196" s="47" t="n"/>
      <c r="J196" s="47" t="n"/>
      <c r="K196" s="47" t="n"/>
      <c r="L196" s="47" t="n"/>
      <c r="M196" s="46" t="n"/>
      <c r="N196" s="46" t="n"/>
      <c r="O196" s="46" t="n"/>
      <c r="P196" s="48">
        <f>IF(G196="","",IF(OR(G196="P1",G196="P2"),"Ya","Tidak"))</f>
        <v/>
      </c>
      <c r="Q196" s="46" t="n"/>
      <c r="R196" s="46" t="n"/>
      <c r="S196" s="48">
        <f>IF(OR(I196="",J196=""),"",ROUND((J196-I196)*1440,0))</f>
        <v/>
      </c>
      <c r="T196" s="48">
        <f>IF(OR(I196="",K196=""),"",ROUND((K196-I196)*24,1))</f>
        <v/>
      </c>
      <c r="U196" s="48">
        <f>IF(S196="","",IF(S196&lt;=INDEX('Target Severity'!$B$5:$B$8,MATCH(G196,'Target Severity'!$A$5:$A$8,0)),"Ya","Tidak"))</f>
        <v/>
      </c>
      <c r="V196" s="48">
        <f>IF(T196="","",IF(T196&lt;=INDEX('Target Severity'!$D$5:$D$8,MATCH(G196,'Target Severity'!$A$5:$A$8,0)),"Ya","Tidak"))</f>
        <v/>
      </c>
      <c r="W196" s="46" t="n"/>
    </row>
    <row r="197" ht="15" customHeight="1" s="28">
      <c r="A197" s="46" t="n"/>
      <c r="B197" s="46" t="n"/>
      <c r="C197" s="46" t="n"/>
      <c r="D197" s="46" t="n"/>
      <c r="E197" s="46" t="n"/>
      <c r="F197" s="46" t="n"/>
      <c r="G197" s="46" t="n"/>
      <c r="H197" s="46" t="n"/>
      <c r="I197" s="47" t="n"/>
      <c r="J197" s="47" t="n"/>
      <c r="K197" s="47" t="n"/>
      <c r="L197" s="47" t="n"/>
      <c r="M197" s="46" t="n"/>
      <c r="N197" s="46" t="n"/>
      <c r="O197" s="46" t="n"/>
      <c r="P197" s="48">
        <f>IF(G197="","",IF(OR(G197="P1",G197="P2"),"Ya","Tidak"))</f>
        <v/>
      </c>
      <c r="Q197" s="46" t="n"/>
      <c r="R197" s="46" t="n"/>
      <c r="S197" s="48">
        <f>IF(OR(I197="",J197=""),"",ROUND((J197-I197)*1440,0))</f>
        <v/>
      </c>
      <c r="T197" s="48">
        <f>IF(OR(I197="",K197=""),"",ROUND((K197-I197)*24,1))</f>
        <v/>
      </c>
      <c r="U197" s="48">
        <f>IF(S197="","",IF(S197&lt;=INDEX('Target Severity'!$B$5:$B$8,MATCH(G197,'Target Severity'!$A$5:$A$8,0)),"Ya","Tidak"))</f>
        <v/>
      </c>
      <c r="V197" s="48">
        <f>IF(T197="","",IF(T197&lt;=INDEX('Target Severity'!$D$5:$D$8,MATCH(G197,'Target Severity'!$A$5:$A$8,0)),"Ya","Tidak"))</f>
        <v/>
      </c>
      <c r="W197" s="46" t="n"/>
    </row>
    <row r="198" ht="15" customHeight="1" s="28">
      <c r="A198" s="46" t="n"/>
      <c r="B198" s="46" t="n"/>
      <c r="C198" s="46" t="n"/>
      <c r="D198" s="46" t="n"/>
      <c r="E198" s="46" t="n"/>
      <c r="F198" s="46" t="n"/>
      <c r="G198" s="46" t="n"/>
      <c r="H198" s="46" t="n"/>
      <c r="I198" s="47" t="n"/>
      <c r="J198" s="47" t="n"/>
      <c r="K198" s="47" t="n"/>
      <c r="L198" s="47" t="n"/>
      <c r="M198" s="46" t="n"/>
      <c r="N198" s="46" t="n"/>
      <c r="O198" s="46" t="n"/>
      <c r="P198" s="48">
        <f>IF(G198="","",IF(OR(G198="P1",G198="P2"),"Ya","Tidak"))</f>
        <v/>
      </c>
      <c r="Q198" s="46" t="n"/>
      <c r="R198" s="46" t="n"/>
      <c r="S198" s="48">
        <f>IF(OR(I198="",J198=""),"",ROUND((J198-I198)*1440,0))</f>
        <v/>
      </c>
      <c r="T198" s="48">
        <f>IF(OR(I198="",K198=""),"",ROUND((K198-I198)*24,1))</f>
        <v/>
      </c>
      <c r="U198" s="48">
        <f>IF(S198="","",IF(S198&lt;=INDEX('Target Severity'!$B$5:$B$8,MATCH(G198,'Target Severity'!$A$5:$A$8,0)),"Ya","Tidak"))</f>
        <v/>
      </c>
      <c r="V198" s="48">
        <f>IF(T198="","",IF(T198&lt;=INDEX('Target Severity'!$D$5:$D$8,MATCH(G198,'Target Severity'!$A$5:$A$8,0)),"Ya","Tidak"))</f>
        <v/>
      </c>
      <c r="W198" s="46" t="n"/>
    </row>
    <row r="199" ht="15" customHeight="1" s="28">
      <c r="A199" s="46" t="n"/>
      <c r="B199" s="46" t="n"/>
      <c r="C199" s="46" t="n"/>
      <c r="D199" s="46" t="n"/>
      <c r="E199" s="46" t="n"/>
      <c r="F199" s="46" t="n"/>
      <c r="G199" s="46" t="n"/>
      <c r="H199" s="46" t="n"/>
      <c r="I199" s="47" t="n"/>
      <c r="J199" s="47" t="n"/>
      <c r="K199" s="47" t="n"/>
      <c r="L199" s="47" t="n"/>
      <c r="M199" s="46" t="n"/>
      <c r="N199" s="46" t="n"/>
      <c r="O199" s="46" t="n"/>
      <c r="P199" s="48">
        <f>IF(G199="","",IF(OR(G199="P1",G199="P2"),"Ya","Tidak"))</f>
        <v/>
      </c>
      <c r="Q199" s="46" t="n"/>
      <c r="R199" s="46" t="n"/>
      <c r="S199" s="48">
        <f>IF(OR(I199="",J199=""),"",ROUND((J199-I199)*1440,0))</f>
        <v/>
      </c>
      <c r="T199" s="48">
        <f>IF(OR(I199="",K199=""),"",ROUND((K199-I199)*24,1))</f>
        <v/>
      </c>
      <c r="U199" s="48">
        <f>IF(S199="","",IF(S199&lt;=INDEX('Target Severity'!$B$5:$B$8,MATCH(G199,'Target Severity'!$A$5:$A$8,0)),"Ya","Tidak"))</f>
        <v/>
      </c>
      <c r="V199" s="48">
        <f>IF(T199="","",IF(T199&lt;=INDEX('Target Severity'!$D$5:$D$8,MATCH(G199,'Target Severity'!$A$5:$A$8,0)),"Ya","Tidak"))</f>
        <v/>
      </c>
      <c r="W199" s="46" t="n"/>
    </row>
    <row r="200" ht="15" customHeight="1" s="28">
      <c r="A200" s="46" t="n"/>
      <c r="B200" s="46" t="n"/>
      <c r="C200" s="46" t="n"/>
      <c r="D200" s="46" t="n"/>
      <c r="E200" s="46" t="n"/>
      <c r="F200" s="46" t="n"/>
      <c r="G200" s="46" t="n"/>
      <c r="H200" s="46" t="n"/>
      <c r="I200" s="47" t="n"/>
      <c r="J200" s="47" t="n"/>
      <c r="K200" s="47" t="n"/>
      <c r="L200" s="47" t="n"/>
      <c r="M200" s="46" t="n"/>
      <c r="N200" s="46" t="n"/>
      <c r="O200" s="46" t="n"/>
      <c r="P200" s="48">
        <f>IF(G200="","",IF(OR(G200="P1",G200="P2"),"Ya","Tidak"))</f>
        <v/>
      </c>
      <c r="Q200" s="46" t="n"/>
      <c r="R200" s="46" t="n"/>
      <c r="S200" s="48">
        <f>IF(OR(I200="",J200=""),"",ROUND((J200-I200)*1440,0))</f>
        <v/>
      </c>
      <c r="T200" s="48">
        <f>IF(OR(I200="",K200=""),"",ROUND((K200-I200)*24,1))</f>
        <v/>
      </c>
      <c r="U200" s="48">
        <f>IF(S200="","",IF(S200&lt;=INDEX('Target Severity'!$B$5:$B$8,MATCH(G200,'Target Severity'!$A$5:$A$8,0)),"Ya","Tidak"))</f>
        <v/>
      </c>
      <c r="V200" s="48">
        <f>IF(T200="","",IF(T200&lt;=INDEX('Target Severity'!$D$5:$D$8,MATCH(G200,'Target Severity'!$A$5:$A$8,0)),"Ya","Tidak"))</f>
        <v/>
      </c>
      <c r="W200" s="46" t="n"/>
    </row>
    <row r="201" ht="15" customHeight="1" s="28">
      <c r="A201" s="46" t="n"/>
      <c r="B201" s="46" t="n"/>
      <c r="C201" s="46" t="n"/>
      <c r="D201" s="46" t="n"/>
      <c r="E201" s="46" t="n"/>
      <c r="F201" s="46" t="n"/>
      <c r="G201" s="46" t="n"/>
      <c r="H201" s="46" t="n"/>
      <c r="I201" s="47" t="n"/>
      <c r="J201" s="47" t="n"/>
      <c r="K201" s="47" t="n"/>
      <c r="L201" s="47" t="n"/>
      <c r="M201" s="46" t="n"/>
      <c r="N201" s="46" t="n"/>
      <c r="O201" s="46" t="n"/>
      <c r="P201" s="48">
        <f>IF(G201="","",IF(OR(G201="P1",G201="P2"),"Ya","Tidak"))</f>
        <v/>
      </c>
      <c r="Q201" s="46" t="n"/>
      <c r="R201" s="46" t="n"/>
      <c r="S201" s="48">
        <f>IF(OR(I201="",J201=""),"",ROUND((J201-I201)*1440,0))</f>
        <v/>
      </c>
      <c r="T201" s="48">
        <f>IF(OR(I201="",K201=""),"",ROUND((K201-I201)*24,1))</f>
        <v/>
      </c>
      <c r="U201" s="48">
        <f>IF(S201="","",IF(S201&lt;=INDEX('Target Severity'!$B$5:$B$8,MATCH(G201,'Target Severity'!$A$5:$A$8,0)),"Ya","Tidak"))</f>
        <v/>
      </c>
      <c r="V201" s="48">
        <f>IF(T201="","",IF(T201&lt;=INDEX('Target Severity'!$D$5:$D$8,MATCH(G201,'Target Severity'!$A$5:$A$8,0)),"Ya","Tidak"))</f>
        <v/>
      </c>
      <c r="W201" s="46" t="n"/>
    </row>
    <row r="202" ht="15" customHeight="1" s="28">
      <c r="A202" s="46" t="n"/>
      <c r="B202" s="46" t="n"/>
      <c r="C202" s="46" t="n"/>
      <c r="D202" s="46" t="n"/>
      <c r="E202" s="46" t="n"/>
      <c r="F202" s="46" t="n"/>
      <c r="G202" s="46" t="n"/>
      <c r="H202" s="46" t="n"/>
      <c r="I202" s="47" t="n"/>
      <c r="J202" s="47" t="n"/>
      <c r="K202" s="47" t="n"/>
      <c r="L202" s="47" t="n"/>
      <c r="M202" s="46" t="n"/>
      <c r="N202" s="46" t="n"/>
      <c r="O202" s="46" t="n"/>
      <c r="P202" s="48">
        <f>IF(G202="","",IF(OR(G202="P1",G202="P2"),"Ya","Tidak"))</f>
        <v/>
      </c>
      <c r="Q202" s="46" t="n"/>
      <c r="R202" s="46" t="n"/>
      <c r="S202" s="48">
        <f>IF(OR(I202="",J202=""),"",ROUND((J202-I202)*1440,0))</f>
        <v/>
      </c>
      <c r="T202" s="48">
        <f>IF(OR(I202="",K202=""),"",ROUND((K202-I202)*24,1))</f>
        <v/>
      </c>
      <c r="U202" s="48">
        <f>IF(S202="","",IF(S202&lt;=INDEX('Target Severity'!$B$5:$B$8,MATCH(G202,'Target Severity'!$A$5:$A$8,0)),"Ya","Tidak"))</f>
        <v/>
      </c>
      <c r="V202" s="48">
        <f>IF(T202="","",IF(T202&lt;=INDEX('Target Severity'!$D$5:$D$8,MATCH(G202,'Target Severity'!$A$5:$A$8,0)),"Ya","Tidak"))</f>
        <v/>
      </c>
      <c r="W202" s="46" t="n"/>
    </row>
    <row r="203" ht="15" customHeight="1" s="28">
      <c r="A203" s="46" t="n"/>
      <c r="B203" s="46" t="n"/>
      <c r="C203" s="46" t="n"/>
      <c r="D203" s="46" t="n"/>
      <c r="E203" s="46" t="n"/>
      <c r="F203" s="46" t="n"/>
      <c r="G203" s="46" t="n"/>
      <c r="H203" s="46" t="n"/>
      <c r="I203" s="47" t="n"/>
      <c r="J203" s="47" t="n"/>
      <c r="K203" s="47" t="n"/>
      <c r="L203" s="47" t="n"/>
      <c r="M203" s="46" t="n"/>
      <c r="N203" s="46" t="n"/>
      <c r="O203" s="46" t="n"/>
      <c r="P203" s="48">
        <f>IF(G203="","",IF(OR(G203="P1",G203="P2"),"Ya","Tidak"))</f>
        <v/>
      </c>
      <c r="Q203" s="46" t="n"/>
      <c r="R203" s="46" t="n"/>
      <c r="S203" s="48">
        <f>IF(OR(I203="",J203=""),"",ROUND((J203-I203)*1440,0))</f>
        <v/>
      </c>
      <c r="T203" s="48">
        <f>IF(OR(I203="",K203=""),"",ROUND((K203-I203)*24,1))</f>
        <v/>
      </c>
      <c r="U203" s="48">
        <f>IF(S203="","",IF(S203&lt;=INDEX('Target Severity'!$B$5:$B$8,MATCH(G203,'Target Severity'!$A$5:$A$8,0)),"Ya","Tidak"))</f>
        <v/>
      </c>
      <c r="V203" s="48">
        <f>IF(T203="","",IF(T203&lt;=INDEX('Target Severity'!$D$5:$D$8,MATCH(G203,'Target Severity'!$A$5:$A$8,0)),"Ya","Tidak"))</f>
        <v/>
      </c>
      <c r="W203" s="46" t="n"/>
    </row>
    <row r="204" ht="15" customHeight="1" s="28">
      <c r="A204" s="46" t="n"/>
      <c r="B204" s="46" t="n"/>
      <c r="C204" s="46" t="n"/>
      <c r="D204" s="46" t="n"/>
      <c r="E204" s="46" t="n"/>
      <c r="F204" s="46" t="n"/>
      <c r="G204" s="46" t="n"/>
      <c r="H204" s="46" t="n"/>
      <c r="I204" s="47" t="n"/>
      <c r="J204" s="47" t="n"/>
      <c r="K204" s="47" t="n"/>
      <c r="L204" s="47" t="n"/>
      <c r="M204" s="46" t="n"/>
      <c r="N204" s="46" t="n"/>
      <c r="O204" s="46" t="n"/>
      <c r="P204" s="48">
        <f>IF(G204="","",IF(OR(G204="P1",G204="P2"),"Ya","Tidak"))</f>
        <v/>
      </c>
      <c r="Q204" s="46" t="n"/>
      <c r="R204" s="46" t="n"/>
      <c r="S204" s="48">
        <f>IF(OR(I204="",J204=""),"",ROUND((J204-I204)*1440,0))</f>
        <v/>
      </c>
      <c r="T204" s="48">
        <f>IF(OR(I204="",K204=""),"",ROUND((K204-I204)*24,1))</f>
        <v/>
      </c>
      <c r="U204" s="48">
        <f>IF(S204="","",IF(S204&lt;=INDEX('Target Severity'!$B$5:$B$8,MATCH(G204,'Target Severity'!$A$5:$A$8,0)),"Ya","Tidak"))</f>
        <v/>
      </c>
      <c r="V204" s="48">
        <f>IF(T204="","",IF(T204&lt;=INDEX('Target Severity'!$D$5:$D$8,MATCH(G204,'Target Severity'!$A$5:$A$8,0)),"Ya","Tidak"))</f>
        <v/>
      </c>
      <c r="W204" s="46" t="n"/>
    </row>
    <row r="205" ht="15" customHeight="1" s="28">
      <c r="A205" s="46" t="n"/>
      <c r="B205" s="46" t="n"/>
      <c r="C205" s="46" t="n"/>
      <c r="D205" s="46" t="n"/>
      <c r="E205" s="46" t="n"/>
      <c r="F205" s="46" t="n"/>
      <c r="G205" s="46" t="n"/>
      <c r="H205" s="46" t="n"/>
      <c r="I205" s="47" t="n"/>
      <c r="J205" s="47" t="n"/>
      <c r="K205" s="47" t="n"/>
      <c r="L205" s="47" t="n"/>
      <c r="M205" s="46" t="n"/>
      <c r="N205" s="46" t="n"/>
      <c r="O205" s="46" t="n"/>
      <c r="P205" s="48">
        <f>IF(G205="","",IF(OR(G205="P1",G205="P2"),"Ya","Tidak"))</f>
        <v/>
      </c>
      <c r="Q205" s="46" t="n"/>
      <c r="R205" s="46" t="n"/>
      <c r="S205" s="48">
        <f>IF(OR(I205="",J205=""),"",ROUND((J205-I205)*1440,0))</f>
        <v/>
      </c>
      <c r="T205" s="48">
        <f>IF(OR(I205="",K205=""),"",ROUND((K205-I205)*24,1))</f>
        <v/>
      </c>
      <c r="U205" s="48">
        <f>IF(S205="","",IF(S205&lt;=INDEX('Target Severity'!$B$5:$B$8,MATCH(G205,'Target Severity'!$A$5:$A$8,0)),"Ya","Tidak"))</f>
        <v/>
      </c>
      <c r="V205" s="48">
        <f>IF(T205="","",IF(T205&lt;=INDEX('Target Severity'!$D$5:$D$8,MATCH(G205,'Target Severity'!$A$5:$A$8,0)),"Ya","Tidak"))</f>
        <v/>
      </c>
      <c r="W205" s="46" t="n"/>
    </row>
    <row r="206" ht="15" customHeight="1" s="28">
      <c r="A206" s="46" t="n"/>
      <c r="B206" s="46" t="n"/>
      <c r="C206" s="46" t="n"/>
      <c r="D206" s="46" t="n"/>
      <c r="E206" s="46" t="n"/>
      <c r="F206" s="46" t="n"/>
      <c r="G206" s="46" t="n"/>
      <c r="H206" s="46" t="n"/>
      <c r="I206" s="47" t="n"/>
      <c r="J206" s="47" t="n"/>
      <c r="K206" s="47" t="n"/>
      <c r="L206" s="47" t="n"/>
      <c r="M206" s="46" t="n"/>
      <c r="N206" s="46" t="n"/>
      <c r="O206" s="46" t="n"/>
      <c r="P206" s="48">
        <f>IF(G206="","",IF(OR(G206="P1",G206="P2"),"Ya","Tidak"))</f>
        <v/>
      </c>
      <c r="Q206" s="46" t="n"/>
      <c r="R206" s="46" t="n"/>
      <c r="S206" s="48">
        <f>IF(OR(I206="",J206=""),"",ROUND((J206-I206)*1440,0))</f>
        <v/>
      </c>
      <c r="T206" s="48">
        <f>IF(OR(I206="",K206=""),"",ROUND((K206-I206)*24,1))</f>
        <v/>
      </c>
      <c r="U206" s="48">
        <f>IF(S206="","",IF(S206&lt;=INDEX('Target Severity'!$B$5:$B$8,MATCH(G206,'Target Severity'!$A$5:$A$8,0)),"Ya","Tidak"))</f>
        <v/>
      </c>
      <c r="V206" s="48">
        <f>IF(T206="","",IF(T206&lt;=INDEX('Target Severity'!$D$5:$D$8,MATCH(G206,'Target Severity'!$A$5:$A$8,0)),"Ya","Tidak"))</f>
        <v/>
      </c>
      <c r="W206" s="46" t="n"/>
    </row>
    <row r="207" ht="15" customHeight="1" s="28">
      <c r="A207" s="46" t="n"/>
      <c r="B207" s="46" t="n"/>
      <c r="C207" s="46" t="n"/>
      <c r="D207" s="46" t="n"/>
      <c r="E207" s="46" t="n"/>
      <c r="F207" s="46" t="n"/>
      <c r="G207" s="46" t="n"/>
      <c r="H207" s="46" t="n"/>
      <c r="I207" s="47" t="n"/>
      <c r="J207" s="47" t="n"/>
      <c r="K207" s="47" t="n"/>
      <c r="L207" s="47" t="n"/>
      <c r="M207" s="46" t="n"/>
      <c r="N207" s="46" t="n"/>
      <c r="O207" s="46" t="n"/>
      <c r="P207" s="48">
        <f>IF(G207="","",IF(OR(G207="P1",G207="P2"),"Ya","Tidak"))</f>
        <v/>
      </c>
      <c r="Q207" s="46" t="n"/>
      <c r="R207" s="46" t="n"/>
      <c r="S207" s="48">
        <f>IF(OR(I207="",J207=""),"",ROUND((J207-I207)*1440,0))</f>
        <v/>
      </c>
      <c r="T207" s="48">
        <f>IF(OR(I207="",K207=""),"",ROUND((K207-I207)*24,1))</f>
        <v/>
      </c>
      <c r="U207" s="48">
        <f>IF(S207="","",IF(S207&lt;=INDEX('Target Severity'!$B$5:$B$8,MATCH(G207,'Target Severity'!$A$5:$A$8,0)),"Ya","Tidak"))</f>
        <v/>
      </c>
      <c r="V207" s="48">
        <f>IF(T207="","",IF(T207&lt;=INDEX('Target Severity'!$D$5:$D$8,MATCH(G207,'Target Severity'!$A$5:$A$8,0)),"Ya","Tidak"))</f>
        <v/>
      </c>
      <c r="W207" s="46" t="n"/>
    </row>
    <row r="208" ht="15" customHeight="1" s="28">
      <c r="A208" s="46" t="n"/>
      <c r="B208" s="46" t="n"/>
      <c r="C208" s="46" t="n"/>
      <c r="D208" s="46" t="n"/>
      <c r="E208" s="46" t="n"/>
      <c r="F208" s="46" t="n"/>
      <c r="G208" s="46" t="n"/>
      <c r="H208" s="46" t="n"/>
      <c r="I208" s="47" t="n"/>
      <c r="J208" s="47" t="n"/>
      <c r="K208" s="47" t="n"/>
      <c r="L208" s="47" t="n"/>
      <c r="M208" s="46" t="n"/>
      <c r="N208" s="46" t="n"/>
      <c r="O208" s="46" t="n"/>
      <c r="P208" s="48">
        <f>IF(G208="","",IF(OR(G208="P1",G208="P2"),"Ya","Tidak"))</f>
        <v/>
      </c>
      <c r="Q208" s="46" t="n"/>
      <c r="R208" s="46" t="n"/>
      <c r="S208" s="48">
        <f>IF(OR(I208="",J208=""),"",ROUND((J208-I208)*1440,0))</f>
        <v/>
      </c>
      <c r="T208" s="48">
        <f>IF(OR(I208="",K208=""),"",ROUND((K208-I208)*24,1))</f>
        <v/>
      </c>
      <c r="U208" s="48">
        <f>IF(S208="","",IF(S208&lt;=INDEX('Target Severity'!$B$5:$B$8,MATCH(G208,'Target Severity'!$A$5:$A$8,0)),"Ya","Tidak"))</f>
        <v/>
      </c>
      <c r="V208" s="48">
        <f>IF(T208="","",IF(T208&lt;=INDEX('Target Severity'!$D$5:$D$8,MATCH(G208,'Target Severity'!$A$5:$A$8,0)),"Ya","Tidak"))</f>
        <v/>
      </c>
      <c r="W208" s="46" t="n"/>
    </row>
    <row r="209" ht="15" customHeight="1" s="28">
      <c r="A209" s="46" t="n"/>
      <c r="B209" s="46" t="n"/>
      <c r="C209" s="46" t="n"/>
      <c r="D209" s="46" t="n"/>
      <c r="E209" s="46" t="n"/>
      <c r="F209" s="46" t="n"/>
      <c r="G209" s="46" t="n"/>
      <c r="H209" s="46" t="n"/>
      <c r="I209" s="47" t="n"/>
      <c r="J209" s="47" t="n"/>
      <c r="K209" s="47" t="n"/>
      <c r="L209" s="47" t="n"/>
      <c r="M209" s="46" t="n"/>
      <c r="N209" s="46" t="n"/>
      <c r="O209" s="46" t="n"/>
      <c r="P209" s="48">
        <f>IF(G209="","",IF(OR(G209="P1",G209="P2"),"Ya","Tidak"))</f>
        <v/>
      </c>
      <c r="Q209" s="46" t="n"/>
      <c r="R209" s="46" t="n"/>
      <c r="S209" s="48">
        <f>IF(OR(I209="",J209=""),"",ROUND((J209-I209)*1440,0))</f>
        <v/>
      </c>
      <c r="T209" s="48">
        <f>IF(OR(I209="",K209=""),"",ROUND((K209-I209)*24,1))</f>
        <v/>
      </c>
      <c r="U209" s="48">
        <f>IF(S209="","",IF(S209&lt;=INDEX('Target Severity'!$B$5:$B$8,MATCH(G209,'Target Severity'!$A$5:$A$8,0)),"Ya","Tidak"))</f>
        <v/>
      </c>
      <c r="V209" s="48">
        <f>IF(T209="","",IF(T209&lt;=INDEX('Target Severity'!$D$5:$D$8,MATCH(G209,'Target Severity'!$A$5:$A$8,0)),"Ya","Tidak"))</f>
        <v/>
      </c>
      <c r="W209" s="46" t="n"/>
    </row>
    <row r="210" ht="15" customHeight="1" s="28">
      <c r="A210" s="46" t="n"/>
      <c r="B210" s="46" t="n"/>
      <c r="C210" s="46" t="n"/>
      <c r="D210" s="46" t="n"/>
      <c r="E210" s="46" t="n"/>
      <c r="F210" s="46" t="n"/>
      <c r="G210" s="46" t="n"/>
      <c r="H210" s="46" t="n"/>
      <c r="I210" s="47" t="n"/>
      <c r="J210" s="47" t="n"/>
      <c r="K210" s="47" t="n"/>
      <c r="L210" s="47" t="n"/>
      <c r="M210" s="46" t="n"/>
      <c r="N210" s="46" t="n"/>
      <c r="O210" s="46" t="n"/>
      <c r="P210" s="48">
        <f>IF(G210="","",IF(OR(G210="P1",G210="P2"),"Ya","Tidak"))</f>
        <v/>
      </c>
      <c r="Q210" s="46" t="n"/>
      <c r="R210" s="46" t="n"/>
      <c r="S210" s="48">
        <f>IF(OR(I210="",J210=""),"",ROUND((J210-I210)*1440,0))</f>
        <v/>
      </c>
      <c r="T210" s="48">
        <f>IF(OR(I210="",K210=""),"",ROUND((K210-I210)*24,1))</f>
        <v/>
      </c>
      <c r="U210" s="48">
        <f>IF(S210="","",IF(S210&lt;=INDEX('Target Severity'!$B$5:$B$8,MATCH(G210,'Target Severity'!$A$5:$A$8,0)),"Ya","Tidak"))</f>
        <v/>
      </c>
      <c r="V210" s="48">
        <f>IF(T210="","",IF(T210&lt;=INDEX('Target Severity'!$D$5:$D$8,MATCH(G210,'Target Severity'!$A$5:$A$8,0)),"Ya","Tidak"))</f>
        <v/>
      </c>
      <c r="W210" s="46" t="n"/>
    </row>
    <row r="211" ht="15" customHeight="1" s="28">
      <c r="A211" s="46" t="n"/>
      <c r="B211" s="46" t="n"/>
      <c r="C211" s="46" t="n"/>
      <c r="D211" s="46" t="n"/>
      <c r="E211" s="46" t="n"/>
      <c r="F211" s="46" t="n"/>
      <c r="G211" s="46" t="n"/>
      <c r="H211" s="46" t="n"/>
      <c r="I211" s="47" t="n"/>
      <c r="J211" s="47" t="n"/>
      <c r="K211" s="47" t="n"/>
      <c r="L211" s="47" t="n"/>
      <c r="M211" s="46" t="n"/>
      <c r="N211" s="46" t="n"/>
      <c r="O211" s="46" t="n"/>
      <c r="P211" s="48">
        <f>IF(G211="","",IF(OR(G211="P1",G211="P2"),"Ya","Tidak"))</f>
        <v/>
      </c>
      <c r="Q211" s="46" t="n"/>
      <c r="R211" s="46" t="n"/>
      <c r="S211" s="48">
        <f>IF(OR(I211="",J211=""),"",ROUND((J211-I211)*1440,0))</f>
        <v/>
      </c>
      <c r="T211" s="48">
        <f>IF(OR(I211="",K211=""),"",ROUND((K211-I211)*24,1))</f>
        <v/>
      </c>
      <c r="U211" s="48">
        <f>IF(S211="","",IF(S211&lt;=INDEX('Target Severity'!$B$5:$B$8,MATCH(G211,'Target Severity'!$A$5:$A$8,0)),"Ya","Tidak"))</f>
        <v/>
      </c>
      <c r="V211" s="48">
        <f>IF(T211="","",IF(T211&lt;=INDEX('Target Severity'!$D$5:$D$8,MATCH(G211,'Target Severity'!$A$5:$A$8,0)),"Ya","Tidak"))</f>
        <v/>
      </c>
      <c r="W211" s="46" t="n"/>
    </row>
    <row r="212" ht="15" customHeight="1" s="28">
      <c r="A212" s="46" t="n"/>
      <c r="B212" s="46" t="n"/>
      <c r="C212" s="46" t="n"/>
      <c r="D212" s="46" t="n"/>
      <c r="E212" s="46" t="n"/>
      <c r="F212" s="46" t="n"/>
      <c r="G212" s="46" t="n"/>
      <c r="H212" s="46" t="n"/>
      <c r="I212" s="47" t="n"/>
      <c r="J212" s="47" t="n"/>
      <c r="K212" s="47" t="n"/>
      <c r="L212" s="47" t="n"/>
      <c r="M212" s="46" t="n"/>
      <c r="N212" s="46" t="n"/>
      <c r="O212" s="46" t="n"/>
      <c r="P212" s="48">
        <f>IF(G212="","",IF(OR(G212="P1",G212="P2"),"Ya","Tidak"))</f>
        <v/>
      </c>
      <c r="Q212" s="46" t="n"/>
      <c r="R212" s="46" t="n"/>
      <c r="S212" s="48">
        <f>IF(OR(I212="",J212=""),"",ROUND((J212-I212)*1440,0))</f>
        <v/>
      </c>
      <c r="T212" s="48">
        <f>IF(OR(I212="",K212=""),"",ROUND((K212-I212)*24,1))</f>
        <v/>
      </c>
      <c r="U212" s="48">
        <f>IF(S212="","",IF(S212&lt;=INDEX('Target Severity'!$B$5:$B$8,MATCH(G212,'Target Severity'!$A$5:$A$8,0)),"Ya","Tidak"))</f>
        <v/>
      </c>
      <c r="V212" s="48">
        <f>IF(T212="","",IF(T212&lt;=INDEX('Target Severity'!$D$5:$D$8,MATCH(G212,'Target Severity'!$A$5:$A$8,0)),"Ya","Tidak"))</f>
        <v/>
      </c>
      <c r="W212" s="46" t="n"/>
    </row>
    <row r="213" ht="15" customHeight="1" s="28">
      <c r="A213" s="46" t="n"/>
      <c r="B213" s="46" t="n"/>
      <c r="C213" s="46" t="n"/>
      <c r="D213" s="46" t="n"/>
      <c r="E213" s="46" t="n"/>
      <c r="F213" s="46" t="n"/>
      <c r="G213" s="46" t="n"/>
      <c r="H213" s="46" t="n"/>
      <c r="I213" s="47" t="n"/>
      <c r="J213" s="47" t="n"/>
      <c r="K213" s="47" t="n"/>
      <c r="L213" s="47" t="n"/>
      <c r="M213" s="46" t="n"/>
      <c r="N213" s="46" t="n"/>
      <c r="O213" s="46" t="n"/>
      <c r="P213" s="48">
        <f>IF(G213="","",IF(OR(G213="P1",G213="P2"),"Ya","Tidak"))</f>
        <v/>
      </c>
      <c r="Q213" s="46" t="n"/>
      <c r="R213" s="46" t="n"/>
      <c r="S213" s="48">
        <f>IF(OR(I213="",J213=""),"",ROUND((J213-I213)*1440,0))</f>
        <v/>
      </c>
      <c r="T213" s="48">
        <f>IF(OR(I213="",K213=""),"",ROUND((K213-I213)*24,1))</f>
        <v/>
      </c>
      <c r="U213" s="48">
        <f>IF(S213="","",IF(S213&lt;=INDEX('Target Severity'!$B$5:$B$8,MATCH(G213,'Target Severity'!$A$5:$A$8,0)),"Ya","Tidak"))</f>
        <v/>
      </c>
      <c r="V213" s="48">
        <f>IF(T213="","",IF(T213&lt;=INDEX('Target Severity'!$D$5:$D$8,MATCH(G213,'Target Severity'!$A$5:$A$8,0)),"Ya","Tidak"))</f>
        <v/>
      </c>
      <c r="W213" s="46" t="n"/>
    </row>
    <row r="214" ht="15" customHeight="1" s="28">
      <c r="A214" s="46" t="n"/>
      <c r="B214" s="46" t="n"/>
      <c r="C214" s="46" t="n"/>
      <c r="D214" s="46" t="n"/>
      <c r="E214" s="46" t="n"/>
      <c r="F214" s="46" t="n"/>
      <c r="G214" s="46" t="n"/>
      <c r="H214" s="46" t="n"/>
      <c r="I214" s="47" t="n"/>
      <c r="J214" s="47" t="n"/>
      <c r="K214" s="47" t="n"/>
      <c r="L214" s="47" t="n"/>
      <c r="M214" s="46" t="n"/>
      <c r="N214" s="46" t="n"/>
      <c r="O214" s="46" t="n"/>
      <c r="P214" s="48">
        <f>IF(G214="","",IF(OR(G214="P1",G214="P2"),"Ya","Tidak"))</f>
        <v/>
      </c>
      <c r="Q214" s="46" t="n"/>
      <c r="R214" s="46" t="n"/>
      <c r="S214" s="48">
        <f>IF(OR(I214="",J214=""),"",ROUND((J214-I214)*1440,0))</f>
        <v/>
      </c>
      <c r="T214" s="48">
        <f>IF(OR(I214="",K214=""),"",ROUND((K214-I214)*24,1))</f>
        <v/>
      </c>
      <c r="U214" s="48">
        <f>IF(S214="","",IF(S214&lt;=INDEX('Target Severity'!$B$5:$B$8,MATCH(G214,'Target Severity'!$A$5:$A$8,0)),"Ya","Tidak"))</f>
        <v/>
      </c>
      <c r="V214" s="48">
        <f>IF(T214="","",IF(T214&lt;=INDEX('Target Severity'!$D$5:$D$8,MATCH(G214,'Target Severity'!$A$5:$A$8,0)),"Ya","Tidak"))</f>
        <v/>
      </c>
      <c r="W214" s="46" t="n"/>
    </row>
    <row r="215" ht="15" customHeight="1" s="28">
      <c r="A215" s="46" t="n"/>
      <c r="B215" s="46" t="n"/>
      <c r="C215" s="46" t="n"/>
      <c r="D215" s="46" t="n"/>
      <c r="E215" s="46" t="n"/>
      <c r="F215" s="46" t="n"/>
      <c r="G215" s="46" t="n"/>
      <c r="H215" s="46" t="n"/>
      <c r="I215" s="47" t="n"/>
      <c r="J215" s="47" t="n"/>
      <c r="K215" s="47" t="n"/>
      <c r="L215" s="47" t="n"/>
      <c r="M215" s="46" t="n"/>
      <c r="N215" s="46" t="n"/>
      <c r="O215" s="46" t="n"/>
      <c r="P215" s="48">
        <f>IF(G215="","",IF(OR(G215="P1",G215="P2"),"Ya","Tidak"))</f>
        <v/>
      </c>
      <c r="Q215" s="46" t="n"/>
      <c r="R215" s="46" t="n"/>
      <c r="S215" s="48">
        <f>IF(OR(I215="",J215=""),"",ROUND((J215-I215)*1440,0))</f>
        <v/>
      </c>
      <c r="T215" s="48">
        <f>IF(OR(I215="",K215=""),"",ROUND((K215-I215)*24,1))</f>
        <v/>
      </c>
      <c r="U215" s="48">
        <f>IF(S215="","",IF(S215&lt;=INDEX('Target Severity'!$B$5:$B$8,MATCH(G215,'Target Severity'!$A$5:$A$8,0)),"Ya","Tidak"))</f>
        <v/>
      </c>
      <c r="V215" s="48">
        <f>IF(T215="","",IF(T215&lt;=INDEX('Target Severity'!$D$5:$D$8,MATCH(G215,'Target Severity'!$A$5:$A$8,0)),"Ya","Tidak"))</f>
        <v/>
      </c>
      <c r="W215" s="46" t="n"/>
    </row>
    <row r="216" ht="15" customHeight="1" s="28">
      <c r="A216" s="46" t="n"/>
      <c r="B216" s="46" t="n"/>
      <c r="C216" s="46" t="n"/>
      <c r="D216" s="46" t="n"/>
      <c r="E216" s="46" t="n"/>
      <c r="F216" s="46" t="n"/>
      <c r="G216" s="46" t="n"/>
      <c r="H216" s="46" t="n"/>
      <c r="I216" s="47" t="n"/>
      <c r="J216" s="47" t="n"/>
      <c r="K216" s="47" t="n"/>
      <c r="L216" s="47" t="n"/>
      <c r="M216" s="46" t="n"/>
      <c r="N216" s="46" t="n"/>
      <c r="O216" s="46" t="n"/>
      <c r="P216" s="48">
        <f>IF(G216="","",IF(OR(G216="P1",G216="P2"),"Ya","Tidak"))</f>
        <v/>
      </c>
      <c r="Q216" s="46" t="n"/>
      <c r="R216" s="46" t="n"/>
      <c r="S216" s="48">
        <f>IF(OR(I216="",J216=""),"",ROUND((J216-I216)*1440,0))</f>
        <v/>
      </c>
      <c r="T216" s="48">
        <f>IF(OR(I216="",K216=""),"",ROUND((K216-I216)*24,1))</f>
        <v/>
      </c>
      <c r="U216" s="48">
        <f>IF(S216="","",IF(S216&lt;=INDEX('Target Severity'!$B$5:$B$8,MATCH(G216,'Target Severity'!$A$5:$A$8,0)),"Ya","Tidak"))</f>
        <v/>
      </c>
      <c r="V216" s="48">
        <f>IF(T216="","",IF(T216&lt;=INDEX('Target Severity'!$D$5:$D$8,MATCH(G216,'Target Severity'!$A$5:$A$8,0)),"Ya","Tidak"))</f>
        <v/>
      </c>
      <c r="W216" s="46" t="n"/>
    </row>
    <row r="217" ht="15" customHeight="1" s="28">
      <c r="A217" s="46" t="n"/>
      <c r="B217" s="46" t="n"/>
      <c r="C217" s="46" t="n"/>
      <c r="D217" s="46" t="n"/>
      <c r="E217" s="46" t="n"/>
      <c r="F217" s="46" t="n"/>
      <c r="G217" s="46" t="n"/>
      <c r="H217" s="46" t="n"/>
      <c r="I217" s="47" t="n"/>
      <c r="J217" s="47" t="n"/>
      <c r="K217" s="47" t="n"/>
      <c r="L217" s="47" t="n"/>
      <c r="M217" s="46" t="n"/>
      <c r="N217" s="46" t="n"/>
      <c r="O217" s="46" t="n"/>
      <c r="P217" s="48">
        <f>IF(G217="","",IF(OR(G217="P1",G217="P2"),"Ya","Tidak"))</f>
        <v/>
      </c>
      <c r="Q217" s="46" t="n"/>
      <c r="R217" s="46" t="n"/>
      <c r="S217" s="48">
        <f>IF(OR(I217="",J217=""),"",ROUND((J217-I217)*1440,0))</f>
        <v/>
      </c>
      <c r="T217" s="48">
        <f>IF(OR(I217="",K217=""),"",ROUND((K217-I217)*24,1))</f>
        <v/>
      </c>
      <c r="U217" s="48">
        <f>IF(S217="","",IF(S217&lt;=INDEX('Target Severity'!$B$5:$B$8,MATCH(G217,'Target Severity'!$A$5:$A$8,0)),"Ya","Tidak"))</f>
        <v/>
      </c>
      <c r="V217" s="48">
        <f>IF(T217="","",IF(T217&lt;=INDEX('Target Severity'!$D$5:$D$8,MATCH(G217,'Target Severity'!$A$5:$A$8,0)),"Ya","Tidak"))</f>
        <v/>
      </c>
      <c r="W217" s="46" t="n"/>
    </row>
    <row r="218" ht="15" customHeight="1" s="28">
      <c r="A218" s="46" t="n"/>
      <c r="B218" s="46" t="n"/>
      <c r="C218" s="46" t="n"/>
      <c r="D218" s="46" t="n"/>
      <c r="E218" s="46" t="n"/>
      <c r="F218" s="46" t="n"/>
      <c r="G218" s="46" t="n"/>
      <c r="H218" s="46" t="n"/>
      <c r="I218" s="47" t="n"/>
      <c r="J218" s="47" t="n"/>
      <c r="K218" s="47" t="n"/>
      <c r="L218" s="47" t="n"/>
      <c r="M218" s="46" t="n"/>
      <c r="N218" s="46" t="n"/>
      <c r="O218" s="46" t="n"/>
      <c r="P218" s="48">
        <f>IF(G218="","",IF(OR(G218="P1",G218="P2"),"Ya","Tidak"))</f>
        <v/>
      </c>
      <c r="Q218" s="46" t="n"/>
      <c r="R218" s="46" t="n"/>
      <c r="S218" s="48">
        <f>IF(OR(I218="",J218=""),"",ROUND((J218-I218)*1440,0))</f>
        <v/>
      </c>
      <c r="T218" s="48">
        <f>IF(OR(I218="",K218=""),"",ROUND((K218-I218)*24,1))</f>
        <v/>
      </c>
      <c r="U218" s="48">
        <f>IF(S218="","",IF(S218&lt;=INDEX('Target Severity'!$B$5:$B$8,MATCH(G218,'Target Severity'!$A$5:$A$8,0)),"Ya","Tidak"))</f>
        <v/>
      </c>
      <c r="V218" s="48">
        <f>IF(T218="","",IF(T218&lt;=INDEX('Target Severity'!$D$5:$D$8,MATCH(G218,'Target Severity'!$A$5:$A$8,0)),"Ya","Tidak"))</f>
        <v/>
      </c>
      <c r="W218" s="46" t="n"/>
    </row>
    <row r="219" ht="15" customHeight="1" s="28">
      <c r="A219" s="46" t="n"/>
      <c r="B219" s="46" t="n"/>
      <c r="C219" s="46" t="n"/>
      <c r="D219" s="46" t="n"/>
      <c r="E219" s="46" t="n"/>
      <c r="F219" s="46" t="n"/>
      <c r="G219" s="46" t="n"/>
      <c r="H219" s="46" t="n"/>
      <c r="I219" s="47" t="n"/>
      <c r="J219" s="47" t="n"/>
      <c r="K219" s="47" t="n"/>
      <c r="L219" s="47" t="n"/>
      <c r="M219" s="46" t="n"/>
      <c r="N219" s="46" t="n"/>
      <c r="O219" s="46" t="n"/>
      <c r="P219" s="48">
        <f>IF(G219="","",IF(OR(G219="P1",G219="P2"),"Ya","Tidak"))</f>
        <v/>
      </c>
      <c r="Q219" s="46" t="n"/>
      <c r="R219" s="46" t="n"/>
      <c r="S219" s="48">
        <f>IF(OR(I219="",J219=""),"",ROUND((J219-I219)*1440,0))</f>
        <v/>
      </c>
      <c r="T219" s="48">
        <f>IF(OR(I219="",K219=""),"",ROUND((K219-I219)*24,1))</f>
        <v/>
      </c>
      <c r="U219" s="48">
        <f>IF(S219="","",IF(S219&lt;=INDEX('Target Severity'!$B$5:$B$8,MATCH(G219,'Target Severity'!$A$5:$A$8,0)),"Ya","Tidak"))</f>
        <v/>
      </c>
      <c r="V219" s="48">
        <f>IF(T219="","",IF(T219&lt;=INDEX('Target Severity'!$D$5:$D$8,MATCH(G219,'Target Severity'!$A$5:$A$8,0)),"Ya","Tidak"))</f>
        <v/>
      </c>
      <c r="W219" s="46" t="n"/>
    </row>
    <row r="220" ht="15" customHeight="1" s="28">
      <c r="A220" s="46" t="n"/>
      <c r="B220" s="46" t="n"/>
      <c r="C220" s="46" t="n"/>
      <c r="D220" s="46" t="n"/>
      <c r="E220" s="46" t="n"/>
      <c r="F220" s="46" t="n"/>
      <c r="G220" s="46" t="n"/>
      <c r="H220" s="46" t="n"/>
      <c r="I220" s="47" t="n"/>
      <c r="J220" s="47" t="n"/>
      <c r="K220" s="47" t="n"/>
      <c r="L220" s="47" t="n"/>
      <c r="M220" s="46" t="n"/>
      <c r="N220" s="46" t="n"/>
      <c r="O220" s="46" t="n"/>
      <c r="P220" s="48">
        <f>IF(G220="","",IF(OR(G220="P1",G220="P2"),"Ya","Tidak"))</f>
        <v/>
      </c>
      <c r="Q220" s="46" t="n"/>
      <c r="R220" s="46" t="n"/>
      <c r="S220" s="48">
        <f>IF(OR(I220="",J220=""),"",ROUND((J220-I220)*1440,0))</f>
        <v/>
      </c>
      <c r="T220" s="48">
        <f>IF(OR(I220="",K220=""),"",ROUND((K220-I220)*24,1))</f>
        <v/>
      </c>
      <c r="U220" s="48">
        <f>IF(S220="","",IF(S220&lt;=INDEX('Target Severity'!$B$5:$B$8,MATCH(G220,'Target Severity'!$A$5:$A$8,0)),"Ya","Tidak"))</f>
        <v/>
      </c>
      <c r="V220" s="48">
        <f>IF(T220="","",IF(T220&lt;=INDEX('Target Severity'!$D$5:$D$8,MATCH(G220,'Target Severity'!$A$5:$A$8,0)),"Ya","Tidak"))</f>
        <v/>
      </c>
      <c r="W220" s="46" t="n"/>
    </row>
    <row r="221" ht="15" customHeight="1" s="28">
      <c r="A221" s="46" t="n"/>
      <c r="B221" s="46" t="n"/>
      <c r="C221" s="46" t="n"/>
      <c r="D221" s="46" t="n"/>
      <c r="E221" s="46" t="n"/>
      <c r="F221" s="46" t="n"/>
      <c r="G221" s="46" t="n"/>
      <c r="H221" s="46" t="n"/>
      <c r="I221" s="47" t="n"/>
      <c r="J221" s="47" t="n"/>
      <c r="K221" s="47" t="n"/>
      <c r="L221" s="47" t="n"/>
      <c r="M221" s="46" t="n"/>
      <c r="N221" s="46" t="n"/>
      <c r="O221" s="46" t="n"/>
      <c r="P221" s="48">
        <f>IF(G221="","",IF(OR(G221="P1",G221="P2"),"Ya","Tidak"))</f>
        <v/>
      </c>
      <c r="Q221" s="46" t="n"/>
      <c r="R221" s="46" t="n"/>
      <c r="S221" s="48">
        <f>IF(OR(I221="",J221=""),"",ROUND((J221-I221)*1440,0))</f>
        <v/>
      </c>
      <c r="T221" s="48">
        <f>IF(OR(I221="",K221=""),"",ROUND((K221-I221)*24,1))</f>
        <v/>
      </c>
      <c r="U221" s="48">
        <f>IF(S221="","",IF(S221&lt;=INDEX('Target Severity'!$B$5:$B$8,MATCH(G221,'Target Severity'!$A$5:$A$8,0)),"Ya","Tidak"))</f>
        <v/>
      </c>
      <c r="V221" s="48">
        <f>IF(T221="","",IF(T221&lt;=INDEX('Target Severity'!$D$5:$D$8,MATCH(G221,'Target Severity'!$A$5:$A$8,0)),"Ya","Tidak"))</f>
        <v/>
      </c>
      <c r="W221" s="46" t="n"/>
    </row>
    <row r="222" ht="15" customHeight="1" s="28">
      <c r="A222" s="46" t="n"/>
      <c r="B222" s="46" t="n"/>
      <c r="C222" s="46" t="n"/>
      <c r="D222" s="46" t="n"/>
      <c r="E222" s="46" t="n"/>
      <c r="F222" s="46" t="n"/>
      <c r="G222" s="46" t="n"/>
      <c r="H222" s="46" t="n"/>
      <c r="I222" s="47" t="n"/>
      <c r="J222" s="47" t="n"/>
      <c r="K222" s="47" t="n"/>
      <c r="L222" s="47" t="n"/>
      <c r="M222" s="46" t="n"/>
      <c r="N222" s="46" t="n"/>
      <c r="O222" s="46" t="n"/>
      <c r="P222" s="48">
        <f>IF(G222="","",IF(OR(G222="P1",G222="P2"),"Ya","Tidak"))</f>
        <v/>
      </c>
      <c r="Q222" s="46" t="n"/>
      <c r="R222" s="46" t="n"/>
      <c r="S222" s="48">
        <f>IF(OR(I222="",J222=""),"",ROUND((J222-I222)*1440,0))</f>
        <v/>
      </c>
      <c r="T222" s="48">
        <f>IF(OR(I222="",K222=""),"",ROUND((K222-I222)*24,1))</f>
        <v/>
      </c>
      <c r="U222" s="48">
        <f>IF(S222="","",IF(S222&lt;=INDEX('Target Severity'!$B$5:$B$8,MATCH(G222,'Target Severity'!$A$5:$A$8,0)),"Ya","Tidak"))</f>
        <v/>
      </c>
      <c r="V222" s="48">
        <f>IF(T222="","",IF(T222&lt;=INDEX('Target Severity'!$D$5:$D$8,MATCH(G222,'Target Severity'!$A$5:$A$8,0)),"Ya","Tidak"))</f>
        <v/>
      </c>
      <c r="W222" s="46" t="n"/>
    </row>
    <row r="223" ht="15" customHeight="1" s="28">
      <c r="A223" s="46" t="n"/>
      <c r="B223" s="46" t="n"/>
      <c r="C223" s="46" t="n"/>
      <c r="D223" s="46" t="n"/>
      <c r="E223" s="46" t="n"/>
      <c r="F223" s="46" t="n"/>
      <c r="G223" s="46" t="n"/>
      <c r="H223" s="46" t="n"/>
      <c r="I223" s="47" t="n"/>
      <c r="J223" s="47" t="n"/>
      <c r="K223" s="47" t="n"/>
      <c r="L223" s="47" t="n"/>
      <c r="M223" s="46" t="n"/>
      <c r="N223" s="46" t="n"/>
      <c r="O223" s="46" t="n"/>
      <c r="P223" s="48">
        <f>IF(G223="","",IF(OR(G223="P1",G223="P2"),"Ya","Tidak"))</f>
        <v/>
      </c>
      <c r="Q223" s="46" t="n"/>
      <c r="R223" s="46" t="n"/>
      <c r="S223" s="48">
        <f>IF(OR(I223="",J223=""),"",ROUND((J223-I223)*1440,0))</f>
        <v/>
      </c>
      <c r="T223" s="48">
        <f>IF(OR(I223="",K223=""),"",ROUND((K223-I223)*24,1))</f>
        <v/>
      </c>
      <c r="U223" s="48">
        <f>IF(S223="","",IF(S223&lt;=INDEX('Target Severity'!$B$5:$B$8,MATCH(G223,'Target Severity'!$A$5:$A$8,0)),"Ya","Tidak"))</f>
        <v/>
      </c>
      <c r="V223" s="48">
        <f>IF(T223="","",IF(T223&lt;=INDEX('Target Severity'!$D$5:$D$8,MATCH(G223,'Target Severity'!$A$5:$A$8,0)),"Ya","Tidak"))</f>
        <v/>
      </c>
      <c r="W223" s="46" t="n"/>
    </row>
    <row r="224" ht="15" customHeight="1" s="28">
      <c r="A224" s="46" t="n"/>
      <c r="B224" s="46" t="n"/>
      <c r="C224" s="46" t="n"/>
      <c r="D224" s="46" t="n"/>
      <c r="E224" s="46" t="n"/>
      <c r="F224" s="46" t="n"/>
      <c r="G224" s="46" t="n"/>
      <c r="H224" s="46" t="n"/>
      <c r="I224" s="47" t="n"/>
      <c r="J224" s="47" t="n"/>
      <c r="K224" s="47" t="n"/>
      <c r="L224" s="47" t="n"/>
      <c r="M224" s="46" t="n"/>
      <c r="N224" s="46" t="n"/>
      <c r="O224" s="46" t="n"/>
      <c r="P224" s="48">
        <f>IF(G224="","",IF(OR(G224="P1",G224="P2"),"Ya","Tidak"))</f>
        <v/>
      </c>
      <c r="Q224" s="46" t="n"/>
      <c r="R224" s="46" t="n"/>
      <c r="S224" s="48">
        <f>IF(OR(I224="",J224=""),"",ROUND((J224-I224)*1440,0))</f>
        <v/>
      </c>
      <c r="T224" s="48">
        <f>IF(OR(I224="",K224=""),"",ROUND((K224-I224)*24,1))</f>
        <v/>
      </c>
      <c r="U224" s="48">
        <f>IF(S224="","",IF(S224&lt;=INDEX('Target Severity'!$B$5:$B$8,MATCH(G224,'Target Severity'!$A$5:$A$8,0)),"Ya","Tidak"))</f>
        <v/>
      </c>
      <c r="V224" s="48">
        <f>IF(T224="","",IF(T224&lt;=INDEX('Target Severity'!$D$5:$D$8,MATCH(G224,'Target Severity'!$A$5:$A$8,0)),"Ya","Tidak"))</f>
        <v/>
      </c>
      <c r="W224" s="46" t="n"/>
    </row>
    <row r="225" ht="15" customHeight="1" s="28">
      <c r="A225" s="46" t="n"/>
      <c r="B225" s="46" t="n"/>
      <c r="C225" s="46" t="n"/>
      <c r="D225" s="46" t="n"/>
      <c r="E225" s="46" t="n"/>
      <c r="F225" s="46" t="n"/>
      <c r="G225" s="46" t="n"/>
      <c r="H225" s="46" t="n"/>
      <c r="I225" s="47" t="n"/>
      <c r="J225" s="47" t="n"/>
      <c r="K225" s="47" t="n"/>
      <c r="L225" s="47" t="n"/>
      <c r="M225" s="46" t="n"/>
      <c r="N225" s="46" t="n"/>
      <c r="O225" s="46" t="n"/>
      <c r="P225" s="48">
        <f>IF(G225="","",IF(OR(G225="P1",G225="P2"),"Ya","Tidak"))</f>
        <v/>
      </c>
      <c r="Q225" s="46" t="n"/>
      <c r="R225" s="46" t="n"/>
      <c r="S225" s="48">
        <f>IF(OR(I225="",J225=""),"",ROUND((J225-I225)*1440,0))</f>
        <v/>
      </c>
      <c r="T225" s="48">
        <f>IF(OR(I225="",K225=""),"",ROUND((K225-I225)*24,1))</f>
        <v/>
      </c>
      <c r="U225" s="48">
        <f>IF(S225="","",IF(S225&lt;=INDEX('Target Severity'!$B$5:$B$8,MATCH(G225,'Target Severity'!$A$5:$A$8,0)),"Ya","Tidak"))</f>
        <v/>
      </c>
      <c r="V225" s="48">
        <f>IF(T225="","",IF(T225&lt;=INDEX('Target Severity'!$D$5:$D$8,MATCH(G225,'Target Severity'!$A$5:$A$8,0)),"Ya","Tidak"))</f>
        <v/>
      </c>
      <c r="W225" s="46" t="n"/>
    </row>
    <row r="226" ht="15" customHeight="1" s="28">
      <c r="A226" s="46" t="n"/>
      <c r="B226" s="46" t="n"/>
      <c r="C226" s="46" t="n"/>
      <c r="D226" s="46" t="n"/>
      <c r="E226" s="46" t="n"/>
      <c r="F226" s="46" t="n"/>
      <c r="G226" s="46" t="n"/>
      <c r="H226" s="46" t="n"/>
      <c r="I226" s="47" t="n"/>
      <c r="J226" s="47" t="n"/>
      <c r="K226" s="47" t="n"/>
      <c r="L226" s="47" t="n"/>
      <c r="M226" s="46" t="n"/>
      <c r="N226" s="46" t="n"/>
      <c r="O226" s="46" t="n"/>
      <c r="P226" s="48">
        <f>IF(G226="","",IF(OR(G226="P1",G226="P2"),"Ya","Tidak"))</f>
        <v/>
      </c>
      <c r="Q226" s="46" t="n"/>
      <c r="R226" s="46" t="n"/>
      <c r="S226" s="48">
        <f>IF(OR(I226="",J226=""),"",ROUND((J226-I226)*1440,0))</f>
        <v/>
      </c>
      <c r="T226" s="48">
        <f>IF(OR(I226="",K226=""),"",ROUND((K226-I226)*24,1))</f>
        <v/>
      </c>
      <c r="U226" s="48">
        <f>IF(S226="","",IF(S226&lt;=INDEX('Target Severity'!$B$5:$B$8,MATCH(G226,'Target Severity'!$A$5:$A$8,0)),"Ya","Tidak"))</f>
        <v/>
      </c>
      <c r="V226" s="48">
        <f>IF(T226="","",IF(T226&lt;=INDEX('Target Severity'!$D$5:$D$8,MATCH(G226,'Target Severity'!$A$5:$A$8,0)),"Ya","Tidak"))</f>
        <v/>
      </c>
      <c r="W226" s="46" t="n"/>
    </row>
    <row r="227" ht="15" customHeight="1" s="28">
      <c r="A227" s="46" t="n"/>
      <c r="B227" s="46" t="n"/>
      <c r="C227" s="46" t="n"/>
      <c r="D227" s="46" t="n"/>
      <c r="E227" s="46" t="n"/>
      <c r="F227" s="46" t="n"/>
      <c r="G227" s="46" t="n"/>
      <c r="H227" s="46" t="n"/>
      <c r="I227" s="47" t="n"/>
      <c r="J227" s="47" t="n"/>
      <c r="K227" s="47" t="n"/>
      <c r="L227" s="47" t="n"/>
      <c r="M227" s="46" t="n"/>
      <c r="N227" s="46" t="n"/>
      <c r="O227" s="46" t="n"/>
      <c r="P227" s="48">
        <f>IF(G227="","",IF(OR(G227="P1",G227="P2"),"Ya","Tidak"))</f>
        <v/>
      </c>
      <c r="Q227" s="46" t="n"/>
      <c r="R227" s="46" t="n"/>
      <c r="S227" s="48">
        <f>IF(OR(I227="",J227=""),"",ROUND((J227-I227)*1440,0))</f>
        <v/>
      </c>
      <c r="T227" s="48">
        <f>IF(OR(I227="",K227=""),"",ROUND((K227-I227)*24,1))</f>
        <v/>
      </c>
      <c r="U227" s="48">
        <f>IF(S227="","",IF(S227&lt;=INDEX('Target Severity'!$B$5:$B$8,MATCH(G227,'Target Severity'!$A$5:$A$8,0)),"Ya","Tidak"))</f>
        <v/>
      </c>
      <c r="V227" s="48">
        <f>IF(T227="","",IF(T227&lt;=INDEX('Target Severity'!$D$5:$D$8,MATCH(G227,'Target Severity'!$A$5:$A$8,0)),"Ya","Tidak"))</f>
        <v/>
      </c>
      <c r="W227" s="46" t="n"/>
    </row>
    <row r="228" ht="15" customHeight="1" s="28">
      <c r="A228" s="46" t="n"/>
      <c r="B228" s="46" t="n"/>
      <c r="C228" s="46" t="n"/>
      <c r="D228" s="46" t="n"/>
      <c r="E228" s="46" t="n"/>
      <c r="F228" s="46" t="n"/>
      <c r="G228" s="46" t="n"/>
      <c r="H228" s="46" t="n"/>
      <c r="I228" s="47" t="n"/>
      <c r="J228" s="47" t="n"/>
      <c r="K228" s="47" t="n"/>
      <c r="L228" s="47" t="n"/>
      <c r="M228" s="46" t="n"/>
      <c r="N228" s="46" t="n"/>
      <c r="O228" s="46" t="n"/>
      <c r="P228" s="48">
        <f>IF(G228="","",IF(OR(G228="P1",G228="P2"),"Ya","Tidak"))</f>
        <v/>
      </c>
      <c r="Q228" s="46" t="n"/>
      <c r="R228" s="46" t="n"/>
      <c r="S228" s="48">
        <f>IF(OR(I228="",J228=""),"",ROUND((J228-I228)*1440,0))</f>
        <v/>
      </c>
      <c r="T228" s="48">
        <f>IF(OR(I228="",K228=""),"",ROUND((K228-I228)*24,1))</f>
        <v/>
      </c>
      <c r="U228" s="48">
        <f>IF(S228="","",IF(S228&lt;=INDEX('Target Severity'!$B$5:$B$8,MATCH(G228,'Target Severity'!$A$5:$A$8,0)),"Ya","Tidak"))</f>
        <v/>
      </c>
      <c r="V228" s="48">
        <f>IF(T228="","",IF(T228&lt;=INDEX('Target Severity'!$D$5:$D$8,MATCH(G228,'Target Severity'!$A$5:$A$8,0)),"Ya","Tidak"))</f>
        <v/>
      </c>
      <c r="W228" s="46" t="n"/>
    </row>
    <row r="229" ht="15" customHeight="1" s="28">
      <c r="A229" s="46" t="n"/>
      <c r="B229" s="46" t="n"/>
      <c r="C229" s="46" t="n"/>
      <c r="D229" s="46" t="n"/>
      <c r="E229" s="46" t="n"/>
      <c r="F229" s="46" t="n"/>
      <c r="G229" s="46" t="n"/>
      <c r="H229" s="46" t="n"/>
      <c r="I229" s="47" t="n"/>
      <c r="J229" s="47" t="n"/>
      <c r="K229" s="47" t="n"/>
      <c r="L229" s="47" t="n"/>
      <c r="M229" s="46" t="n"/>
      <c r="N229" s="46" t="n"/>
      <c r="O229" s="46" t="n"/>
      <c r="P229" s="48">
        <f>IF(G229="","",IF(OR(G229="P1",G229="P2"),"Ya","Tidak"))</f>
        <v/>
      </c>
      <c r="Q229" s="46" t="n"/>
      <c r="R229" s="46" t="n"/>
      <c r="S229" s="48">
        <f>IF(OR(I229="",J229=""),"",ROUND((J229-I229)*1440,0))</f>
        <v/>
      </c>
      <c r="T229" s="48">
        <f>IF(OR(I229="",K229=""),"",ROUND((K229-I229)*24,1))</f>
        <v/>
      </c>
      <c r="U229" s="48">
        <f>IF(S229="","",IF(S229&lt;=INDEX('Target Severity'!$B$5:$B$8,MATCH(G229,'Target Severity'!$A$5:$A$8,0)),"Ya","Tidak"))</f>
        <v/>
      </c>
      <c r="V229" s="48">
        <f>IF(T229="","",IF(T229&lt;=INDEX('Target Severity'!$D$5:$D$8,MATCH(G229,'Target Severity'!$A$5:$A$8,0)),"Ya","Tidak"))</f>
        <v/>
      </c>
      <c r="W229" s="46" t="n"/>
    </row>
    <row r="230" ht="15" customHeight="1" s="28">
      <c r="A230" s="46" t="n"/>
      <c r="B230" s="46" t="n"/>
      <c r="C230" s="46" t="n"/>
      <c r="D230" s="46" t="n"/>
      <c r="E230" s="46" t="n"/>
      <c r="F230" s="46" t="n"/>
      <c r="G230" s="46" t="n"/>
      <c r="H230" s="46" t="n"/>
      <c r="I230" s="47" t="n"/>
      <c r="J230" s="47" t="n"/>
      <c r="K230" s="47" t="n"/>
      <c r="L230" s="47" t="n"/>
      <c r="M230" s="46" t="n"/>
      <c r="N230" s="46" t="n"/>
      <c r="O230" s="46" t="n"/>
      <c r="P230" s="48">
        <f>IF(G230="","",IF(OR(G230="P1",G230="P2"),"Ya","Tidak"))</f>
        <v/>
      </c>
      <c r="Q230" s="46" t="n"/>
      <c r="R230" s="46" t="n"/>
      <c r="S230" s="48">
        <f>IF(OR(I230="",J230=""),"",ROUND((J230-I230)*1440,0))</f>
        <v/>
      </c>
      <c r="T230" s="48">
        <f>IF(OR(I230="",K230=""),"",ROUND((K230-I230)*24,1))</f>
        <v/>
      </c>
      <c r="U230" s="48">
        <f>IF(S230="","",IF(S230&lt;=INDEX('Target Severity'!$B$5:$B$8,MATCH(G230,'Target Severity'!$A$5:$A$8,0)),"Ya","Tidak"))</f>
        <v/>
      </c>
      <c r="V230" s="48">
        <f>IF(T230="","",IF(T230&lt;=INDEX('Target Severity'!$D$5:$D$8,MATCH(G230,'Target Severity'!$A$5:$A$8,0)),"Ya","Tidak"))</f>
        <v/>
      </c>
      <c r="W230" s="46" t="n"/>
    </row>
    <row r="231" ht="15" customHeight="1" s="28">
      <c r="A231" s="46" t="n"/>
      <c r="B231" s="46" t="n"/>
      <c r="C231" s="46" t="n"/>
      <c r="D231" s="46" t="n"/>
      <c r="E231" s="46" t="n"/>
      <c r="F231" s="46" t="n"/>
      <c r="G231" s="46" t="n"/>
      <c r="H231" s="46" t="n"/>
      <c r="I231" s="47" t="n"/>
      <c r="J231" s="47" t="n"/>
      <c r="K231" s="47" t="n"/>
      <c r="L231" s="47" t="n"/>
      <c r="M231" s="46" t="n"/>
      <c r="N231" s="46" t="n"/>
      <c r="O231" s="46" t="n"/>
      <c r="P231" s="48">
        <f>IF(G231="","",IF(OR(G231="P1",G231="P2"),"Ya","Tidak"))</f>
        <v/>
      </c>
      <c r="Q231" s="46" t="n"/>
      <c r="R231" s="46" t="n"/>
      <c r="S231" s="48">
        <f>IF(OR(I231="",J231=""),"",ROUND((J231-I231)*1440,0))</f>
        <v/>
      </c>
      <c r="T231" s="48">
        <f>IF(OR(I231="",K231=""),"",ROUND((K231-I231)*24,1))</f>
        <v/>
      </c>
      <c r="U231" s="48">
        <f>IF(S231="","",IF(S231&lt;=INDEX('Target Severity'!$B$5:$B$8,MATCH(G231,'Target Severity'!$A$5:$A$8,0)),"Ya","Tidak"))</f>
        <v/>
      </c>
      <c r="V231" s="48">
        <f>IF(T231="","",IF(T231&lt;=INDEX('Target Severity'!$D$5:$D$8,MATCH(G231,'Target Severity'!$A$5:$A$8,0)),"Ya","Tidak"))</f>
        <v/>
      </c>
      <c r="W231" s="46" t="n"/>
    </row>
    <row r="232" ht="15" customHeight="1" s="28">
      <c r="A232" s="46" t="n"/>
      <c r="B232" s="46" t="n"/>
      <c r="C232" s="46" t="n"/>
      <c r="D232" s="46" t="n"/>
      <c r="E232" s="46" t="n"/>
      <c r="F232" s="46" t="n"/>
      <c r="G232" s="46" t="n"/>
      <c r="H232" s="46" t="n"/>
      <c r="I232" s="47" t="n"/>
      <c r="J232" s="47" t="n"/>
      <c r="K232" s="47" t="n"/>
      <c r="L232" s="47" t="n"/>
      <c r="M232" s="46" t="n"/>
      <c r="N232" s="46" t="n"/>
      <c r="O232" s="46" t="n"/>
      <c r="P232" s="48">
        <f>IF(G232="","",IF(OR(G232="P1",G232="P2"),"Ya","Tidak"))</f>
        <v/>
      </c>
      <c r="Q232" s="46" t="n"/>
      <c r="R232" s="46" t="n"/>
      <c r="S232" s="48">
        <f>IF(OR(I232="",J232=""),"",ROUND((J232-I232)*1440,0))</f>
        <v/>
      </c>
      <c r="T232" s="48">
        <f>IF(OR(I232="",K232=""),"",ROUND((K232-I232)*24,1))</f>
        <v/>
      </c>
      <c r="U232" s="48">
        <f>IF(S232="","",IF(S232&lt;=INDEX('Target Severity'!$B$5:$B$8,MATCH(G232,'Target Severity'!$A$5:$A$8,0)),"Ya","Tidak"))</f>
        <v/>
      </c>
      <c r="V232" s="48">
        <f>IF(T232="","",IF(T232&lt;=INDEX('Target Severity'!$D$5:$D$8,MATCH(G232,'Target Severity'!$A$5:$A$8,0)),"Ya","Tidak"))</f>
        <v/>
      </c>
      <c r="W232" s="46" t="n"/>
    </row>
    <row r="233" ht="15" customHeight="1" s="28">
      <c r="A233" s="46" t="n"/>
      <c r="B233" s="46" t="n"/>
      <c r="C233" s="46" t="n"/>
      <c r="D233" s="46" t="n"/>
      <c r="E233" s="46" t="n"/>
      <c r="F233" s="46" t="n"/>
      <c r="G233" s="46" t="n"/>
      <c r="H233" s="46" t="n"/>
      <c r="I233" s="47" t="n"/>
      <c r="J233" s="47" t="n"/>
      <c r="K233" s="47" t="n"/>
      <c r="L233" s="47" t="n"/>
      <c r="M233" s="46" t="n"/>
      <c r="N233" s="46" t="n"/>
      <c r="O233" s="46" t="n"/>
      <c r="P233" s="48">
        <f>IF(G233="","",IF(OR(G233="P1",G233="P2"),"Ya","Tidak"))</f>
        <v/>
      </c>
      <c r="Q233" s="46" t="n"/>
      <c r="R233" s="46" t="n"/>
      <c r="S233" s="48">
        <f>IF(OR(I233="",J233=""),"",ROUND((J233-I233)*1440,0))</f>
        <v/>
      </c>
      <c r="T233" s="48">
        <f>IF(OR(I233="",K233=""),"",ROUND((K233-I233)*24,1))</f>
        <v/>
      </c>
      <c r="U233" s="48">
        <f>IF(S233="","",IF(S233&lt;=INDEX('Target Severity'!$B$5:$B$8,MATCH(G233,'Target Severity'!$A$5:$A$8,0)),"Ya","Tidak"))</f>
        <v/>
      </c>
      <c r="V233" s="48">
        <f>IF(T233="","",IF(T233&lt;=INDEX('Target Severity'!$D$5:$D$8,MATCH(G233,'Target Severity'!$A$5:$A$8,0)),"Ya","Tidak"))</f>
        <v/>
      </c>
      <c r="W233" s="46" t="n"/>
    </row>
    <row r="234" ht="15" customHeight="1" s="28">
      <c r="A234" s="46" t="n"/>
      <c r="B234" s="46" t="n"/>
      <c r="C234" s="46" t="n"/>
      <c r="D234" s="46" t="n"/>
      <c r="E234" s="46" t="n"/>
      <c r="F234" s="46" t="n"/>
      <c r="G234" s="46" t="n"/>
      <c r="H234" s="46" t="n"/>
      <c r="I234" s="47" t="n"/>
      <c r="J234" s="47" t="n"/>
      <c r="K234" s="47" t="n"/>
      <c r="L234" s="47" t="n"/>
      <c r="M234" s="46" t="n"/>
      <c r="N234" s="46" t="n"/>
      <c r="O234" s="46" t="n"/>
      <c r="P234" s="48">
        <f>IF(G234="","",IF(OR(G234="P1",G234="P2"),"Ya","Tidak"))</f>
        <v/>
      </c>
      <c r="Q234" s="46" t="n"/>
      <c r="R234" s="46" t="n"/>
      <c r="S234" s="48">
        <f>IF(OR(I234="",J234=""),"",ROUND((J234-I234)*1440,0))</f>
        <v/>
      </c>
      <c r="T234" s="48">
        <f>IF(OR(I234="",K234=""),"",ROUND((K234-I234)*24,1))</f>
        <v/>
      </c>
      <c r="U234" s="48">
        <f>IF(S234="","",IF(S234&lt;=INDEX('Target Severity'!$B$5:$B$8,MATCH(G234,'Target Severity'!$A$5:$A$8,0)),"Ya","Tidak"))</f>
        <v/>
      </c>
      <c r="V234" s="48">
        <f>IF(T234="","",IF(T234&lt;=INDEX('Target Severity'!$D$5:$D$8,MATCH(G234,'Target Severity'!$A$5:$A$8,0)),"Ya","Tidak"))</f>
        <v/>
      </c>
      <c r="W234" s="46" t="n"/>
    </row>
    <row r="235" ht="15" customHeight="1" s="28">
      <c r="A235" s="46" t="n"/>
      <c r="B235" s="46" t="n"/>
      <c r="C235" s="46" t="n"/>
      <c r="D235" s="46" t="n"/>
      <c r="E235" s="46" t="n"/>
      <c r="F235" s="46" t="n"/>
      <c r="G235" s="46" t="n"/>
      <c r="H235" s="46" t="n"/>
      <c r="I235" s="47" t="n"/>
      <c r="J235" s="47" t="n"/>
      <c r="K235" s="47" t="n"/>
      <c r="L235" s="47" t="n"/>
      <c r="M235" s="46" t="n"/>
      <c r="N235" s="46" t="n"/>
      <c r="O235" s="46" t="n"/>
      <c r="P235" s="48">
        <f>IF(G235="","",IF(OR(G235="P1",G235="P2"),"Ya","Tidak"))</f>
        <v/>
      </c>
      <c r="Q235" s="46" t="n"/>
      <c r="R235" s="46" t="n"/>
      <c r="S235" s="48">
        <f>IF(OR(I235="",J235=""),"",ROUND((J235-I235)*1440,0))</f>
        <v/>
      </c>
      <c r="T235" s="48">
        <f>IF(OR(I235="",K235=""),"",ROUND((K235-I235)*24,1))</f>
        <v/>
      </c>
      <c r="U235" s="48">
        <f>IF(S235="","",IF(S235&lt;=INDEX('Target Severity'!$B$5:$B$8,MATCH(G235,'Target Severity'!$A$5:$A$8,0)),"Ya","Tidak"))</f>
        <v/>
      </c>
      <c r="V235" s="48">
        <f>IF(T235="","",IF(T235&lt;=INDEX('Target Severity'!$D$5:$D$8,MATCH(G235,'Target Severity'!$A$5:$A$8,0)),"Ya","Tidak"))</f>
        <v/>
      </c>
      <c r="W235" s="46" t="n"/>
    </row>
    <row r="236" ht="15" customHeight="1" s="28">
      <c r="A236" s="46" t="n"/>
      <c r="B236" s="46" t="n"/>
      <c r="C236" s="46" t="n"/>
      <c r="D236" s="46" t="n"/>
      <c r="E236" s="46" t="n"/>
      <c r="F236" s="46" t="n"/>
      <c r="G236" s="46" t="n"/>
      <c r="H236" s="46" t="n"/>
      <c r="I236" s="47" t="n"/>
      <c r="J236" s="47" t="n"/>
      <c r="K236" s="47" t="n"/>
      <c r="L236" s="47" t="n"/>
      <c r="M236" s="46" t="n"/>
      <c r="N236" s="46" t="n"/>
      <c r="O236" s="46" t="n"/>
      <c r="P236" s="48">
        <f>IF(G236="","",IF(OR(G236="P1",G236="P2"),"Ya","Tidak"))</f>
        <v/>
      </c>
      <c r="Q236" s="46" t="n"/>
      <c r="R236" s="46" t="n"/>
      <c r="S236" s="48">
        <f>IF(OR(I236="",J236=""),"",ROUND((J236-I236)*1440,0))</f>
        <v/>
      </c>
      <c r="T236" s="48">
        <f>IF(OR(I236="",K236=""),"",ROUND((K236-I236)*24,1))</f>
        <v/>
      </c>
      <c r="U236" s="48">
        <f>IF(S236="","",IF(S236&lt;=INDEX('Target Severity'!$B$5:$B$8,MATCH(G236,'Target Severity'!$A$5:$A$8,0)),"Ya","Tidak"))</f>
        <v/>
      </c>
      <c r="V236" s="48">
        <f>IF(T236="","",IF(T236&lt;=INDEX('Target Severity'!$D$5:$D$8,MATCH(G236,'Target Severity'!$A$5:$A$8,0)),"Ya","Tidak"))</f>
        <v/>
      </c>
      <c r="W236" s="46" t="n"/>
    </row>
    <row r="237" ht="15" customHeight="1" s="28">
      <c r="A237" s="46" t="n"/>
      <c r="B237" s="46" t="n"/>
      <c r="C237" s="46" t="n"/>
      <c r="D237" s="46" t="n"/>
      <c r="E237" s="46" t="n"/>
      <c r="F237" s="46" t="n"/>
      <c r="G237" s="46" t="n"/>
      <c r="H237" s="46" t="n"/>
      <c r="I237" s="47" t="n"/>
      <c r="J237" s="47" t="n"/>
      <c r="K237" s="47" t="n"/>
      <c r="L237" s="47" t="n"/>
      <c r="M237" s="46" t="n"/>
      <c r="N237" s="46" t="n"/>
      <c r="O237" s="46" t="n"/>
      <c r="P237" s="48">
        <f>IF(G237="","",IF(OR(G237="P1",G237="P2"),"Ya","Tidak"))</f>
        <v/>
      </c>
      <c r="Q237" s="46" t="n"/>
      <c r="R237" s="46" t="n"/>
      <c r="S237" s="48">
        <f>IF(OR(I237="",J237=""),"",ROUND((J237-I237)*1440,0))</f>
        <v/>
      </c>
      <c r="T237" s="48">
        <f>IF(OR(I237="",K237=""),"",ROUND((K237-I237)*24,1))</f>
        <v/>
      </c>
      <c r="U237" s="48">
        <f>IF(S237="","",IF(S237&lt;=INDEX('Target Severity'!$B$5:$B$8,MATCH(G237,'Target Severity'!$A$5:$A$8,0)),"Ya","Tidak"))</f>
        <v/>
      </c>
      <c r="V237" s="48">
        <f>IF(T237="","",IF(T237&lt;=INDEX('Target Severity'!$D$5:$D$8,MATCH(G237,'Target Severity'!$A$5:$A$8,0)),"Ya","Tidak"))</f>
        <v/>
      </c>
      <c r="W237" s="46" t="n"/>
    </row>
    <row r="238" ht="15" customHeight="1" s="28">
      <c r="A238" s="46" t="n"/>
      <c r="B238" s="46" t="n"/>
      <c r="C238" s="46" t="n"/>
      <c r="D238" s="46" t="n"/>
      <c r="E238" s="46" t="n"/>
      <c r="F238" s="46" t="n"/>
      <c r="G238" s="46" t="n"/>
      <c r="H238" s="46" t="n"/>
      <c r="I238" s="47" t="n"/>
      <c r="J238" s="47" t="n"/>
      <c r="K238" s="47" t="n"/>
      <c r="L238" s="47" t="n"/>
      <c r="M238" s="46" t="n"/>
      <c r="N238" s="46" t="n"/>
      <c r="O238" s="46" t="n"/>
      <c r="P238" s="48">
        <f>IF(G238="","",IF(OR(G238="P1",G238="P2"),"Ya","Tidak"))</f>
        <v/>
      </c>
      <c r="Q238" s="46" t="n"/>
      <c r="R238" s="46" t="n"/>
      <c r="S238" s="48">
        <f>IF(OR(I238="",J238=""),"",ROUND((J238-I238)*1440,0))</f>
        <v/>
      </c>
      <c r="T238" s="48">
        <f>IF(OR(I238="",K238=""),"",ROUND((K238-I238)*24,1))</f>
        <v/>
      </c>
      <c r="U238" s="48">
        <f>IF(S238="","",IF(S238&lt;=INDEX('Target Severity'!$B$5:$B$8,MATCH(G238,'Target Severity'!$A$5:$A$8,0)),"Ya","Tidak"))</f>
        <v/>
      </c>
      <c r="V238" s="48">
        <f>IF(T238="","",IF(T238&lt;=INDEX('Target Severity'!$D$5:$D$8,MATCH(G238,'Target Severity'!$A$5:$A$8,0)),"Ya","Tidak"))</f>
        <v/>
      </c>
      <c r="W238" s="46" t="n"/>
    </row>
    <row r="239" ht="15" customHeight="1" s="28">
      <c r="A239" s="46" t="n"/>
      <c r="B239" s="46" t="n"/>
      <c r="C239" s="46" t="n"/>
      <c r="D239" s="46" t="n"/>
      <c r="E239" s="46" t="n"/>
      <c r="F239" s="46" t="n"/>
      <c r="G239" s="46" t="n"/>
      <c r="H239" s="46" t="n"/>
      <c r="I239" s="47" t="n"/>
      <c r="J239" s="47" t="n"/>
      <c r="K239" s="47" t="n"/>
      <c r="L239" s="47" t="n"/>
      <c r="M239" s="46" t="n"/>
      <c r="N239" s="46" t="n"/>
      <c r="O239" s="46" t="n"/>
      <c r="P239" s="48">
        <f>IF(G239="","",IF(OR(G239="P1",G239="P2"),"Ya","Tidak"))</f>
        <v/>
      </c>
      <c r="Q239" s="46" t="n"/>
      <c r="R239" s="46" t="n"/>
      <c r="S239" s="48">
        <f>IF(OR(I239="",J239=""),"",ROUND((J239-I239)*1440,0))</f>
        <v/>
      </c>
      <c r="T239" s="48">
        <f>IF(OR(I239="",K239=""),"",ROUND((K239-I239)*24,1))</f>
        <v/>
      </c>
      <c r="U239" s="48">
        <f>IF(S239="","",IF(S239&lt;=INDEX('Target Severity'!$B$5:$B$8,MATCH(G239,'Target Severity'!$A$5:$A$8,0)),"Ya","Tidak"))</f>
        <v/>
      </c>
      <c r="V239" s="48">
        <f>IF(T239="","",IF(T239&lt;=INDEX('Target Severity'!$D$5:$D$8,MATCH(G239,'Target Severity'!$A$5:$A$8,0)),"Ya","Tidak"))</f>
        <v/>
      </c>
      <c r="W239" s="46" t="n"/>
    </row>
    <row r="240" ht="15" customHeight="1" s="28">
      <c r="A240" s="46" t="n"/>
      <c r="B240" s="46" t="n"/>
      <c r="C240" s="46" t="n"/>
      <c r="D240" s="46" t="n"/>
      <c r="E240" s="46" t="n"/>
      <c r="F240" s="46" t="n"/>
      <c r="G240" s="46" t="n"/>
      <c r="H240" s="46" t="n"/>
      <c r="I240" s="47" t="n"/>
      <c r="J240" s="47" t="n"/>
      <c r="K240" s="47" t="n"/>
      <c r="L240" s="47" t="n"/>
      <c r="M240" s="46" t="n"/>
      <c r="N240" s="46" t="n"/>
      <c r="O240" s="46" t="n"/>
      <c r="P240" s="48">
        <f>IF(G240="","",IF(OR(G240="P1",G240="P2"),"Ya","Tidak"))</f>
        <v/>
      </c>
      <c r="Q240" s="46" t="n"/>
      <c r="R240" s="46" t="n"/>
      <c r="S240" s="48">
        <f>IF(OR(I240="",J240=""),"",ROUND((J240-I240)*1440,0))</f>
        <v/>
      </c>
      <c r="T240" s="48">
        <f>IF(OR(I240="",K240=""),"",ROUND((K240-I240)*24,1))</f>
        <v/>
      </c>
      <c r="U240" s="48">
        <f>IF(S240="","",IF(S240&lt;=INDEX('Target Severity'!$B$5:$B$8,MATCH(G240,'Target Severity'!$A$5:$A$8,0)),"Ya","Tidak"))</f>
        <v/>
      </c>
      <c r="V240" s="48">
        <f>IF(T240="","",IF(T240&lt;=INDEX('Target Severity'!$D$5:$D$8,MATCH(G240,'Target Severity'!$A$5:$A$8,0)),"Ya","Tidak"))</f>
        <v/>
      </c>
      <c r="W240" s="46" t="n"/>
    </row>
    <row r="241" ht="15" customHeight="1" s="28">
      <c r="A241" s="46" t="n"/>
      <c r="B241" s="46" t="n"/>
      <c r="C241" s="46" t="n"/>
      <c r="D241" s="46" t="n"/>
      <c r="E241" s="46" t="n"/>
      <c r="F241" s="46" t="n"/>
      <c r="G241" s="46" t="n"/>
      <c r="H241" s="46" t="n"/>
      <c r="I241" s="47" t="n"/>
      <c r="J241" s="47" t="n"/>
      <c r="K241" s="47" t="n"/>
      <c r="L241" s="47" t="n"/>
      <c r="M241" s="46" t="n"/>
      <c r="N241" s="46" t="n"/>
      <c r="O241" s="46" t="n"/>
      <c r="P241" s="48">
        <f>IF(G241="","",IF(OR(G241="P1",G241="P2"),"Ya","Tidak"))</f>
        <v/>
      </c>
      <c r="Q241" s="46" t="n"/>
      <c r="R241" s="46" t="n"/>
      <c r="S241" s="48">
        <f>IF(OR(I241="",J241=""),"",ROUND((J241-I241)*1440,0))</f>
        <v/>
      </c>
      <c r="T241" s="48">
        <f>IF(OR(I241="",K241=""),"",ROUND((K241-I241)*24,1))</f>
        <v/>
      </c>
      <c r="U241" s="48">
        <f>IF(S241="","",IF(S241&lt;=INDEX('Target Severity'!$B$5:$B$8,MATCH(G241,'Target Severity'!$A$5:$A$8,0)),"Ya","Tidak"))</f>
        <v/>
      </c>
      <c r="V241" s="48">
        <f>IF(T241="","",IF(T241&lt;=INDEX('Target Severity'!$D$5:$D$8,MATCH(G241,'Target Severity'!$A$5:$A$8,0)),"Ya","Tidak"))</f>
        <v/>
      </c>
      <c r="W241" s="46" t="n"/>
    </row>
    <row r="242" ht="15" customHeight="1" s="28">
      <c r="A242" s="46" t="n"/>
      <c r="B242" s="46" t="n"/>
      <c r="C242" s="46" t="n"/>
      <c r="D242" s="46" t="n"/>
      <c r="E242" s="46" t="n"/>
      <c r="F242" s="46" t="n"/>
      <c r="G242" s="46" t="n"/>
      <c r="H242" s="46" t="n"/>
      <c r="I242" s="47" t="n"/>
      <c r="J242" s="47" t="n"/>
      <c r="K242" s="47" t="n"/>
      <c r="L242" s="47" t="n"/>
      <c r="M242" s="46" t="n"/>
      <c r="N242" s="46" t="n"/>
      <c r="O242" s="46" t="n"/>
      <c r="P242" s="48">
        <f>IF(G242="","",IF(OR(G242="P1",G242="P2"),"Ya","Tidak"))</f>
        <v/>
      </c>
      <c r="Q242" s="46" t="n"/>
      <c r="R242" s="46" t="n"/>
      <c r="S242" s="48">
        <f>IF(OR(I242="",J242=""),"",ROUND((J242-I242)*1440,0))</f>
        <v/>
      </c>
      <c r="T242" s="48">
        <f>IF(OR(I242="",K242=""),"",ROUND((K242-I242)*24,1))</f>
        <v/>
      </c>
      <c r="U242" s="48">
        <f>IF(S242="","",IF(S242&lt;=INDEX('Target Severity'!$B$5:$B$8,MATCH(G242,'Target Severity'!$A$5:$A$8,0)),"Ya","Tidak"))</f>
        <v/>
      </c>
      <c r="V242" s="48">
        <f>IF(T242="","",IF(T242&lt;=INDEX('Target Severity'!$D$5:$D$8,MATCH(G242,'Target Severity'!$A$5:$A$8,0)),"Ya","Tidak"))</f>
        <v/>
      </c>
      <c r="W242" s="46" t="n"/>
    </row>
    <row r="243" ht="15" customHeight="1" s="28">
      <c r="A243" s="46" t="n"/>
      <c r="B243" s="46" t="n"/>
      <c r="C243" s="46" t="n"/>
      <c r="D243" s="46" t="n"/>
      <c r="E243" s="46" t="n"/>
      <c r="F243" s="46" t="n"/>
      <c r="G243" s="46" t="n"/>
      <c r="H243" s="46" t="n"/>
      <c r="I243" s="47" t="n"/>
      <c r="J243" s="47" t="n"/>
      <c r="K243" s="47" t="n"/>
      <c r="L243" s="47" t="n"/>
      <c r="M243" s="46" t="n"/>
      <c r="N243" s="46" t="n"/>
      <c r="O243" s="46" t="n"/>
      <c r="P243" s="48">
        <f>IF(G243="","",IF(OR(G243="P1",G243="P2"),"Ya","Tidak"))</f>
        <v/>
      </c>
      <c r="Q243" s="46" t="n"/>
      <c r="R243" s="46" t="n"/>
      <c r="S243" s="48">
        <f>IF(OR(I243="",J243=""),"",ROUND((J243-I243)*1440,0))</f>
        <v/>
      </c>
      <c r="T243" s="48">
        <f>IF(OR(I243="",K243=""),"",ROUND((K243-I243)*24,1))</f>
        <v/>
      </c>
      <c r="U243" s="48">
        <f>IF(S243="","",IF(S243&lt;=INDEX('Target Severity'!$B$5:$B$8,MATCH(G243,'Target Severity'!$A$5:$A$8,0)),"Ya","Tidak"))</f>
        <v/>
      </c>
      <c r="V243" s="48">
        <f>IF(T243="","",IF(T243&lt;=INDEX('Target Severity'!$D$5:$D$8,MATCH(G243,'Target Severity'!$A$5:$A$8,0)),"Ya","Tidak"))</f>
        <v/>
      </c>
      <c r="W243" s="46" t="n"/>
    </row>
    <row r="244" ht="15" customHeight="1" s="28">
      <c r="A244" s="46" t="n"/>
      <c r="B244" s="46" t="n"/>
      <c r="C244" s="46" t="n"/>
      <c r="D244" s="46" t="n"/>
      <c r="E244" s="46" t="n"/>
      <c r="F244" s="46" t="n"/>
      <c r="G244" s="46" t="n"/>
      <c r="H244" s="46" t="n"/>
      <c r="I244" s="47" t="n"/>
      <c r="J244" s="47" t="n"/>
      <c r="K244" s="47" t="n"/>
      <c r="L244" s="47" t="n"/>
      <c r="M244" s="46" t="n"/>
      <c r="N244" s="46" t="n"/>
      <c r="O244" s="46" t="n"/>
      <c r="P244" s="48">
        <f>IF(G244="","",IF(OR(G244="P1",G244="P2"),"Ya","Tidak"))</f>
        <v/>
      </c>
      <c r="Q244" s="46" t="n"/>
      <c r="R244" s="46" t="n"/>
      <c r="S244" s="48">
        <f>IF(OR(I244="",J244=""),"",ROUND((J244-I244)*1440,0))</f>
        <v/>
      </c>
      <c r="T244" s="48">
        <f>IF(OR(I244="",K244=""),"",ROUND((K244-I244)*24,1))</f>
        <v/>
      </c>
      <c r="U244" s="48">
        <f>IF(S244="","",IF(S244&lt;=INDEX('Target Severity'!$B$5:$B$8,MATCH(G244,'Target Severity'!$A$5:$A$8,0)),"Ya","Tidak"))</f>
        <v/>
      </c>
      <c r="V244" s="48">
        <f>IF(T244="","",IF(T244&lt;=INDEX('Target Severity'!$D$5:$D$8,MATCH(G244,'Target Severity'!$A$5:$A$8,0)),"Ya","Tidak"))</f>
        <v/>
      </c>
      <c r="W244" s="46" t="n"/>
    </row>
    <row r="245" ht="15" customHeight="1" s="28">
      <c r="A245" s="46" t="n"/>
      <c r="B245" s="46" t="n"/>
      <c r="C245" s="46" t="n"/>
      <c r="D245" s="46" t="n"/>
      <c r="E245" s="46" t="n"/>
      <c r="F245" s="46" t="n"/>
      <c r="G245" s="46" t="n"/>
      <c r="H245" s="46" t="n"/>
      <c r="I245" s="47" t="n"/>
      <c r="J245" s="47" t="n"/>
      <c r="K245" s="47" t="n"/>
      <c r="L245" s="47" t="n"/>
      <c r="M245" s="46" t="n"/>
      <c r="N245" s="46" t="n"/>
      <c r="O245" s="46" t="n"/>
      <c r="P245" s="48">
        <f>IF(G245="","",IF(OR(G245="P1",G245="P2"),"Ya","Tidak"))</f>
        <v/>
      </c>
      <c r="Q245" s="46" t="n"/>
      <c r="R245" s="46" t="n"/>
      <c r="S245" s="48">
        <f>IF(OR(I245="",J245=""),"",ROUND((J245-I245)*1440,0))</f>
        <v/>
      </c>
      <c r="T245" s="48">
        <f>IF(OR(I245="",K245=""),"",ROUND((K245-I245)*24,1))</f>
        <v/>
      </c>
      <c r="U245" s="48">
        <f>IF(S245="","",IF(S245&lt;=INDEX('Target Severity'!$B$5:$B$8,MATCH(G245,'Target Severity'!$A$5:$A$8,0)),"Ya","Tidak"))</f>
        <v/>
      </c>
      <c r="V245" s="48">
        <f>IF(T245="","",IF(T245&lt;=INDEX('Target Severity'!$D$5:$D$8,MATCH(G245,'Target Severity'!$A$5:$A$8,0)),"Ya","Tidak"))</f>
        <v/>
      </c>
      <c r="W245" s="46" t="n"/>
    </row>
    <row r="246" ht="15" customHeight="1" s="28">
      <c r="A246" s="46" t="n"/>
      <c r="B246" s="46" t="n"/>
      <c r="C246" s="46" t="n"/>
      <c r="D246" s="46" t="n"/>
      <c r="E246" s="46" t="n"/>
      <c r="F246" s="46" t="n"/>
      <c r="G246" s="46" t="n"/>
      <c r="H246" s="46" t="n"/>
      <c r="I246" s="47" t="n"/>
      <c r="J246" s="47" t="n"/>
      <c r="K246" s="47" t="n"/>
      <c r="L246" s="47" t="n"/>
      <c r="M246" s="46" t="n"/>
      <c r="N246" s="46" t="n"/>
      <c r="O246" s="46" t="n"/>
      <c r="P246" s="48">
        <f>IF(G246="","",IF(OR(G246="P1",G246="P2"),"Ya","Tidak"))</f>
        <v/>
      </c>
      <c r="Q246" s="46" t="n"/>
      <c r="R246" s="46" t="n"/>
      <c r="S246" s="48">
        <f>IF(OR(I246="",J246=""),"",ROUND((J246-I246)*1440,0))</f>
        <v/>
      </c>
      <c r="T246" s="48">
        <f>IF(OR(I246="",K246=""),"",ROUND((K246-I246)*24,1))</f>
        <v/>
      </c>
      <c r="U246" s="48">
        <f>IF(S246="","",IF(S246&lt;=INDEX('Target Severity'!$B$5:$B$8,MATCH(G246,'Target Severity'!$A$5:$A$8,0)),"Ya","Tidak"))</f>
        <v/>
      </c>
      <c r="V246" s="48">
        <f>IF(T246="","",IF(T246&lt;=INDEX('Target Severity'!$D$5:$D$8,MATCH(G246,'Target Severity'!$A$5:$A$8,0)),"Ya","Tidak"))</f>
        <v/>
      </c>
      <c r="W246" s="46" t="n"/>
    </row>
    <row r="247" ht="15" customHeight="1" s="28">
      <c r="A247" s="46" t="n"/>
      <c r="B247" s="46" t="n"/>
      <c r="C247" s="46" t="n"/>
      <c r="D247" s="46" t="n"/>
      <c r="E247" s="46" t="n"/>
      <c r="F247" s="46" t="n"/>
      <c r="G247" s="46" t="n"/>
      <c r="H247" s="46" t="n"/>
      <c r="I247" s="47" t="n"/>
      <c r="J247" s="47" t="n"/>
      <c r="K247" s="47" t="n"/>
      <c r="L247" s="47" t="n"/>
      <c r="M247" s="46" t="n"/>
      <c r="N247" s="46" t="n"/>
      <c r="O247" s="46" t="n"/>
      <c r="P247" s="48">
        <f>IF(G247="","",IF(OR(G247="P1",G247="P2"),"Ya","Tidak"))</f>
        <v/>
      </c>
      <c r="Q247" s="46" t="n"/>
      <c r="R247" s="46" t="n"/>
      <c r="S247" s="48">
        <f>IF(OR(I247="",J247=""),"",ROUND((J247-I247)*1440,0))</f>
        <v/>
      </c>
      <c r="T247" s="48">
        <f>IF(OR(I247="",K247=""),"",ROUND((K247-I247)*24,1))</f>
        <v/>
      </c>
      <c r="U247" s="48">
        <f>IF(S247="","",IF(S247&lt;=INDEX('Target Severity'!$B$5:$B$8,MATCH(G247,'Target Severity'!$A$5:$A$8,0)),"Ya","Tidak"))</f>
        <v/>
      </c>
      <c r="V247" s="48">
        <f>IF(T247="","",IF(T247&lt;=INDEX('Target Severity'!$D$5:$D$8,MATCH(G247,'Target Severity'!$A$5:$A$8,0)),"Ya","Tidak"))</f>
        <v/>
      </c>
      <c r="W247" s="46" t="n"/>
    </row>
    <row r="248" ht="15" customHeight="1" s="28">
      <c r="A248" s="46" t="n"/>
      <c r="B248" s="46" t="n"/>
      <c r="C248" s="46" t="n"/>
      <c r="D248" s="46" t="n"/>
      <c r="E248" s="46" t="n"/>
      <c r="F248" s="46" t="n"/>
      <c r="G248" s="46" t="n"/>
      <c r="H248" s="46" t="n"/>
      <c r="I248" s="47" t="n"/>
      <c r="J248" s="47" t="n"/>
      <c r="K248" s="47" t="n"/>
      <c r="L248" s="47" t="n"/>
      <c r="M248" s="46" t="n"/>
      <c r="N248" s="46" t="n"/>
      <c r="O248" s="46" t="n"/>
      <c r="P248" s="48">
        <f>IF(G248="","",IF(OR(G248="P1",G248="P2"),"Ya","Tidak"))</f>
        <v/>
      </c>
      <c r="Q248" s="46" t="n"/>
      <c r="R248" s="46" t="n"/>
      <c r="S248" s="48">
        <f>IF(OR(I248="",J248=""),"",ROUND((J248-I248)*1440,0))</f>
        <v/>
      </c>
      <c r="T248" s="48">
        <f>IF(OR(I248="",K248=""),"",ROUND((K248-I248)*24,1))</f>
        <v/>
      </c>
      <c r="U248" s="48">
        <f>IF(S248="","",IF(S248&lt;=INDEX('Target Severity'!$B$5:$B$8,MATCH(G248,'Target Severity'!$A$5:$A$8,0)),"Ya","Tidak"))</f>
        <v/>
      </c>
      <c r="V248" s="48">
        <f>IF(T248="","",IF(T248&lt;=INDEX('Target Severity'!$D$5:$D$8,MATCH(G248,'Target Severity'!$A$5:$A$8,0)),"Ya","Tidak"))</f>
        <v/>
      </c>
      <c r="W248" s="46" t="n"/>
    </row>
    <row r="249" ht="15" customHeight="1" s="28">
      <c r="A249" s="46" t="n"/>
      <c r="B249" s="46" t="n"/>
      <c r="C249" s="46" t="n"/>
      <c r="D249" s="46" t="n"/>
      <c r="E249" s="46" t="n"/>
      <c r="F249" s="46" t="n"/>
      <c r="G249" s="46" t="n"/>
      <c r="H249" s="46" t="n"/>
      <c r="I249" s="47" t="n"/>
      <c r="J249" s="47" t="n"/>
      <c r="K249" s="47" t="n"/>
      <c r="L249" s="47" t="n"/>
      <c r="M249" s="46" t="n"/>
      <c r="N249" s="46" t="n"/>
      <c r="O249" s="46" t="n"/>
      <c r="P249" s="48">
        <f>IF(G249="","",IF(OR(G249="P1",G249="P2"),"Ya","Tidak"))</f>
        <v/>
      </c>
      <c r="Q249" s="46" t="n"/>
      <c r="R249" s="46" t="n"/>
      <c r="S249" s="48">
        <f>IF(OR(I249="",J249=""),"",ROUND((J249-I249)*1440,0))</f>
        <v/>
      </c>
      <c r="T249" s="48">
        <f>IF(OR(I249="",K249=""),"",ROUND((K249-I249)*24,1))</f>
        <v/>
      </c>
      <c r="U249" s="48">
        <f>IF(S249="","",IF(S249&lt;=INDEX('Target Severity'!$B$5:$B$8,MATCH(G249,'Target Severity'!$A$5:$A$8,0)),"Ya","Tidak"))</f>
        <v/>
      </c>
      <c r="V249" s="48">
        <f>IF(T249="","",IF(T249&lt;=INDEX('Target Severity'!$D$5:$D$8,MATCH(G249,'Target Severity'!$A$5:$A$8,0)),"Ya","Tidak"))</f>
        <v/>
      </c>
      <c r="W249" s="46" t="n"/>
    </row>
    <row r="250" ht="15" customHeight="1" s="28">
      <c r="A250" s="46" t="n"/>
      <c r="B250" s="46" t="n"/>
      <c r="C250" s="46" t="n"/>
      <c r="D250" s="46" t="n"/>
      <c r="E250" s="46" t="n"/>
      <c r="F250" s="46" t="n"/>
      <c r="G250" s="46" t="n"/>
      <c r="H250" s="46" t="n"/>
      <c r="I250" s="47" t="n"/>
      <c r="J250" s="47" t="n"/>
      <c r="K250" s="47" t="n"/>
      <c r="L250" s="47" t="n"/>
      <c r="M250" s="46" t="n"/>
      <c r="N250" s="46" t="n"/>
      <c r="O250" s="46" t="n"/>
      <c r="P250" s="48">
        <f>IF(G250="","",IF(OR(G250="P1",G250="P2"),"Ya","Tidak"))</f>
        <v/>
      </c>
      <c r="Q250" s="46" t="n"/>
      <c r="R250" s="46" t="n"/>
      <c r="S250" s="48">
        <f>IF(OR(I250="",J250=""),"",ROUND((J250-I250)*1440,0))</f>
        <v/>
      </c>
      <c r="T250" s="48">
        <f>IF(OR(I250="",K250=""),"",ROUND((K250-I250)*24,1))</f>
        <v/>
      </c>
      <c r="U250" s="48">
        <f>IF(S250="","",IF(S250&lt;=INDEX('Target Severity'!$B$5:$B$8,MATCH(G250,'Target Severity'!$A$5:$A$8,0)),"Ya","Tidak"))</f>
        <v/>
      </c>
      <c r="V250" s="48">
        <f>IF(T250="","",IF(T250&lt;=INDEX('Target Severity'!$D$5:$D$8,MATCH(G250,'Target Severity'!$A$5:$A$8,0)),"Ya","Tidak"))</f>
        <v/>
      </c>
      <c r="W250" s="46" t="n"/>
    </row>
    <row r="251" ht="15" customHeight="1" s="28">
      <c r="A251" s="46" t="n"/>
      <c r="B251" s="46" t="n"/>
      <c r="C251" s="46" t="n"/>
      <c r="D251" s="46" t="n"/>
      <c r="E251" s="46" t="n"/>
      <c r="F251" s="46" t="n"/>
      <c r="G251" s="46" t="n"/>
      <c r="H251" s="46" t="n"/>
      <c r="I251" s="47" t="n"/>
      <c r="J251" s="47" t="n"/>
      <c r="K251" s="47" t="n"/>
      <c r="L251" s="47" t="n"/>
      <c r="M251" s="46" t="n"/>
      <c r="N251" s="46" t="n"/>
      <c r="O251" s="46" t="n"/>
      <c r="P251" s="48">
        <f>IF(G251="","",IF(OR(G251="P1",G251="P2"),"Ya","Tidak"))</f>
        <v/>
      </c>
      <c r="Q251" s="46" t="n"/>
      <c r="R251" s="46" t="n"/>
      <c r="S251" s="48">
        <f>IF(OR(I251="",J251=""),"",ROUND((J251-I251)*1440,0))</f>
        <v/>
      </c>
      <c r="T251" s="48">
        <f>IF(OR(I251="",K251=""),"",ROUND((K251-I251)*24,1))</f>
        <v/>
      </c>
      <c r="U251" s="48">
        <f>IF(S251="","",IF(S251&lt;=INDEX('Target Severity'!$B$5:$B$8,MATCH(G251,'Target Severity'!$A$5:$A$8,0)),"Ya","Tidak"))</f>
        <v/>
      </c>
      <c r="V251" s="48">
        <f>IF(T251="","",IF(T251&lt;=INDEX('Target Severity'!$D$5:$D$8,MATCH(G251,'Target Severity'!$A$5:$A$8,0)),"Ya","Tidak"))</f>
        <v/>
      </c>
      <c r="W251" s="46" t="n"/>
    </row>
    <row r="252" ht="15" customHeight="1" s="28">
      <c r="A252" s="46" t="n"/>
      <c r="B252" s="46" t="n"/>
      <c r="C252" s="46" t="n"/>
      <c r="D252" s="46" t="n"/>
      <c r="E252" s="46" t="n"/>
      <c r="F252" s="46" t="n"/>
      <c r="G252" s="46" t="n"/>
      <c r="H252" s="46" t="n"/>
      <c r="I252" s="47" t="n"/>
      <c r="J252" s="47" t="n"/>
      <c r="K252" s="47" t="n"/>
      <c r="L252" s="47" t="n"/>
      <c r="M252" s="46" t="n"/>
      <c r="N252" s="46" t="n"/>
      <c r="O252" s="46" t="n"/>
      <c r="P252" s="48">
        <f>IF(G252="","",IF(OR(G252="P1",G252="P2"),"Ya","Tidak"))</f>
        <v/>
      </c>
      <c r="Q252" s="46" t="n"/>
      <c r="R252" s="46" t="n"/>
      <c r="S252" s="48">
        <f>IF(OR(I252="",J252=""),"",ROUND((J252-I252)*1440,0))</f>
        <v/>
      </c>
      <c r="T252" s="48">
        <f>IF(OR(I252="",K252=""),"",ROUND((K252-I252)*24,1))</f>
        <v/>
      </c>
      <c r="U252" s="48">
        <f>IF(S252="","",IF(S252&lt;=INDEX('Target Severity'!$B$5:$B$8,MATCH(G252,'Target Severity'!$A$5:$A$8,0)),"Ya","Tidak"))</f>
        <v/>
      </c>
      <c r="V252" s="48">
        <f>IF(T252="","",IF(T252&lt;=INDEX('Target Severity'!$D$5:$D$8,MATCH(G252,'Target Severity'!$A$5:$A$8,0)),"Ya","Tidak"))</f>
        <v/>
      </c>
      <c r="W252" s="46" t="n"/>
    </row>
    <row r="253" ht="15" customHeight="1" s="28">
      <c r="A253" s="46" t="n"/>
      <c r="B253" s="46" t="n"/>
      <c r="C253" s="46" t="n"/>
      <c r="D253" s="46" t="n"/>
      <c r="E253" s="46" t="n"/>
      <c r="F253" s="46" t="n"/>
      <c r="G253" s="46" t="n"/>
      <c r="H253" s="46" t="n"/>
      <c r="I253" s="47" t="n"/>
      <c r="J253" s="47" t="n"/>
      <c r="K253" s="47" t="n"/>
      <c r="L253" s="47" t="n"/>
      <c r="M253" s="46" t="n"/>
      <c r="N253" s="46" t="n"/>
      <c r="O253" s="46" t="n"/>
      <c r="P253" s="48">
        <f>IF(G253="","",IF(OR(G253="P1",G253="P2"),"Ya","Tidak"))</f>
        <v/>
      </c>
      <c r="Q253" s="46" t="n"/>
      <c r="R253" s="46" t="n"/>
      <c r="S253" s="48">
        <f>IF(OR(I253="",J253=""),"",ROUND((J253-I253)*1440,0))</f>
        <v/>
      </c>
      <c r="T253" s="48">
        <f>IF(OR(I253="",K253=""),"",ROUND((K253-I253)*24,1))</f>
        <v/>
      </c>
      <c r="U253" s="48">
        <f>IF(S253="","",IF(S253&lt;=INDEX('Target Severity'!$B$5:$B$8,MATCH(G253,'Target Severity'!$A$5:$A$8,0)),"Ya","Tidak"))</f>
        <v/>
      </c>
      <c r="V253" s="48">
        <f>IF(T253="","",IF(T253&lt;=INDEX('Target Severity'!$D$5:$D$8,MATCH(G253,'Target Severity'!$A$5:$A$8,0)),"Ya","Tidak"))</f>
        <v/>
      </c>
      <c r="W253" s="46" t="n"/>
    </row>
    <row r="254" ht="15" customHeight="1" s="28">
      <c r="A254" s="46" t="n"/>
      <c r="B254" s="46" t="n"/>
      <c r="C254" s="46" t="n"/>
      <c r="D254" s="46" t="n"/>
      <c r="E254" s="46" t="n"/>
      <c r="F254" s="46" t="n"/>
      <c r="G254" s="46" t="n"/>
      <c r="H254" s="46" t="n"/>
      <c r="I254" s="47" t="n"/>
      <c r="J254" s="47" t="n"/>
      <c r="K254" s="47" t="n"/>
      <c r="L254" s="47" t="n"/>
      <c r="M254" s="46" t="n"/>
      <c r="N254" s="46" t="n"/>
      <c r="O254" s="46" t="n"/>
      <c r="P254" s="48">
        <f>IF(G254="","",IF(OR(G254="P1",G254="P2"),"Ya","Tidak"))</f>
        <v/>
      </c>
      <c r="Q254" s="46" t="n"/>
      <c r="R254" s="46" t="n"/>
      <c r="S254" s="48">
        <f>IF(OR(I254="",J254=""),"",ROUND((J254-I254)*1440,0))</f>
        <v/>
      </c>
      <c r="T254" s="48">
        <f>IF(OR(I254="",K254=""),"",ROUND((K254-I254)*24,1))</f>
        <v/>
      </c>
      <c r="U254" s="48">
        <f>IF(S254="","",IF(S254&lt;=INDEX('Target Severity'!$B$5:$B$8,MATCH(G254,'Target Severity'!$A$5:$A$8,0)),"Ya","Tidak"))</f>
        <v/>
      </c>
      <c r="V254" s="48">
        <f>IF(T254="","",IF(T254&lt;=INDEX('Target Severity'!$D$5:$D$8,MATCH(G254,'Target Severity'!$A$5:$A$8,0)),"Ya","Tidak"))</f>
        <v/>
      </c>
      <c r="W254" s="46" t="n"/>
    </row>
    <row r="255" ht="15" customHeight="1" s="28">
      <c r="A255" s="46" t="n"/>
      <c r="B255" s="46" t="n"/>
      <c r="C255" s="46" t="n"/>
      <c r="D255" s="46" t="n"/>
      <c r="E255" s="46" t="n"/>
      <c r="F255" s="46" t="n"/>
      <c r="G255" s="46" t="n"/>
      <c r="H255" s="46" t="n"/>
      <c r="I255" s="47" t="n"/>
      <c r="J255" s="47" t="n"/>
      <c r="K255" s="47" t="n"/>
      <c r="L255" s="47" t="n"/>
      <c r="M255" s="46" t="n"/>
      <c r="N255" s="46" t="n"/>
      <c r="O255" s="46" t="n"/>
      <c r="P255" s="48">
        <f>IF(G255="","",IF(OR(G255="P1",G255="P2"),"Ya","Tidak"))</f>
        <v/>
      </c>
      <c r="Q255" s="46" t="n"/>
      <c r="R255" s="46" t="n"/>
      <c r="S255" s="48">
        <f>IF(OR(I255="",J255=""),"",ROUND((J255-I255)*1440,0))</f>
        <v/>
      </c>
      <c r="T255" s="48">
        <f>IF(OR(I255="",K255=""),"",ROUND((K255-I255)*24,1))</f>
        <v/>
      </c>
      <c r="U255" s="48">
        <f>IF(S255="","",IF(S255&lt;=INDEX('Target Severity'!$B$5:$B$8,MATCH(G255,'Target Severity'!$A$5:$A$8,0)),"Ya","Tidak"))</f>
        <v/>
      </c>
      <c r="V255" s="48">
        <f>IF(T255="","",IF(T255&lt;=INDEX('Target Severity'!$D$5:$D$8,MATCH(G255,'Target Severity'!$A$5:$A$8,0)),"Ya","Tidak"))</f>
        <v/>
      </c>
      <c r="W255" s="46" t="n"/>
    </row>
    <row r="256" ht="15" customHeight="1" s="28">
      <c r="A256" s="46" t="n"/>
      <c r="B256" s="46" t="n"/>
      <c r="C256" s="46" t="n"/>
      <c r="D256" s="46" t="n"/>
      <c r="E256" s="46" t="n"/>
      <c r="F256" s="46" t="n"/>
      <c r="G256" s="46" t="n"/>
      <c r="H256" s="46" t="n"/>
      <c r="I256" s="47" t="n"/>
      <c r="J256" s="47" t="n"/>
      <c r="K256" s="47" t="n"/>
      <c r="L256" s="47" t="n"/>
      <c r="M256" s="46" t="n"/>
      <c r="N256" s="46" t="n"/>
      <c r="O256" s="46" t="n"/>
      <c r="P256" s="48">
        <f>IF(G256="","",IF(OR(G256="P1",G256="P2"),"Ya","Tidak"))</f>
        <v/>
      </c>
      <c r="Q256" s="46" t="n"/>
      <c r="R256" s="46" t="n"/>
      <c r="S256" s="48">
        <f>IF(OR(I256="",J256=""),"",ROUND((J256-I256)*1440,0))</f>
        <v/>
      </c>
      <c r="T256" s="48">
        <f>IF(OR(I256="",K256=""),"",ROUND((K256-I256)*24,1))</f>
        <v/>
      </c>
      <c r="U256" s="48">
        <f>IF(S256="","",IF(S256&lt;=INDEX('Target Severity'!$B$5:$B$8,MATCH(G256,'Target Severity'!$A$5:$A$8,0)),"Ya","Tidak"))</f>
        <v/>
      </c>
      <c r="V256" s="48">
        <f>IF(T256="","",IF(T256&lt;=INDEX('Target Severity'!$D$5:$D$8,MATCH(G256,'Target Severity'!$A$5:$A$8,0)),"Ya","Tidak"))</f>
        <v/>
      </c>
      <c r="W256" s="46" t="n"/>
    </row>
    <row r="257" ht="15" customHeight="1" s="28">
      <c r="A257" s="46" t="n"/>
      <c r="B257" s="46" t="n"/>
      <c r="C257" s="46" t="n"/>
      <c r="D257" s="46" t="n"/>
      <c r="E257" s="46" t="n"/>
      <c r="F257" s="46" t="n"/>
      <c r="G257" s="46" t="n"/>
      <c r="H257" s="46" t="n"/>
      <c r="I257" s="47" t="n"/>
      <c r="J257" s="47" t="n"/>
      <c r="K257" s="47" t="n"/>
      <c r="L257" s="47" t="n"/>
      <c r="M257" s="46" t="n"/>
      <c r="N257" s="46" t="n"/>
      <c r="O257" s="46" t="n"/>
      <c r="P257" s="48">
        <f>IF(G257="","",IF(OR(G257="P1",G257="P2"),"Ya","Tidak"))</f>
        <v/>
      </c>
      <c r="Q257" s="46" t="n"/>
      <c r="R257" s="46" t="n"/>
      <c r="S257" s="48">
        <f>IF(OR(I257="",J257=""),"",ROUND((J257-I257)*1440,0))</f>
        <v/>
      </c>
      <c r="T257" s="48">
        <f>IF(OR(I257="",K257=""),"",ROUND((K257-I257)*24,1))</f>
        <v/>
      </c>
      <c r="U257" s="48">
        <f>IF(S257="","",IF(S257&lt;=INDEX('Target Severity'!$B$5:$B$8,MATCH(G257,'Target Severity'!$A$5:$A$8,0)),"Ya","Tidak"))</f>
        <v/>
      </c>
      <c r="V257" s="48">
        <f>IF(T257="","",IF(T257&lt;=INDEX('Target Severity'!$D$5:$D$8,MATCH(G257,'Target Severity'!$A$5:$A$8,0)),"Ya","Tidak"))</f>
        <v/>
      </c>
      <c r="W257" s="46" t="n"/>
    </row>
    <row r="258" ht="15" customHeight="1" s="28">
      <c r="A258" s="46" t="n"/>
      <c r="B258" s="46" t="n"/>
      <c r="C258" s="46" t="n"/>
      <c r="D258" s="46" t="n"/>
      <c r="E258" s="46" t="n"/>
      <c r="F258" s="46" t="n"/>
      <c r="G258" s="46" t="n"/>
      <c r="H258" s="46" t="n"/>
      <c r="I258" s="47" t="n"/>
      <c r="J258" s="47" t="n"/>
      <c r="K258" s="47" t="n"/>
      <c r="L258" s="47" t="n"/>
      <c r="M258" s="46" t="n"/>
      <c r="N258" s="46" t="n"/>
      <c r="O258" s="46" t="n"/>
      <c r="P258" s="48">
        <f>IF(G258="","",IF(OR(G258="P1",G258="P2"),"Ya","Tidak"))</f>
        <v/>
      </c>
      <c r="Q258" s="46" t="n"/>
      <c r="R258" s="46" t="n"/>
      <c r="S258" s="48">
        <f>IF(OR(I258="",J258=""),"",ROUND((J258-I258)*1440,0))</f>
        <v/>
      </c>
      <c r="T258" s="48">
        <f>IF(OR(I258="",K258=""),"",ROUND((K258-I258)*24,1))</f>
        <v/>
      </c>
      <c r="U258" s="48">
        <f>IF(S258="","",IF(S258&lt;=INDEX('Target Severity'!$B$5:$B$8,MATCH(G258,'Target Severity'!$A$5:$A$8,0)),"Ya","Tidak"))</f>
        <v/>
      </c>
      <c r="V258" s="48">
        <f>IF(T258="","",IF(T258&lt;=INDEX('Target Severity'!$D$5:$D$8,MATCH(G258,'Target Severity'!$A$5:$A$8,0)),"Ya","Tidak"))</f>
        <v/>
      </c>
      <c r="W258" s="46" t="n"/>
    </row>
    <row r="259" ht="15" customHeight="1" s="28">
      <c r="A259" s="46" t="n"/>
      <c r="B259" s="46" t="n"/>
      <c r="C259" s="46" t="n"/>
      <c r="D259" s="46" t="n"/>
      <c r="E259" s="46" t="n"/>
      <c r="F259" s="46" t="n"/>
      <c r="G259" s="46" t="n"/>
      <c r="H259" s="46" t="n"/>
      <c r="I259" s="47" t="n"/>
      <c r="J259" s="47" t="n"/>
      <c r="K259" s="47" t="n"/>
      <c r="L259" s="47" t="n"/>
      <c r="M259" s="46" t="n"/>
      <c r="N259" s="46" t="n"/>
      <c r="O259" s="46" t="n"/>
      <c r="P259" s="48">
        <f>IF(G259="","",IF(OR(G259="P1",G259="P2"),"Ya","Tidak"))</f>
        <v/>
      </c>
      <c r="Q259" s="46" t="n"/>
      <c r="R259" s="46" t="n"/>
      <c r="S259" s="48">
        <f>IF(OR(I259="",J259=""),"",ROUND((J259-I259)*1440,0))</f>
        <v/>
      </c>
      <c r="T259" s="48">
        <f>IF(OR(I259="",K259=""),"",ROUND((K259-I259)*24,1))</f>
        <v/>
      </c>
      <c r="U259" s="48">
        <f>IF(S259="","",IF(S259&lt;=INDEX('Target Severity'!$B$5:$B$8,MATCH(G259,'Target Severity'!$A$5:$A$8,0)),"Ya","Tidak"))</f>
        <v/>
      </c>
      <c r="V259" s="48">
        <f>IF(T259="","",IF(T259&lt;=INDEX('Target Severity'!$D$5:$D$8,MATCH(G259,'Target Severity'!$A$5:$A$8,0)),"Ya","Tidak"))</f>
        <v/>
      </c>
      <c r="W259" s="46" t="n"/>
    </row>
    <row r="260" ht="15" customHeight="1" s="28">
      <c r="A260" s="46" t="n"/>
      <c r="B260" s="46" t="n"/>
      <c r="C260" s="46" t="n"/>
      <c r="D260" s="46" t="n"/>
      <c r="E260" s="46" t="n"/>
      <c r="F260" s="46" t="n"/>
      <c r="G260" s="46" t="n"/>
      <c r="H260" s="46" t="n"/>
      <c r="I260" s="47" t="n"/>
      <c r="J260" s="47" t="n"/>
      <c r="K260" s="47" t="n"/>
      <c r="L260" s="47" t="n"/>
      <c r="M260" s="46" t="n"/>
      <c r="N260" s="46" t="n"/>
      <c r="O260" s="46" t="n"/>
      <c r="P260" s="48">
        <f>IF(G260="","",IF(OR(G260="P1",G260="P2"),"Ya","Tidak"))</f>
        <v/>
      </c>
      <c r="Q260" s="46" t="n"/>
      <c r="R260" s="46" t="n"/>
      <c r="S260" s="48">
        <f>IF(OR(I260="",J260=""),"",ROUND((J260-I260)*1440,0))</f>
        <v/>
      </c>
      <c r="T260" s="48">
        <f>IF(OR(I260="",K260=""),"",ROUND((K260-I260)*24,1))</f>
        <v/>
      </c>
      <c r="U260" s="48">
        <f>IF(S260="","",IF(S260&lt;=INDEX('Target Severity'!$B$5:$B$8,MATCH(G260,'Target Severity'!$A$5:$A$8,0)),"Ya","Tidak"))</f>
        <v/>
      </c>
      <c r="V260" s="48">
        <f>IF(T260="","",IF(T260&lt;=INDEX('Target Severity'!$D$5:$D$8,MATCH(G260,'Target Severity'!$A$5:$A$8,0)),"Ya","Tidak"))</f>
        <v/>
      </c>
      <c r="W260" s="46" t="n"/>
    </row>
    <row r="261" ht="15" customHeight="1" s="28">
      <c r="A261" s="46" t="n"/>
      <c r="B261" s="46" t="n"/>
      <c r="C261" s="46" t="n"/>
      <c r="D261" s="46" t="n"/>
      <c r="E261" s="46" t="n"/>
      <c r="F261" s="46" t="n"/>
      <c r="G261" s="46" t="n"/>
      <c r="H261" s="46" t="n"/>
      <c r="I261" s="47" t="n"/>
      <c r="J261" s="47" t="n"/>
      <c r="K261" s="47" t="n"/>
      <c r="L261" s="47" t="n"/>
      <c r="M261" s="46" t="n"/>
      <c r="N261" s="46" t="n"/>
      <c r="O261" s="46" t="n"/>
      <c r="P261" s="48">
        <f>IF(G261="","",IF(OR(G261="P1",G261="P2"),"Ya","Tidak"))</f>
        <v/>
      </c>
      <c r="Q261" s="46" t="n"/>
      <c r="R261" s="46" t="n"/>
      <c r="S261" s="48">
        <f>IF(OR(I261="",J261=""),"",ROUND((J261-I261)*1440,0))</f>
        <v/>
      </c>
      <c r="T261" s="48">
        <f>IF(OR(I261="",K261=""),"",ROUND((K261-I261)*24,1))</f>
        <v/>
      </c>
      <c r="U261" s="48">
        <f>IF(S261="","",IF(S261&lt;=INDEX('Target Severity'!$B$5:$B$8,MATCH(G261,'Target Severity'!$A$5:$A$8,0)),"Ya","Tidak"))</f>
        <v/>
      </c>
      <c r="V261" s="48">
        <f>IF(T261="","",IF(T261&lt;=INDEX('Target Severity'!$D$5:$D$8,MATCH(G261,'Target Severity'!$A$5:$A$8,0)),"Ya","Tidak"))</f>
        <v/>
      </c>
      <c r="W261" s="46" t="n"/>
    </row>
    <row r="262" ht="15" customHeight="1" s="28">
      <c r="A262" s="46" t="n"/>
      <c r="B262" s="46" t="n"/>
      <c r="C262" s="46" t="n"/>
      <c r="D262" s="46" t="n"/>
      <c r="E262" s="46" t="n"/>
      <c r="F262" s="46" t="n"/>
      <c r="G262" s="46" t="n"/>
      <c r="H262" s="46" t="n"/>
      <c r="I262" s="47" t="n"/>
      <c r="J262" s="47" t="n"/>
      <c r="K262" s="47" t="n"/>
      <c r="L262" s="47" t="n"/>
      <c r="M262" s="46" t="n"/>
      <c r="N262" s="46" t="n"/>
      <c r="O262" s="46" t="n"/>
      <c r="P262" s="48">
        <f>IF(G262="","",IF(OR(G262="P1",G262="P2"),"Ya","Tidak"))</f>
        <v/>
      </c>
      <c r="Q262" s="46" t="n"/>
      <c r="R262" s="46" t="n"/>
      <c r="S262" s="48">
        <f>IF(OR(I262="",J262=""),"",ROUND((J262-I262)*1440,0))</f>
        <v/>
      </c>
      <c r="T262" s="48">
        <f>IF(OR(I262="",K262=""),"",ROUND((K262-I262)*24,1))</f>
        <v/>
      </c>
      <c r="U262" s="48">
        <f>IF(S262="","",IF(S262&lt;=INDEX('Target Severity'!$B$5:$B$8,MATCH(G262,'Target Severity'!$A$5:$A$8,0)),"Ya","Tidak"))</f>
        <v/>
      </c>
      <c r="V262" s="48">
        <f>IF(T262="","",IF(T262&lt;=INDEX('Target Severity'!$D$5:$D$8,MATCH(G262,'Target Severity'!$A$5:$A$8,0)),"Ya","Tidak"))</f>
        <v/>
      </c>
      <c r="W262" s="46" t="n"/>
    </row>
    <row r="263" ht="15" customHeight="1" s="28">
      <c r="A263" s="46" t="n"/>
      <c r="B263" s="46" t="n"/>
      <c r="C263" s="46" t="n"/>
      <c r="D263" s="46" t="n"/>
      <c r="E263" s="46" t="n"/>
      <c r="F263" s="46" t="n"/>
      <c r="G263" s="46" t="n"/>
      <c r="H263" s="46" t="n"/>
      <c r="I263" s="47" t="n"/>
      <c r="J263" s="47" t="n"/>
      <c r="K263" s="47" t="n"/>
      <c r="L263" s="47" t="n"/>
      <c r="M263" s="46" t="n"/>
      <c r="N263" s="46" t="n"/>
      <c r="O263" s="46" t="n"/>
      <c r="P263" s="48">
        <f>IF(G263="","",IF(OR(G263="P1",G263="P2"),"Ya","Tidak"))</f>
        <v/>
      </c>
      <c r="Q263" s="46" t="n"/>
      <c r="R263" s="46" t="n"/>
      <c r="S263" s="48">
        <f>IF(OR(I263="",J263=""),"",ROUND((J263-I263)*1440,0))</f>
        <v/>
      </c>
      <c r="T263" s="48">
        <f>IF(OR(I263="",K263=""),"",ROUND((K263-I263)*24,1))</f>
        <v/>
      </c>
      <c r="U263" s="48">
        <f>IF(S263="","",IF(S263&lt;=INDEX('Target Severity'!$B$5:$B$8,MATCH(G263,'Target Severity'!$A$5:$A$8,0)),"Ya","Tidak"))</f>
        <v/>
      </c>
      <c r="V263" s="48">
        <f>IF(T263="","",IF(T263&lt;=INDEX('Target Severity'!$D$5:$D$8,MATCH(G263,'Target Severity'!$A$5:$A$8,0)),"Ya","Tidak"))</f>
        <v/>
      </c>
      <c r="W263" s="46" t="n"/>
    </row>
    <row r="264" ht="15" customHeight="1" s="28">
      <c r="A264" s="46" t="n"/>
      <c r="B264" s="46" t="n"/>
      <c r="C264" s="46" t="n"/>
      <c r="D264" s="46" t="n"/>
      <c r="E264" s="46" t="n"/>
      <c r="F264" s="46" t="n"/>
      <c r="G264" s="46" t="n"/>
      <c r="H264" s="46" t="n"/>
      <c r="I264" s="47" t="n"/>
      <c r="J264" s="47" t="n"/>
      <c r="K264" s="47" t="n"/>
      <c r="L264" s="47" t="n"/>
      <c r="M264" s="46" t="n"/>
      <c r="N264" s="46" t="n"/>
      <c r="O264" s="46" t="n"/>
      <c r="P264" s="48">
        <f>IF(G264="","",IF(OR(G264="P1",G264="P2"),"Ya","Tidak"))</f>
        <v/>
      </c>
      <c r="Q264" s="46" t="n"/>
      <c r="R264" s="46" t="n"/>
      <c r="S264" s="48">
        <f>IF(OR(I264="",J264=""),"",ROUND((J264-I264)*1440,0))</f>
        <v/>
      </c>
      <c r="T264" s="48">
        <f>IF(OR(I264="",K264=""),"",ROUND((K264-I264)*24,1))</f>
        <v/>
      </c>
      <c r="U264" s="48">
        <f>IF(S264="","",IF(S264&lt;=INDEX('Target Severity'!$B$5:$B$8,MATCH(G264,'Target Severity'!$A$5:$A$8,0)),"Ya","Tidak"))</f>
        <v/>
      </c>
      <c r="V264" s="48">
        <f>IF(T264="","",IF(T264&lt;=INDEX('Target Severity'!$D$5:$D$8,MATCH(G264,'Target Severity'!$A$5:$A$8,0)),"Ya","Tidak"))</f>
        <v/>
      </c>
      <c r="W264" s="46" t="n"/>
    </row>
    <row r="265" ht="15" customHeight="1" s="28">
      <c r="A265" s="46" t="n"/>
      <c r="B265" s="46" t="n"/>
      <c r="C265" s="46" t="n"/>
      <c r="D265" s="46" t="n"/>
      <c r="E265" s="46" t="n"/>
      <c r="F265" s="46" t="n"/>
      <c r="G265" s="46" t="n"/>
      <c r="H265" s="46" t="n"/>
      <c r="I265" s="47" t="n"/>
      <c r="J265" s="47" t="n"/>
      <c r="K265" s="47" t="n"/>
      <c r="L265" s="47" t="n"/>
      <c r="M265" s="46" t="n"/>
      <c r="N265" s="46" t="n"/>
      <c r="O265" s="46" t="n"/>
      <c r="P265" s="48">
        <f>IF(G265="","",IF(OR(G265="P1",G265="P2"),"Ya","Tidak"))</f>
        <v/>
      </c>
      <c r="Q265" s="46" t="n"/>
      <c r="R265" s="46" t="n"/>
      <c r="S265" s="48">
        <f>IF(OR(I265="",J265=""),"",ROUND((J265-I265)*1440,0))</f>
        <v/>
      </c>
      <c r="T265" s="48">
        <f>IF(OR(I265="",K265=""),"",ROUND((K265-I265)*24,1))</f>
        <v/>
      </c>
      <c r="U265" s="48">
        <f>IF(S265="","",IF(S265&lt;=INDEX('Target Severity'!$B$5:$B$8,MATCH(G265,'Target Severity'!$A$5:$A$8,0)),"Ya","Tidak"))</f>
        <v/>
      </c>
      <c r="V265" s="48">
        <f>IF(T265="","",IF(T265&lt;=INDEX('Target Severity'!$D$5:$D$8,MATCH(G265,'Target Severity'!$A$5:$A$8,0)),"Ya","Tidak"))</f>
        <v/>
      </c>
      <c r="W265" s="46" t="n"/>
    </row>
    <row r="266" ht="15" customHeight="1" s="28">
      <c r="A266" s="46" t="n"/>
      <c r="B266" s="46" t="n"/>
      <c r="C266" s="46" t="n"/>
      <c r="D266" s="46" t="n"/>
      <c r="E266" s="46" t="n"/>
      <c r="F266" s="46" t="n"/>
      <c r="G266" s="46" t="n"/>
      <c r="H266" s="46" t="n"/>
      <c r="I266" s="47" t="n"/>
      <c r="J266" s="47" t="n"/>
      <c r="K266" s="47" t="n"/>
      <c r="L266" s="47" t="n"/>
      <c r="M266" s="46" t="n"/>
      <c r="N266" s="46" t="n"/>
      <c r="O266" s="46" t="n"/>
      <c r="P266" s="48">
        <f>IF(G266="","",IF(OR(G266="P1",G266="P2"),"Ya","Tidak"))</f>
        <v/>
      </c>
      <c r="Q266" s="46" t="n"/>
      <c r="R266" s="46" t="n"/>
      <c r="S266" s="48">
        <f>IF(OR(I266="",J266=""),"",ROUND((J266-I266)*1440,0))</f>
        <v/>
      </c>
      <c r="T266" s="48">
        <f>IF(OR(I266="",K266=""),"",ROUND((K266-I266)*24,1))</f>
        <v/>
      </c>
      <c r="U266" s="48">
        <f>IF(S266="","",IF(S266&lt;=INDEX('Target Severity'!$B$5:$B$8,MATCH(G266,'Target Severity'!$A$5:$A$8,0)),"Ya","Tidak"))</f>
        <v/>
      </c>
      <c r="V266" s="48">
        <f>IF(T266="","",IF(T266&lt;=INDEX('Target Severity'!$D$5:$D$8,MATCH(G266,'Target Severity'!$A$5:$A$8,0)),"Ya","Tidak"))</f>
        <v/>
      </c>
      <c r="W266" s="46" t="n"/>
    </row>
    <row r="267" ht="15" customHeight="1" s="28">
      <c r="A267" s="46" t="n"/>
      <c r="B267" s="46" t="n"/>
      <c r="C267" s="46" t="n"/>
      <c r="D267" s="46" t="n"/>
      <c r="E267" s="46" t="n"/>
      <c r="F267" s="46" t="n"/>
      <c r="G267" s="46" t="n"/>
      <c r="H267" s="46" t="n"/>
      <c r="I267" s="47" t="n"/>
      <c r="J267" s="47" t="n"/>
      <c r="K267" s="47" t="n"/>
      <c r="L267" s="47" t="n"/>
      <c r="M267" s="46" t="n"/>
      <c r="N267" s="46" t="n"/>
      <c r="O267" s="46" t="n"/>
      <c r="P267" s="48">
        <f>IF(G267="","",IF(OR(G267="P1",G267="P2"),"Ya","Tidak"))</f>
        <v/>
      </c>
      <c r="Q267" s="46" t="n"/>
      <c r="R267" s="46" t="n"/>
      <c r="S267" s="48">
        <f>IF(OR(I267="",J267=""),"",ROUND((J267-I267)*1440,0))</f>
        <v/>
      </c>
      <c r="T267" s="48">
        <f>IF(OR(I267="",K267=""),"",ROUND((K267-I267)*24,1))</f>
        <v/>
      </c>
      <c r="U267" s="48">
        <f>IF(S267="","",IF(S267&lt;=INDEX('Target Severity'!$B$5:$B$8,MATCH(G267,'Target Severity'!$A$5:$A$8,0)),"Ya","Tidak"))</f>
        <v/>
      </c>
      <c r="V267" s="48">
        <f>IF(T267="","",IF(T267&lt;=INDEX('Target Severity'!$D$5:$D$8,MATCH(G267,'Target Severity'!$A$5:$A$8,0)),"Ya","Tidak"))</f>
        <v/>
      </c>
      <c r="W267" s="46" t="n"/>
    </row>
    <row r="268" ht="15" customHeight="1" s="28">
      <c r="A268" s="46" t="n"/>
      <c r="B268" s="46" t="n"/>
      <c r="C268" s="46" t="n"/>
      <c r="D268" s="46" t="n"/>
      <c r="E268" s="46" t="n"/>
      <c r="F268" s="46" t="n"/>
      <c r="G268" s="46" t="n"/>
      <c r="H268" s="46" t="n"/>
      <c r="I268" s="47" t="n"/>
      <c r="J268" s="47" t="n"/>
      <c r="K268" s="47" t="n"/>
      <c r="L268" s="47" t="n"/>
      <c r="M268" s="46" t="n"/>
      <c r="N268" s="46" t="n"/>
      <c r="O268" s="46" t="n"/>
      <c r="P268" s="48">
        <f>IF(G268="","",IF(OR(G268="P1",G268="P2"),"Ya","Tidak"))</f>
        <v/>
      </c>
      <c r="Q268" s="46" t="n"/>
      <c r="R268" s="46" t="n"/>
      <c r="S268" s="48">
        <f>IF(OR(I268="",J268=""),"",ROUND((J268-I268)*1440,0))</f>
        <v/>
      </c>
      <c r="T268" s="48">
        <f>IF(OR(I268="",K268=""),"",ROUND((K268-I268)*24,1))</f>
        <v/>
      </c>
      <c r="U268" s="48">
        <f>IF(S268="","",IF(S268&lt;=INDEX('Target Severity'!$B$5:$B$8,MATCH(G268,'Target Severity'!$A$5:$A$8,0)),"Ya","Tidak"))</f>
        <v/>
      </c>
      <c r="V268" s="48">
        <f>IF(T268="","",IF(T268&lt;=INDEX('Target Severity'!$D$5:$D$8,MATCH(G268,'Target Severity'!$A$5:$A$8,0)),"Ya","Tidak"))</f>
        <v/>
      </c>
      <c r="W268" s="46" t="n"/>
    </row>
    <row r="269" ht="15" customHeight="1" s="28">
      <c r="A269" s="46" t="n"/>
      <c r="B269" s="46" t="n"/>
      <c r="C269" s="46" t="n"/>
      <c r="D269" s="46" t="n"/>
      <c r="E269" s="46" t="n"/>
      <c r="F269" s="46" t="n"/>
      <c r="G269" s="46" t="n"/>
      <c r="H269" s="46" t="n"/>
      <c r="I269" s="47" t="n"/>
      <c r="J269" s="47" t="n"/>
      <c r="K269" s="47" t="n"/>
      <c r="L269" s="47" t="n"/>
      <c r="M269" s="46" t="n"/>
      <c r="N269" s="46" t="n"/>
      <c r="O269" s="46" t="n"/>
      <c r="P269" s="48">
        <f>IF(G269="","",IF(OR(G269="P1",G269="P2"),"Ya","Tidak"))</f>
        <v/>
      </c>
      <c r="Q269" s="46" t="n"/>
      <c r="R269" s="46" t="n"/>
      <c r="S269" s="48">
        <f>IF(OR(I269="",J269=""),"",ROUND((J269-I269)*1440,0))</f>
        <v/>
      </c>
      <c r="T269" s="48">
        <f>IF(OR(I269="",K269=""),"",ROUND((K269-I269)*24,1))</f>
        <v/>
      </c>
      <c r="U269" s="48">
        <f>IF(S269="","",IF(S269&lt;=INDEX('Target Severity'!$B$5:$B$8,MATCH(G269,'Target Severity'!$A$5:$A$8,0)),"Ya","Tidak"))</f>
        <v/>
      </c>
      <c r="V269" s="48">
        <f>IF(T269="","",IF(T269&lt;=INDEX('Target Severity'!$D$5:$D$8,MATCH(G269,'Target Severity'!$A$5:$A$8,0)),"Ya","Tidak"))</f>
        <v/>
      </c>
      <c r="W269" s="46" t="n"/>
    </row>
    <row r="270" ht="15" customHeight="1" s="28">
      <c r="A270" s="46" t="n"/>
      <c r="B270" s="46" t="n"/>
      <c r="C270" s="46" t="n"/>
      <c r="D270" s="46" t="n"/>
      <c r="E270" s="46" t="n"/>
      <c r="F270" s="46" t="n"/>
      <c r="G270" s="46" t="n"/>
      <c r="H270" s="46" t="n"/>
      <c r="I270" s="47" t="n"/>
      <c r="J270" s="47" t="n"/>
      <c r="K270" s="47" t="n"/>
      <c r="L270" s="47" t="n"/>
      <c r="M270" s="46" t="n"/>
      <c r="N270" s="46" t="n"/>
      <c r="O270" s="46" t="n"/>
      <c r="P270" s="48">
        <f>IF(G270="","",IF(OR(G270="P1",G270="P2"),"Ya","Tidak"))</f>
        <v/>
      </c>
      <c r="Q270" s="46" t="n"/>
      <c r="R270" s="46" t="n"/>
      <c r="S270" s="48">
        <f>IF(OR(I270="",J270=""),"",ROUND((J270-I270)*1440,0))</f>
        <v/>
      </c>
      <c r="T270" s="48">
        <f>IF(OR(I270="",K270=""),"",ROUND((K270-I270)*24,1))</f>
        <v/>
      </c>
      <c r="U270" s="48">
        <f>IF(S270="","",IF(S270&lt;=INDEX('Target Severity'!$B$5:$B$8,MATCH(G270,'Target Severity'!$A$5:$A$8,0)),"Ya","Tidak"))</f>
        <v/>
      </c>
      <c r="V270" s="48">
        <f>IF(T270="","",IF(T270&lt;=INDEX('Target Severity'!$D$5:$D$8,MATCH(G270,'Target Severity'!$A$5:$A$8,0)),"Ya","Tidak"))</f>
        <v/>
      </c>
      <c r="W270" s="46" t="n"/>
    </row>
    <row r="271" ht="15" customHeight="1" s="28">
      <c r="A271" s="46" t="n"/>
      <c r="B271" s="46" t="n"/>
      <c r="C271" s="46" t="n"/>
      <c r="D271" s="46" t="n"/>
      <c r="E271" s="46" t="n"/>
      <c r="F271" s="46" t="n"/>
      <c r="G271" s="46" t="n"/>
      <c r="H271" s="46" t="n"/>
      <c r="I271" s="47" t="n"/>
      <c r="J271" s="47" t="n"/>
      <c r="K271" s="47" t="n"/>
      <c r="L271" s="47" t="n"/>
      <c r="M271" s="46" t="n"/>
      <c r="N271" s="46" t="n"/>
      <c r="O271" s="46" t="n"/>
      <c r="P271" s="48">
        <f>IF(G271="","",IF(OR(G271="P1",G271="P2"),"Ya","Tidak"))</f>
        <v/>
      </c>
      <c r="Q271" s="46" t="n"/>
      <c r="R271" s="46" t="n"/>
      <c r="S271" s="48">
        <f>IF(OR(I271="",J271=""),"",ROUND((J271-I271)*1440,0))</f>
        <v/>
      </c>
      <c r="T271" s="48">
        <f>IF(OR(I271="",K271=""),"",ROUND((K271-I271)*24,1))</f>
        <v/>
      </c>
      <c r="U271" s="48">
        <f>IF(S271="","",IF(S271&lt;=INDEX('Target Severity'!$B$5:$B$8,MATCH(G271,'Target Severity'!$A$5:$A$8,0)),"Ya","Tidak"))</f>
        <v/>
      </c>
      <c r="V271" s="48">
        <f>IF(T271="","",IF(T271&lt;=INDEX('Target Severity'!$D$5:$D$8,MATCH(G271,'Target Severity'!$A$5:$A$8,0)),"Ya","Tidak"))</f>
        <v/>
      </c>
      <c r="W271" s="46" t="n"/>
    </row>
    <row r="272" ht="15" customHeight="1" s="28">
      <c r="A272" s="46" t="n"/>
      <c r="B272" s="46" t="n"/>
      <c r="C272" s="46" t="n"/>
      <c r="D272" s="46" t="n"/>
      <c r="E272" s="46" t="n"/>
      <c r="F272" s="46" t="n"/>
      <c r="G272" s="46" t="n"/>
      <c r="H272" s="46" t="n"/>
      <c r="I272" s="47" t="n"/>
      <c r="J272" s="47" t="n"/>
      <c r="K272" s="47" t="n"/>
      <c r="L272" s="47" t="n"/>
      <c r="M272" s="46" t="n"/>
      <c r="N272" s="46" t="n"/>
      <c r="O272" s="46" t="n"/>
      <c r="P272" s="48">
        <f>IF(G272="","",IF(OR(G272="P1",G272="P2"),"Ya","Tidak"))</f>
        <v/>
      </c>
      <c r="Q272" s="46" t="n"/>
      <c r="R272" s="46" t="n"/>
      <c r="S272" s="48">
        <f>IF(OR(I272="",J272=""),"",ROUND((J272-I272)*1440,0))</f>
        <v/>
      </c>
      <c r="T272" s="48">
        <f>IF(OR(I272="",K272=""),"",ROUND((K272-I272)*24,1))</f>
        <v/>
      </c>
      <c r="U272" s="48">
        <f>IF(S272="","",IF(S272&lt;=INDEX('Target Severity'!$B$5:$B$8,MATCH(G272,'Target Severity'!$A$5:$A$8,0)),"Ya","Tidak"))</f>
        <v/>
      </c>
      <c r="V272" s="48">
        <f>IF(T272="","",IF(T272&lt;=INDEX('Target Severity'!$D$5:$D$8,MATCH(G272,'Target Severity'!$A$5:$A$8,0)),"Ya","Tidak"))</f>
        <v/>
      </c>
      <c r="W272" s="46" t="n"/>
    </row>
    <row r="273" ht="15" customHeight="1" s="28">
      <c r="A273" s="46" t="n"/>
      <c r="B273" s="46" t="n"/>
      <c r="C273" s="46" t="n"/>
      <c r="D273" s="46" t="n"/>
      <c r="E273" s="46" t="n"/>
      <c r="F273" s="46" t="n"/>
      <c r="G273" s="46" t="n"/>
      <c r="H273" s="46" t="n"/>
      <c r="I273" s="47" t="n"/>
      <c r="J273" s="47" t="n"/>
      <c r="K273" s="47" t="n"/>
      <c r="L273" s="47" t="n"/>
      <c r="M273" s="46" t="n"/>
      <c r="N273" s="46" t="n"/>
      <c r="O273" s="46" t="n"/>
      <c r="P273" s="48">
        <f>IF(G273="","",IF(OR(G273="P1",G273="P2"),"Ya","Tidak"))</f>
        <v/>
      </c>
      <c r="Q273" s="46" t="n"/>
      <c r="R273" s="46" t="n"/>
      <c r="S273" s="48">
        <f>IF(OR(I273="",J273=""),"",ROUND((J273-I273)*1440,0))</f>
        <v/>
      </c>
      <c r="T273" s="48">
        <f>IF(OR(I273="",K273=""),"",ROUND((K273-I273)*24,1))</f>
        <v/>
      </c>
      <c r="U273" s="48">
        <f>IF(S273="","",IF(S273&lt;=INDEX('Target Severity'!$B$5:$B$8,MATCH(G273,'Target Severity'!$A$5:$A$8,0)),"Ya","Tidak"))</f>
        <v/>
      </c>
      <c r="V273" s="48">
        <f>IF(T273="","",IF(T273&lt;=INDEX('Target Severity'!$D$5:$D$8,MATCH(G273,'Target Severity'!$A$5:$A$8,0)),"Ya","Tidak"))</f>
        <v/>
      </c>
      <c r="W273" s="46" t="n"/>
    </row>
    <row r="274" ht="15" customHeight="1" s="28">
      <c r="A274" s="46" t="n"/>
      <c r="B274" s="46" t="n"/>
      <c r="C274" s="46" t="n"/>
      <c r="D274" s="46" t="n"/>
      <c r="E274" s="46" t="n"/>
      <c r="F274" s="46" t="n"/>
      <c r="G274" s="46" t="n"/>
      <c r="H274" s="46" t="n"/>
      <c r="I274" s="47" t="n"/>
      <c r="J274" s="47" t="n"/>
      <c r="K274" s="47" t="n"/>
      <c r="L274" s="47" t="n"/>
      <c r="M274" s="46" t="n"/>
      <c r="N274" s="46" t="n"/>
      <c r="O274" s="46" t="n"/>
      <c r="P274" s="48">
        <f>IF(G274="","",IF(OR(G274="P1",G274="P2"),"Ya","Tidak"))</f>
        <v/>
      </c>
      <c r="Q274" s="46" t="n"/>
      <c r="R274" s="46" t="n"/>
      <c r="S274" s="48">
        <f>IF(OR(I274="",J274=""),"",ROUND((J274-I274)*1440,0))</f>
        <v/>
      </c>
      <c r="T274" s="48">
        <f>IF(OR(I274="",K274=""),"",ROUND((K274-I274)*24,1))</f>
        <v/>
      </c>
      <c r="U274" s="48">
        <f>IF(S274="","",IF(S274&lt;=INDEX('Target Severity'!$B$5:$B$8,MATCH(G274,'Target Severity'!$A$5:$A$8,0)),"Ya","Tidak"))</f>
        <v/>
      </c>
      <c r="V274" s="48">
        <f>IF(T274="","",IF(T274&lt;=INDEX('Target Severity'!$D$5:$D$8,MATCH(G274,'Target Severity'!$A$5:$A$8,0)),"Ya","Tidak"))</f>
        <v/>
      </c>
      <c r="W274" s="46" t="n"/>
    </row>
    <row r="275" ht="15" customHeight="1" s="28">
      <c r="A275" s="46" t="n"/>
      <c r="B275" s="46" t="n"/>
      <c r="C275" s="46" t="n"/>
      <c r="D275" s="46" t="n"/>
      <c r="E275" s="46" t="n"/>
      <c r="F275" s="46" t="n"/>
      <c r="G275" s="46" t="n"/>
      <c r="H275" s="46" t="n"/>
      <c r="I275" s="47" t="n"/>
      <c r="J275" s="47" t="n"/>
      <c r="K275" s="47" t="n"/>
      <c r="L275" s="47" t="n"/>
      <c r="M275" s="46" t="n"/>
      <c r="N275" s="46" t="n"/>
      <c r="O275" s="46" t="n"/>
      <c r="P275" s="48">
        <f>IF(G275="","",IF(OR(G275="P1",G275="P2"),"Ya","Tidak"))</f>
        <v/>
      </c>
      <c r="Q275" s="46" t="n"/>
      <c r="R275" s="46" t="n"/>
      <c r="S275" s="48">
        <f>IF(OR(I275="",J275=""),"",ROUND((J275-I275)*1440,0))</f>
        <v/>
      </c>
      <c r="T275" s="48">
        <f>IF(OR(I275="",K275=""),"",ROUND((K275-I275)*24,1))</f>
        <v/>
      </c>
      <c r="U275" s="48">
        <f>IF(S275="","",IF(S275&lt;=INDEX('Target Severity'!$B$5:$B$8,MATCH(G275,'Target Severity'!$A$5:$A$8,0)),"Ya","Tidak"))</f>
        <v/>
      </c>
      <c r="V275" s="48">
        <f>IF(T275="","",IF(T275&lt;=INDEX('Target Severity'!$D$5:$D$8,MATCH(G275,'Target Severity'!$A$5:$A$8,0)),"Ya","Tidak"))</f>
        <v/>
      </c>
      <c r="W275" s="46" t="n"/>
    </row>
    <row r="276" ht="15" customHeight="1" s="28">
      <c r="A276" s="46" t="n"/>
      <c r="B276" s="46" t="n"/>
      <c r="C276" s="46" t="n"/>
      <c r="D276" s="46" t="n"/>
      <c r="E276" s="46" t="n"/>
      <c r="F276" s="46" t="n"/>
      <c r="G276" s="46" t="n"/>
      <c r="H276" s="46" t="n"/>
      <c r="I276" s="47" t="n"/>
      <c r="J276" s="47" t="n"/>
      <c r="K276" s="47" t="n"/>
      <c r="L276" s="47" t="n"/>
      <c r="M276" s="46" t="n"/>
      <c r="N276" s="46" t="n"/>
      <c r="O276" s="46" t="n"/>
      <c r="P276" s="48">
        <f>IF(G276="","",IF(OR(G276="P1",G276="P2"),"Ya","Tidak"))</f>
        <v/>
      </c>
      <c r="Q276" s="46" t="n"/>
      <c r="R276" s="46" t="n"/>
      <c r="S276" s="48">
        <f>IF(OR(I276="",J276=""),"",ROUND((J276-I276)*1440,0))</f>
        <v/>
      </c>
      <c r="T276" s="48">
        <f>IF(OR(I276="",K276=""),"",ROUND((K276-I276)*24,1))</f>
        <v/>
      </c>
      <c r="U276" s="48">
        <f>IF(S276="","",IF(S276&lt;=INDEX('Target Severity'!$B$5:$B$8,MATCH(G276,'Target Severity'!$A$5:$A$8,0)),"Ya","Tidak"))</f>
        <v/>
      </c>
      <c r="V276" s="48">
        <f>IF(T276="","",IF(T276&lt;=INDEX('Target Severity'!$D$5:$D$8,MATCH(G276,'Target Severity'!$A$5:$A$8,0)),"Ya","Tidak"))</f>
        <v/>
      </c>
      <c r="W276" s="46" t="n"/>
    </row>
    <row r="277" ht="15" customHeight="1" s="28">
      <c r="A277" s="46" t="n"/>
      <c r="B277" s="46" t="n"/>
      <c r="C277" s="46" t="n"/>
      <c r="D277" s="46" t="n"/>
      <c r="E277" s="46" t="n"/>
      <c r="F277" s="46" t="n"/>
      <c r="G277" s="46" t="n"/>
      <c r="H277" s="46" t="n"/>
      <c r="I277" s="47" t="n"/>
      <c r="J277" s="47" t="n"/>
      <c r="K277" s="47" t="n"/>
      <c r="L277" s="47" t="n"/>
      <c r="M277" s="46" t="n"/>
      <c r="N277" s="46" t="n"/>
      <c r="O277" s="46" t="n"/>
      <c r="P277" s="48">
        <f>IF(G277="","",IF(OR(G277="P1",G277="P2"),"Ya","Tidak"))</f>
        <v/>
      </c>
      <c r="Q277" s="46" t="n"/>
      <c r="R277" s="46" t="n"/>
      <c r="S277" s="48">
        <f>IF(OR(I277="",J277=""),"",ROUND((J277-I277)*1440,0))</f>
        <v/>
      </c>
      <c r="T277" s="48">
        <f>IF(OR(I277="",K277=""),"",ROUND((K277-I277)*24,1))</f>
        <v/>
      </c>
      <c r="U277" s="48">
        <f>IF(S277="","",IF(S277&lt;=INDEX('Target Severity'!$B$5:$B$8,MATCH(G277,'Target Severity'!$A$5:$A$8,0)),"Ya","Tidak"))</f>
        <v/>
      </c>
      <c r="V277" s="48">
        <f>IF(T277="","",IF(T277&lt;=INDEX('Target Severity'!$D$5:$D$8,MATCH(G277,'Target Severity'!$A$5:$A$8,0)),"Ya","Tidak"))</f>
        <v/>
      </c>
      <c r="W277" s="46" t="n"/>
    </row>
    <row r="278" ht="15" customHeight="1" s="28">
      <c r="A278" s="46" t="n"/>
      <c r="B278" s="46" t="n"/>
      <c r="C278" s="46" t="n"/>
      <c r="D278" s="46" t="n"/>
      <c r="E278" s="46" t="n"/>
      <c r="F278" s="46" t="n"/>
      <c r="G278" s="46" t="n"/>
      <c r="H278" s="46" t="n"/>
      <c r="I278" s="47" t="n"/>
      <c r="J278" s="47" t="n"/>
      <c r="K278" s="47" t="n"/>
      <c r="L278" s="47" t="n"/>
      <c r="M278" s="46" t="n"/>
      <c r="N278" s="46" t="n"/>
      <c r="O278" s="46" t="n"/>
      <c r="P278" s="48">
        <f>IF(G278="","",IF(OR(G278="P1",G278="P2"),"Ya","Tidak"))</f>
        <v/>
      </c>
      <c r="Q278" s="46" t="n"/>
      <c r="R278" s="46" t="n"/>
      <c r="S278" s="48">
        <f>IF(OR(I278="",J278=""),"",ROUND((J278-I278)*1440,0))</f>
        <v/>
      </c>
      <c r="T278" s="48">
        <f>IF(OR(I278="",K278=""),"",ROUND((K278-I278)*24,1))</f>
        <v/>
      </c>
      <c r="U278" s="48">
        <f>IF(S278="","",IF(S278&lt;=INDEX('Target Severity'!$B$5:$B$8,MATCH(G278,'Target Severity'!$A$5:$A$8,0)),"Ya","Tidak"))</f>
        <v/>
      </c>
      <c r="V278" s="48">
        <f>IF(T278="","",IF(T278&lt;=INDEX('Target Severity'!$D$5:$D$8,MATCH(G278,'Target Severity'!$A$5:$A$8,0)),"Ya","Tidak"))</f>
        <v/>
      </c>
      <c r="W278" s="46" t="n"/>
    </row>
    <row r="279" ht="15" customHeight="1" s="28">
      <c r="A279" s="46" t="n"/>
      <c r="B279" s="46" t="n"/>
      <c r="C279" s="46" t="n"/>
      <c r="D279" s="46" t="n"/>
      <c r="E279" s="46" t="n"/>
      <c r="F279" s="46" t="n"/>
      <c r="G279" s="46" t="n"/>
      <c r="H279" s="46" t="n"/>
      <c r="I279" s="47" t="n"/>
      <c r="J279" s="47" t="n"/>
      <c r="K279" s="47" t="n"/>
      <c r="L279" s="47" t="n"/>
      <c r="M279" s="46" t="n"/>
      <c r="N279" s="46" t="n"/>
      <c r="O279" s="46" t="n"/>
      <c r="P279" s="48">
        <f>IF(G279="","",IF(OR(G279="P1",G279="P2"),"Ya","Tidak"))</f>
        <v/>
      </c>
      <c r="Q279" s="46" t="n"/>
      <c r="R279" s="46" t="n"/>
      <c r="S279" s="48">
        <f>IF(OR(I279="",J279=""),"",ROUND((J279-I279)*1440,0))</f>
        <v/>
      </c>
      <c r="T279" s="48">
        <f>IF(OR(I279="",K279=""),"",ROUND((K279-I279)*24,1))</f>
        <v/>
      </c>
      <c r="U279" s="48">
        <f>IF(S279="","",IF(S279&lt;=INDEX('Target Severity'!$B$5:$B$8,MATCH(G279,'Target Severity'!$A$5:$A$8,0)),"Ya","Tidak"))</f>
        <v/>
      </c>
      <c r="V279" s="48">
        <f>IF(T279="","",IF(T279&lt;=INDEX('Target Severity'!$D$5:$D$8,MATCH(G279,'Target Severity'!$A$5:$A$8,0)),"Ya","Tidak"))</f>
        <v/>
      </c>
      <c r="W279" s="46" t="n"/>
    </row>
    <row r="280" ht="15" customHeight="1" s="28">
      <c r="A280" s="46" t="n"/>
      <c r="B280" s="46" t="n"/>
      <c r="C280" s="46" t="n"/>
      <c r="D280" s="46" t="n"/>
      <c r="E280" s="46" t="n"/>
      <c r="F280" s="46" t="n"/>
      <c r="G280" s="46" t="n"/>
      <c r="H280" s="46" t="n"/>
      <c r="I280" s="47" t="n"/>
      <c r="J280" s="47" t="n"/>
      <c r="K280" s="47" t="n"/>
      <c r="L280" s="47" t="n"/>
      <c r="M280" s="46" t="n"/>
      <c r="N280" s="46" t="n"/>
      <c r="O280" s="46" t="n"/>
      <c r="P280" s="48">
        <f>IF(G280="","",IF(OR(G280="P1",G280="P2"),"Ya","Tidak"))</f>
        <v/>
      </c>
      <c r="Q280" s="46" t="n"/>
      <c r="R280" s="46" t="n"/>
      <c r="S280" s="48">
        <f>IF(OR(I280="",J280=""),"",ROUND((J280-I280)*1440,0))</f>
        <v/>
      </c>
      <c r="T280" s="48">
        <f>IF(OR(I280="",K280=""),"",ROUND((K280-I280)*24,1))</f>
        <v/>
      </c>
      <c r="U280" s="48">
        <f>IF(S280="","",IF(S280&lt;=INDEX('Target Severity'!$B$5:$B$8,MATCH(G280,'Target Severity'!$A$5:$A$8,0)),"Ya","Tidak"))</f>
        <v/>
      </c>
      <c r="V280" s="48">
        <f>IF(T280="","",IF(T280&lt;=INDEX('Target Severity'!$D$5:$D$8,MATCH(G280,'Target Severity'!$A$5:$A$8,0)),"Ya","Tidak"))</f>
        <v/>
      </c>
      <c r="W280" s="46" t="n"/>
    </row>
    <row r="281" ht="15" customHeight="1" s="28">
      <c r="A281" s="46" t="n"/>
      <c r="B281" s="46" t="n"/>
      <c r="C281" s="46" t="n"/>
      <c r="D281" s="46" t="n"/>
      <c r="E281" s="46" t="n"/>
      <c r="F281" s="46" t="n"/>
      <c r="G281" s="46" t="n"/>
      <c r="H281" s="46" t="n"/>
      <c r="I281" s="47" t="n"/>
      <c r="J281" s="47" t="n"/>
      <c r="K281" s="47" t="n"/>
      <c r="L281" s="47" t="n"/>
      <c r="M281" s="46" t="n"/>
      <c r="N281" s="46" t="n"/>
      <c r="O281" s="46" t="n"/>
      <c r="P281" s="48">
        <f>IF(G281="","",IF(OR(G281="P1",G281="P2"),"Ya","Tidak"))</f>
        <v/>
      </c>
      <c r="Q281" s="46" t="n"/>
      <c r="R281" s="46" t="n"/>
      <c r="S281" s="48">
        <f>IF(OR(I281="",J281=""),"",ROUND((J281-I281)*1440,0))</f>
        <v/>
      </c>
      <c r="T281" s="48">
        <f>IF(OR(I281="",K281=""),"",ROUND((K281-I281)*24,1))</f>
        <v/>
      </c>
      <c r="U281" s="48">
        <f>IF(S281="","",IF(S281&lt;=INDEX('Target Severity'!$B$5:$B$8,MATCH(G281,'Target Severity'!$A$5:$A$8,0)),"Ya","Tidak"))</f>
        <v/>
      </c>
      <c r="V281" s="48">
        <f>IF(T281="","",IF(T281&lt;=INDEX('Target Severity'!$D$5:$D$8,MATCH(G281,'Target Severity'!$A$5:$A$8,0)),"Ya","Tidak"))</f>
        <v/>
      </c>
      <c r="W281" s="46" t="n"/>
    </row>
    <row r="282" ht="15" customHeight="1" s="28">
      <c r="A282" s="46" t="n"/>
      <c r="B282" s="46" t="n"/>
      <c r="C282" s="46" t="n"/>
      <c r="D282" s="46" t="n"/>
      <c r="E282" s="46" t="n"/>
      <c r="F282" s="46" t="n"/>
      <c r="G282" s="46" t="n"/>
      <c r="H282" s="46" t="n"/>
      <c r="I282" s="47" t="n"/>
      <c r="J282" s="47" t="n"/>
      <c r="K282" s="47" t="n"/>
      <c r="L282" s="47" t="n"/>
      <c r="M282" s="46" t="n"/>
      <c r="N282" s="46" t="n"/>
      <c r="O282" s="46" t="n"/>
      <c r="P282" s="48">
        <f>IF(G282="","",IF(OR(G282="P1",G282="P2"),"Ya","Tidak"))</f>
        <v/>
      </c>
      <c r="Q282" s="46" t="n"/>
      <c r="R282" s="46" t="n"/>
      <c r="S282" s="48">
        <f>IF(OR(I282="",J282=""),"",ROUND((J282-I282)*1440,0))</f>
        <v/>
      </c>
      <c r="T282" s="48">
        <f>IF(OR(I282="",K282=""),"",ROUND((K282-I282)*24,1))</f>
        <v/>
      </c>
      <c r="U282" s="48">
        <f>IF(S282="","",IF(S282&lt;=INDEX('Target Severity'!$B$5:$B$8,MATCH(G282,'Target Severity'!$A$5:$A$8,0)),"Ya","Tidak"))</f>
        <v/>
      </c>
      <c r="V282" s="48">
        <f>IF(T282="","",IF(T282&lt;=INDEX('Target Severity'!$D$5:$D$8,MATCH(G282,'Target Severity'!$A$5:$A$8,0)),"Ya","Tidak"))</f>
        <v/>
      </c>
      <c r="W282" s="46" t="n"/>
    </row>
    <row r="283" ht="15" customHeight="1" s="28">
      <c r="A283" s="46" t="n"/>
      <c r="B283" s="46" t="n"/>
      <c r="C283" s="46" t="n"/>
      <c r="D283" s="46" t="n"/>
      <c r="E283" s="46" t="n"/>
      <c r="F283" s="46" t="n"/>
      <c r="G283" s="46" t="n"/>
      <c r="H283" s="46" t="n"/>
      <c r="I283" s="47" t="n"/>
      <c r="J283" s="47" t="n"/>
      <c r="K283" s="47" t="n"/>
      <c r="L283" s="47" t="n"/>
      <c r="M283" s="46" t="n"/>
      <c r="N283" s="46" t="n"/>
      <c r="O283" s="46" t="n"/>
      <c r="P283" s="48">
        <f>IF(G283="","",IF(OR(G283="P1",G283="P2"),"Ya","Tidak"))</f>
        <v/>
      </c>
      <c r="Q283" s="46" t="n"/>
      <c r="R283" s="46" t="n"/>
      <c r="S283" s="48">
        <f>IF(OR(I283="",J283=""),"",ROUND((J283-I283)*1440,0))</f>
        <v/>
      </c>
      <c r="T283" s="48">
        <f>IF(OR(I283="",K283=""),"",ROUND((K283-I283)*24,1))</f>
        <v/>
      </c>
      <c r="U283" s="48">
        <f>IF(S283="","",IF(S283&lt;=INDEX('Target Severity'!$B$5:$B$8,MATCH(G283,'Target Severity'!$A$5:$A$8,0)),"Ya","Tidak"))</f>
        <v/>
      </c>
      <c r="V283" s="48">
        <f>IF(T283="","",IF(T283&lt;=INDEX('Target Severity'!$D$5:$D$8,MATCH(G283,'Target Severity'!$A$5:$A$8,0)),"Ya","Tidak"))</f>
        <v/>
      </c>
      <c r="W283" s="46" t="n"/>
    </row>
    <row r="284" ht="15" customHeight="1" s="28">
      <c r="A284" s="46" t="n"/>
      <c r="B284" s="46" t="n"/>
      <c r="C284" s="46" t="n"/>
      <c r="D284" s="46" t="n"/>
      <c r="E284" s="46" t="n"/>
      <c r="F284" s="46" t="n"/>
      <c r="G284" s="46" t="n"/>
      <c r="H284" s="46" t="n"/>
      <c r="I284" s="47" t="n"/>
      <c r="J284" s="47" t="n"/>
      <c r="K284" s="47" t="n"/>
      <c r="L284" s="47" t="n"/>
      <c r="M284" s="46" t="n"/>
      <c r="N284" s="46" t="n"/>
      <c r="O284" s="46" t="n"/>
      <c r="P284" s="48">
        <f>IF(G284="","",IF(OR(G284="P1",G284="P2"),"Ya","Tidak"))</f>
        <v/>
      </c>
      <c r="Q284" s="46" t="n"/>
      <c r="R284" s="46" t="n"/>
      <c r="S284" s="48">
        <f>IF(OR(I284="",J284=""),"",ROUND((J284-I284)*1440,0))</f>
        <v/>
      </c>
      <c r="T284" s="48">
        <f>IF(OR(I284="",K284=""),"",ROUND((K284-I284)*24,1))</f>
        <v/>
      </c>
      <c r="U284" s="48">
        <f>IF(S284="","",IF(S284&lt;=INDEX('Target Severity'!$B$5:$B$8,MATCH(G284,'Target Severity'!$A$5:$A$8,0)),"Ya","Tidak"))</f>
        <v/>
      </c>
      <c r="V284" s="48">
        <f>IF(T284="","",IF(T284&lt;=INDEX('Target Severity'!$D$5:$D$8,MATCH(G284,'Target Severity'!$A$5:$A$8,0)),"Ya","Tidak"))</f>
        <v/>
      </c>
      <c r="W284" s="46" t="n"/>
    </row>
    <row r="285" ht="15" customHeight="1" s="28">
      <c r="A285" s="46" t="n"/>
      <c r="B285" s="46" t="n"/>
      <c r="C285" s="46" t="n"/>
      <c r="D285" s="46" t="n"/>
      <c r="E285" s="46" t="n"/>
      <c r="F285" s="46" t="n"/>
      <c r="G285" s="46" t="n"/>
      <c r="H285" s="46" t="n"/>
      <c r="I285" s="47" t="n"/>
      <c r="J285" s="47" t="n"/>
      <c r="K285" s="47" t="n"/>
      <c r="L285" s="47" t="n"/>
      <c r="M285" s="46" t="n"/>
      <c r="N285" s="46" t="n"/>
      <c r="O285" s="46" t="n"/>
      <c r="P285" s="48">
        <f>IF(G285="","",IF(OR(G285="P1",G285="P2"),"Ya","Tidak"))</f>
        <v/>
      </c>
      <c r="Q285" s="46" t="n"/>
      <c r="R285" s="46" t="n"/>
      <c r="S285" s="48">
        <f>IF(OR(I285="",J285=""),"",ROUND((J285-I285)*1440,0))</f>
        <v/>
      </c>
      <c r="T285" s="48">
        <f>IF(OR(I285="",K285=""),"",ROUND((K285-I285)*24,1))</f>
        <v/>
      </c>
      <c r="U285" s="48">
        <f>IF(S285="","",IF(S285&lt;=INDEX('Target Severity'!$B$5:$B$8,MATCH(G285,'Target Severity'!$A$5:$A$8,0)),"Ya","Tidak"))</f>
        <v/>
      </c>
      <c r="V285" s="48">
        <f>IF(T285="","",IF(T285&lt;=INDEX('Target Severity'!$D$5:$D$8,MATCH(G285,'Target Severity'!$A$5:$A$8,0)),"Ya","Tidak"))</f>
        <v/>
      </c>
      <c r="W285" s="46" t="n"/>
    </row>
    <row r="286" ht="15" customHeight="1" s="28">
      <c r="A286" s="46" t="n"/>
      <c r="B286" s="46" t="n"/>
      <c r="C286" s="46" t="n"/>
      <c r="D286" s="46" t="n"/>
      <c r="E286" s="46" t="n"/>
      <c r="F286" s="46" t="n"/>
      <c r="G286" s="46" t="n"/>
      <c r="H286" s="46" t="n"/>
      <c r="I286" s="47" t="n"/>
      <c r="J286" s="47" t="n"/>
      <c r="K286" s="47" t="n"/>
      <c r="L286" s="47" t="n"/>
      <c r="M286" s="46" t="n"/>
      <c r="N286" s="46" t="n"/>
      <c r="O286" s="46" t="n"/>
      <c r="P286" s="48">
        <f>IF(G286="","",IF(OR(G286="P1",G286="P2"),"Ya","Tidak"))</f>
        <v/>
      </c>
      <c r="Q286" s="46" t="n"/>
      <c r="R286" s="46" t="n"/>
      <c r="S286" s="48">
        <f>IF(OR(I286="",J286=""),"",ROUND((J286-I286)*1440,0))</f>
        <v/>
      </c>
      <c r="T286" s="48">
        <f>IF(OR(I286="",K286=""),"",ROUND((K286-I286)*24,1))</f>
        <v/>
      </c>
      <c r="U286" s="48">
        <f>IF(S286="","",IF(S286&lt;=INDEX('Target Severity'!$B$5:$B$8,MATCH(G286,'Target Severity'!$A$5:$A$8,0)),"Ya","Tidak"))</f>
        <v/>
      </c>
      <c r="V286" s="48">
        <f>IF(T286="","",IF(T286&lt;=INDEX('Target Severity'!$D$5:$D$8,MATCH(G286,'Target Severity'!$A$5:$A$8,0)),"Ya","Tidak"))</f>
        <v/>
      </c>
      <c r="W286" s="46" t="n"/>
    </row>
    <row r="287" ht="15" customHeight="1" s="28">
      <c r="A287" s="46" t="n"/>
      <c r="B287" s="46" t="n"/>
      <c r="C287" s="46" t="n"/>
      <c r="D287" s="46" t="n"/>
      <c r="E287" s="46" t="n"/>
      <c r="F287" s="46" t="n"/>
      <c r="G287" s="46" t="n"/>
      <c r="H287" s="46" t="n"/>
      <c r="I287" s="47" t="n"/>
      <c r="J287" s="47" t="n"/>
      <c r="K287" s="47" t="n"/>
      <c r="L287" s="47" t="n"/>
      <c r="M287" s="46" t="n"/>
      <c r="N287" s="46" t="n"/>
      <c r="O287" s="46" t="n"/>
      <c r="P287" s="48">
        <f>IF(G287="","",IF(OR(G287="P1",G287="P2"),"Ya","Tidak"))</f>
        <v/>
      </c>
      <c r="Q287" s="46" t="n"/>
      <c r="R287" s="46" t="n"/>
      <c r="S287" s="48">
        <f>IF(OR(I287="",J287=""),"",ROUND((J287-I287)*1440,0))</f>
        <v/>
      </c>
      <c r="T287" s="48">
        <f>IF(OR(I287="",K287=""),"",ROUND((K287-I287)*24,1))</f>
        <v/>
      </c>
      <c r="U287" s="48">
        <f>IF(S287="","",IF(S287&lt;=INDEX('Target Severity'!$B$5:$B$8,MATCH(G287,'Target Severity'!$A$5:$A$8,0)),"Ya","Tidak"))</f>
        <v/>
      </c>
      <c r="V287" s="48">
        <f>IF(T287="","",IF(T287&lt;=INDEX('Target Severity'!$D$5:$D$8,MATCH(G287,'Target Severity'!$A$5:$A$8,0)),"Ya","Tidak"))</f>
        <v/>
      </c>
      <c r="W287" s="46" t="n"/>
    </row>
    <row r="288" ht="15" customHeight="1" s="28">
      <c r="A288" s="46" t="n"/>
      <c r="B288" s="46" t="n"/>
      <c r="C288" s="46" t="n"/>
      <c r="D288" s="46" t="n"/>
      <c r="E288" s="46" t="n"/>
      <c r="F288" s="46" t="n"/>
      <c r="G288" s="46" t="n"/>
      <c r="H288" s="46" t="n"/>
      <c r="I288" s="47" t="n"/>
      <c r="J288" s="47" t="n"/>
      <c r="K288" s="47" t="n"/>
      <c r="L288" s="47" t="n"/>
      <c r="M288" s="46" t="n"/>
      <c r="N288" s="46" t="n"/>
      <c r="O288" s="46" t="n"/>
      <c r="P288" s="48">
        <f>IF(G288="","",IF(OR(G288="P1",G288="P2"),"Ya","Tidak"))</f>
        <v/>
      </c>
      <c r="Q288" s="46" t="n"/>
      <c r="R288" s="46" t="n"/>
      <c r="S288" s="48">
        <f>IF(OR(I288="",J288=""),"",ROUND((J288-I288)*1440,0))</f>
        <v/>
      </c>
      <c r="T288" s="48">
        <f>IF(OR(I288="",K288=""),"",ROUND((K288-I288)*24,1))</f>
        <v/>
      </c>
      <c r="U288" s="48">
        <f>IF(S288="","",IF(S288&lt;=INDEX('Target Severity'!$B$5:$B$8,MATCH(G288,'Target Severity'!$A$5:$A$8,0)),"Ya","Tidak"))</f>
        <v/>
      </c>
      <c r="V288" s="48">
        <f>IF(T288="","",IF(T288&lt;=INDEX('Target Severity'!$D$5:$D$8,MATCH(G288,'Target Severity'!$A$5:$A$8,0)),"Ya","Tidak"))</f>
        <v/>
      </c>
      <c r="W288" s="46" t="n"/>
    </row>
    <row r="289" ht="15" customHeight="1" s="28">
      <c r="A289" s="46" t="n"/>
      <c r="B289" s="46" t="n"/>
      <c r="C289" s="46" t="n"/>
      <c r="D289" s="46" t="n"/>
      <c r="E289" s="46" t="n"/>
      <c r="F289" s="46" t="n"/>
      <c r="G289" s="46" t="n"/>
      <c r="H289" s="46" t="n"/>
      <c r="I289" s="47" t="n"/>
      <c r="J289" s="47" t="n"/>
      <c r="K289" s="47" t="n"/>
      <c r="L289" s="47" t="n"/>
      <c r="M289" s="46" t="n"/>
      <c r="N289" s="46" t="n"/>
      <c r="O289" s="46" t="n"/>
      <c r="P289" s="48">
        <f>IF(G289="","",IF(OR(G289="P1",G289="P2"),"Ya","Tidak"))</f>
        <v/>
      </c>
      <c r="Q289" s="46" t="n"/>
      <c r="R289" s="46" t="n"/>
      <c r="S289" s="48">
        <f>IF(OR(I289="",J289=""),"",ROUND((J289-I289)*1440,0))</f>
        <v/>
      </c>
      <c r="T289" s="48">
        <f>IF(OR(I289="",K289=""),"",ROUND((K289-I289)*24,1))</f>
        <v/>
      </c>
      <c r="U289" s="48">
        <f>IF(S289="","",IF(S289&lt;=INDEX('Target Severity'!$B$5:$B$8,MATCH(G289,'Target Severity'!$A$5:$A$8,0)),"Ya","Tidak"))</f>
        <v/>
      </c>
      <c r="V289" s="48">
        <f>IF(T289="","",IF(T289&lt;=INDEX('Target Severity'!$D$5:$D$8,MATCH(G289,'Target Severity'!$A$5:$A$8,0)),"Ya","Tidak"))</f>
        <v/>
      </c>
      <c r="W289" s="46" t="n"/>
    </row>
    <row r="290" ht="15" customHeight="1" s="28">
      <c r="A290" s="46" t="n"/>
      <c r="B290" s="46" t="n"/>
      <c r="C290" s="46" t="n"/>
      <c r="D290" s="46" t="n"/>
      <c r="E290" s="46" t="n"/>
      <c r="F290" s="46" t="n"/>
      <c r="G290" s="46" t="n"/>
      <c r="H290" s="46" t="n"/>
      <c r="I290" s="47" t="n"/>
      <c r="J290" s="47" t="n"/>
      <c r="K290" s="47" t="n"/>
      <c r="L290" s="47" t="n"/>
      <c r="M290" s="46" t="n"/>
      <c r="N290" s="46" t="n"/>
      <c r="O290" s="46" t="n"/>
      <c r="P290" s="48">
        <f>IF(G290="","",IF(OR(G290="P1",G290="P2"),"Ya","Tidak"))</f>
        <v/>
      </c>
      <c r="Q290" s="46" t="n"/>
      <c r="R290" s="46" t="n"/>
      <c r="S290" s="48">
        <f>IF(OR(I290="",J290=""),"",ROUND((J290-I290)*1440,0))</f>
        <v/>
      </c>
      <c r="T290" s="48">
        <f>IF(OR(I290="",K290=""),"",ROUND((K290-I290)*24,1))</f>
        <v/>
      </c>
      <c r="U290" s="48">
        <f>IF(S290="","",IF(S290&lt;=INDEX('Target Severity'!$B$5:$B$8,MATCH(G290,'Target Severity'!$A$5:$A$8,0)),"Ya","Tidak"))</f>
        <v/>
      </c>
      <c r="V290" s="48">
        <f>IF(T290="","",IF(T290&lt;=INDEX('Target Severity'!$D$5:$D$8,MATCH(G290,'Target Severity'!$A$5:$A$8,0)),"Ya","Tidak"))</f>
        <v/>
      </c>
      <c r="W290" s="46" t="n"/>
    </row>
    <row r="291" ht="15" customHeight="1" s="28">
      <c r="A291" s="46" t="n"/>
      <c r="B291" s="46" t="n"/>
      <c r="C291" s="46" t="n"/>
      <c r="D291" s="46" t="n"/>
      <c r="E291" s="46" t="n"/>
      <c r="F291" s="46" t="n"/>
      <c r="G291" s="46" t="n"/>
      <c r="H291" s="46" t="n"/>
      <c r="I291" s="47" t="n"/>
      <c r="J291" s="47" t="n"/>
      <c r="K291" s="47" t="n"/>
      <c r="L291" s="47" t="n"/>
      <c r="M291" s="46" t="n"/>
      <c r="N291" s="46" t="n"/>
      <c r="O291" s="46" t="n"/>
      <c r="P291" s="48">
        <f>IF(G291="","",IF(OR(G291="P1",G291="P2"),"Ya","Tidak"))</f>
        <v/>
      </c>
      <c r="Q291" s="46" t="n"/>
      <c r="R291" s="46" t="n"/>
      <c r="S291" s="48">
        <f>IF(OR(I291="",J291=""),"",ROUND((J291-I291)*1440,0))</f>
        <v/>
      </c>
      <c r="T291" s="48">
        <f>IF(OR(I291="",K291=""),"",ROUND((K291-I291)*24,1))</f>
        <v/>
      </c>
      <c r="U291" s="48">
        <f>IF(S291="","",IF(S291&lt;=INDEX('Target Severity'!$B$5:$B$8,MATCH(G291,'Target Severity'!$A$5:$A$8,0)),"Ya","Tidak"))</f>
        <v/>
      </c>
      <c r="V291" s="48">
        <f>IF(T291="","",IF(T291&lt;=INDEX('Target Severity'!$D$5:$D$8,MATCH(G291,'Target Severity'!$A$5:$A$8,0)),"Ya","Tidak"))</f>
        <v/>
      </c>
      <c r="W291" s="46" t="n"/>
    </row>
    <row r="292" ht="15" customHeight="1" s="28">
      <c r="A292" s="46" t="n"/>
      <c r="B292" s="46" t="n"/>
      <c r="C292" s="46" t="n"/>
      <c r="D292" s="46" t="n"/>
      <c r="E292" s="46" t="n"/>
      <c r="F292" s="46" t="n"/>
      <c r="G292" s="46" t="n"/>
      <c r="H292" s="46" t="n"/>
      <c r="I292" s="47" t="n"/>
      <c r="J292" s="47" t="n"/>
      <c r="K292" s="47" t="n"/>
      <c r="L292" s="47" t="n"/>
      <c r="M292" s="46" t="n"/>
      <c r="N292" s="46" t="n"/>
      <c r="O292" s="46" t="n"/>
      <c r="P292" s="48">
        <f>IF(G292="","",IF(OR(G292="P1",G292="P2"),"Ya","Tidak"))</f>
        <v/>
      </c>
      <c r="Q292" s="46" t="n"/>
      <c r="R292" s="46" t="n"/>
      <c r="S292" s="48">
        <f>IF(OR(I292="",J292=""),"",ROUND((J292-I292)*1440,0))</f>
        <v/>
      </c>
      <c r="T292" s="48">
        <f>IF(OR(I292="",K292=""),"",ROUND((K292-I292)*24,1))</f>
        <v/>
      </c>
      <c r="U292" s="48">
        <f>IF(S292="","",IF(S292&lt;=INDEX('Target Severity'!$B$5:$B$8,MATCH(G292,'Target Severity'!$A$5:$A$8,0)),"Ya","Tidak"))</f>
        <v/>
      </c>
      <c r="V292" s="48">
        <f>IF(T292="","",IF(T292&lt;=INDEX('Target Severity'!$D$5:$D$8,MATCH(G292,'Target Severity'!$A$5:$A$8,0)),"Ya","Tidak"))</f>
        <v/>
      </c>
      <c r="W292" s="46" t="n"/>
    </row>
    <row r="293" ht="15" customHeight="1" s="28">
      <c r="A293" s="46" t="n"/>
      <c r="B293" s="46" t="n"/>
      <c r="C293" s="46" t="n"/>
      <c r="D293" s="46" t="n"/>
      <c r="E293" s="46" t="n"/>
      <c r="F293" s="46" t="n"/>
      <c r="G293" s="46" t="n"/>
      <c r="H293" s="46" t="n"/>
      <c r="I293" s="47" t="n"/>
      <c r="J293" s="47" t="n"/>
      <c r="K293" s="47" t="n"/>
      <c r="L293" s="47" t="n"/>
      <c r="M293" s="46" t="n"/>
      <c r="N293" s="46" t="n"/>
      <c r="O293" s="46" t="n"/>
      <c r="P293" s="48">
        <f>IF(G293="","",IF(OR(G293="P1",G293="P2"),"Ya","Tidak"))</f>
        <v/>
      </c>
      <c r="Q293" s="46" t="n"/>
      <c r="R293" s="46" t="n"/>
      <c r="S293" s="48">
        <f>IF(OR(I293="",J293=""),"",ROUND((J293-I293)*1440,0))</f>
        <v/>
      </c>
      <c r="T293" s="48">
        <f>IF(OR(I293="",K293=""),"",ROUND((K293-I293)*24,1))</f>
        <v/>
      </c>
      <c r="U293" s="48">
        <f>IF(S293="","",IF(S293&lt;=INDEX('Target Severity'!$B$5:$B$8,MATCH(G293,'Target Severity'!$A$5:$A$8,0)),"Ya","Tidak"))</f>
        <v/>
      </c>
      <c r="V293" s="48">
        <f>IF(T293="","",IF(T293&lt;=INDEX('Target Severity'!$D$5:$D$8,MATCH(G293,'Target Severity'!$A$5:$A$8,0)),"Ya","Tidak"))</f>
        <v/>
      </c>
      <c r="W293" s="46" t="n"/>
    </row>
    <row r="294" ht="15" customHeight="1" s="28">
      <c r="A294" s="46" t="n"/>
      <c r="B294" s="46" t="n"/>
      <c r="C294" s="46" t="n"/>
      <c r="D294" s="46" t="n"/>
      <c r="E294" s="46" t="n"/>
      <c r="F294" s="46" t="n"/>
      <c r="G294" s="46" t="n"/>
      <c r="H294" s="46" t="n"/>
      <c r="I294" s="47" t="n"/>
      <c r="J294" s="47" t="n"/>
      <c r="K294" s="47" t="n"/>
      <c r="L294" s="47" t="n"/>
      <c r="M294" s="46" t="n"/>
      <c r="N294" s="46" t="n"/>
      <c r="O294" s="46" t="n"/>
      <c r="P294" s="48">
        <f>IF(G294="","",IF(OR(G294="P1",G294="P2"),"Ya","Tidak"))</f>
        <v/>
      </c>
      <c r="Q294" s="46" t="n"/>
      <c r="R294" s="46" t="n"/>
      <c r="S294" s="48">
        <f>IF(OR(I294="",J294=""),"",ROUND((J294-I294)*1440,0))</f>
        <v/>
      </c>
      <c r="T294" s="48">
        <f>IF(OR(I294="",K294=""),"",ROUND((K294-I294)*24,1))</f>
        <v/>
      </c>
      <c r="U294" s="48">
        <f>IF(S294="","",IF(S294&lt;=INDEX('Target Severity'!$B$5:$B$8,MATCH(G294,'Target Severity'!$A$5:$A$8,0)),"Ya","Tidak"))</f>
        <v/>
      </c>
      <c r="V294" s="48">
        <f>IF(T294="","",IF(T294&lt;=INDEX('Target Severity'!$D$5:$D$8,MATCH(G294,'Target Severity'!$A$5:$A$8,0)),"Ya","Tidak"))</f>
        <v/>
      </c>
      <c r="W294" s="46" t="n"/>
    </row>
    <row r="295" ht="15" customHeight="1" s="28">
      <c r="A295" s="46" t="n"/>
      <c r="B295" s="46" t="n"/>
      <c r="C295" s="46" t="n"/>
      <c r="D295" s="46" t="n"/>
      <c r="E295" s="46" t="n"/>
      <c r="F295" s="46" t="n"/>
      <c r="G295" s="46" t="n"/>
      <c r="H295" s="46" t="n"/>
      <c r="I295" s="47" t="n"/>
      <c r="J295" s="47" t="n"/>
      <c r="K295" s="47" t="n"/>
      <c r="L295" s="47" t="n"/>
      <c r="M295" s="46" t="n"/>
      <c r="N295" s="46" t="n"/>
      <c r="O295" s="46" t="n"/>
      <c r="P295" s="48">
        <f>IF(G295="","",IF(OR(G295="P1",G295="P2"),"Ya","Tidak"))</f>
        <v/>
      </c>
      <c r="Q295" s="46" t="n"/>
      <c r="R295" s="46" t="n"/>
      <c r="S295" s="48">
        <f>IF(OR(I295="",J295=""),"",ROUND((J295-I295)*1440,0))</f>
        <v/>
      </c>
      <c r="T295" s="48">
        <f>IF(OR(I295="",K295=""),"",ROUND((K295-I295)*24,1))</f>
        <v/>
      </c>
      <c r="U295" s="48">
        <f>IF(S295="","",IF(S295&lt;=INDEX('Target Severity'!$B$5:$B$8,MATCH(G295,'Target Severity'!$A$5:$A$8,0)),"Ya","Tidak"))</f>
        <v/>
      </c>
      <c r="V295" s="48">
        <f>IF(T295="","",IF(T295&lt;=INDEX('Target Severity'!$D$5:$D$8,MATCH(G295,'Target Severity'!$A$5:$A$8,0)),"Ya","Tidak"))</f>
        <v/>
      </c>
      <c r="W295" s="46" t="n"/>
    </row>
    <row r="296" ht="15" customHeight="1" s="28">
      <c r="A296" s="46" t="n"/>
      <c r="B296" s="46" t="n"/>
      <c r="C296" s="46" t="n"/>
      <c r="D296" s="46" t="n"/>
      <c r="E296" s="46" t="n"/>
      <c r="F296" s="46" t="n"/>
      <c r="G296" s="46" t="n"/>
      <c r="H296" s="46" t="n"/>
      <c r="I296" s="47" t="n"/>
      <c r="J296" s="47" t="n"/>
      <c r="K296" s="47" t="n"/>
      <c r="L296" s="47" t="n"/>
      <c r="M296" s="46" t="n"/>
      <c r="N296" s="46" t="n"/>
      <c r="O296" s="46" t="n"/>
      <c r="P296" s="48">
        <f>IF(G296="","",IF(OR(G296="P1",G296="P2"),"Ya","Tidak"))</f>
        <v/>
      </c>
      <c r="Q296" s="46" t="n"/>
      <c r="R296" s="46" t="n"/>
      <c r="S296" s="48">
        <f>IF(OR(I296="",J296=""),"",ROUND((J296-I296)*1440,0))</f>
        <v/>
      </c>
      <c r="T296" s="48">
        <f>IF(OR(I296="",K296=""),"",ROUND((K296-I296)*24,1))</f>
        <v/>
      </c>
      <c r="U296" s="48">
        <f>IF(S296="","",IF(S296&lt;=INDEX('Target Severity'!$B$5:$B$8,MATCH(G296,'Target Severity'!$A$5:$A$8,0)),"Ya","Tidak"))</f>
        <v/>
      </c>
      <c r="V296" s="48">
        <f>IF(T296="","",IF(T296&lt;=INDEX('Target Severity'!$D$5:$D$8,MATCH(G296,'Target Severity'!$A$5:$A$8,0)),"Ya","Tidak"))</f>
        <v/>
      </c>
      <c r="W296" s="46" t="n"/>
    </row>
    <row r="297" ht="15" customHeight="1" s="28">
      <c r="A297" s="46" t="n"/>
      <c r="B297" s="46" t="n"/>
      <c r="C297" s="46" t="n"/>
      <c r="D297" s="46" t="n"/>
      <c r="E297" s="46" t="n"/>
      <c r="F297" s="46" t="n"/>
      <c r="G297" s="46" t="n"/>
      <c r="H297" s="46" t="n"/>
      <c r="I297" s="47" t="n"/>
      <c r="J297" s="47" t="n"/>
      <c r="K297" s="47" t="n"/>
      <c r="L297" s="47" t="n"/>
      <c r="M297" s="46" t="n"/>
      <c r="N297" s="46" t="n"/>
      <c r="O297" s="46" t="n"/>
      <c r="P297" s="48">
        <f>IF(G297="","",IF(OR(G297="P1",G297="P2"),"Ya","Tidak"))</f>
        <v/>
      </c>
      <c r="Q297" s="46" t="n"/>
      <c r="R297" s="46" t="n"/>
      <c r="S297" s="48">
        <f>IF(OR(I297="",J297=""),"",ROUND((J297-I297)*1440,0))</f>
        <v/>
      </c>
      <c r="T297" s="48">
        <f>IF(OR(I297="",K297=""),"",ROUND((K297-I297)*24,1))</f>
        <v/>
      </c>
      <c r="U297" s="48">
        <f>IF(S297="","",IF(S297&lt;=INDEX('Target Severity'!$B$5:$B$8,MATCH(G297,'Target Severity'!$A$5:$A$8,0)),"Ya","Tidak"))</f>
        <v/>
      </c>
      <c r="V297" s="48">
        <f>IF(T297="","",IF(T297&lt;=INDEX('Target Severity'!$D$5:$D$8,MATCH(G297,'Target Severity'!$A$5:$A$8,0)),"Ya","Tidak"))</f>
        <v/>
      </c>
      <c r="W297" s="46" t="n"/>
    </row>
    <row r="298" ht="15" customHeight="1" s="28">
      <c r="A298" s="46" t="n"/>
      <c r="B298" s="46" t="n"/>
      <c r="C298" s="46" t="n"/>
      <c r="D298" s="46" t="n"/>
      <c r="E298" s="46" t="n"/>
      <c r="F298" s="46" t="n"/>
      <c r="G298" s="46" t="n"/>
      <c r="H298" s="46" t="n"/>
      <c r="I298" s="47" t="n"/>
      <c r="J298" s="47" t="n"/>
      <c r="K298" s="47" t="n"/>
      <c r="L298" s="47" t="n"/>
      <c r="M298" s="46" t="n"/>
      <c r="N298" s="46" t="n"/>
      <c r="O298" s="46" t="n"/>
      <c r="P298" s="48">
        <f>IF(G298="","",IF(OR(G298="P1",G298="P2"),"Ya","Tidak"))</f>
        <v/>
      </c>
      <c r="Q298" s="46" t="n"/>
      <c r="R298" s="46" t="n"/>
      <c r="S298" s="48">
        <f>IF(OR(I298="",J298=""),"",ROUND((J298-I298)*1440,0))</f>
        <v/>
      </c>
      <c r="T298" s="48">
        <f>IF(OR(I298="",K298=""),"",ROUND((K298-I298)*24,1))</f>
        <v/>
      </c>
      <c r="U298" s="48">
        <f>IF(S298="","",IF(S298&lt;=INDEX('Target Severity'!$B$5:$B$8,MATCH(G298,'Target Severity'!$A$5:$A$8,0)),"Ya","Tidak"))</f>
        <v/>
      </c>
      <c r="V298" s="48">
        <f>IF(T298="","",IF(T298&lt;=INDEX('Target Severity'!$D$5:$D$8,MATCH(G298,'Target Severity'!$A$5:$A$8,0)),"Ya","Tidak"))</f>
        <v/>
      </c>
      <c r="W298" s="46" t="n"/>
    </row>
    <row r="299" ht="15" customHeight="1" s="28">
      <c r="A299" s="46" t="n"/>
      <c r="B299" s="46" t="n"/>
      <c r="C299" s="46" t="n"/>
      <c r="D299" s="46" t="n"/>
      <c r="E299" s="46" t="n"/>
      <c r="F299" s="46" t="n"/>
      <c r="G299" s="46" t="n"/>
      <c r="H299" s="46" t="n"/>
      <c r="I299" s="47" t="n"/>
      <c r="J299" s="47" t="n"/>
      <c r="K299" s="47" t="n"/>
      <c r="L299" s="47" t="n"/>
      <c r="M299" s="46" t="n"/>
      <c r="N299" s="46" t="n"/>
      <c r="O299" s="46" t="n"/>
      <c r="P299" s="48">
        <f>IF(G299="","",IF(OR(G299="P1",G299="P2"),"Ya","Tidak"))</f>
        <v/>
      </c>
      <c r="Q299" s="46" t="n"/>
      <c r="R299" s="46" t="n"/>
      <c r="S299" s="48">
        <f>IF(OR(I299="",J299=""),"",ROUND((J299-I299)*1440,0))</f>
        <v/>
      </c>
      <c r="T299" s="48">
        <f>IF(OR(I299="",K299=""),"",ROUND((K299-I299)*24,1))</f>
        <v/>
      </c>
      <c r="U299" s="48">
        <f>IF(S299="","",IF(S299&lt;=INDEX('Target Severity'!$B$5:$B$8,MATCH(G299,'Target Severity'!$A$5:$A$8,0)),"Ya","Tidak"))</f>
        <v/>
      </c>
      <c r="V299" s="48">
        <f>IF(T299="","",IF(T299&lt;=INDEX('Target Severity'!$D$5:$D$8,MATCH(G299,'Target Severity'!$A$5:$A$8,0)),"Ya","Tidak"))</f>
        <v/>
      </c>
      <c r="W299" s="46" t="n"/>
    </row>
    <row r="300" ht="15" customHeight="1" s="28">
      <c r="A300" s="46" t="n"/>
      <c r="B300" s="46" t="n"/>
      <c r="C300" s="46" t="n"/>
      <c r="D300" s="46" t="n"/>
      <c r="E300" s="46" t="n"/>
      <c r="F300" s="46" t="n"/>
      <c r="G300" s="46" t="n"/>
      <c r="H300" s="46" t="n"/>
      <c r="I300" s="47" t="n"/>
      <c r="J300" s="47" t="n"/>
      <c r="K300" s="47" t="n"/>
      <c r="L300" s="47" t="n"/>
      <c r="M300" s="46" t="n"/>
      <c r="N300" s="46" t="n"/>
      <c r="O300" s="46" t="n"/>
      <c r="P300" s="48">
        <f>IF(G300="","",IF(OR(G300="P1",G300="P2"),"Ya","Tidak"))</f>
        <v/>
      </c>
      <c r="Q300" s="46" t="n"/>
      <c r="R300" s="46" t="n"/>
      <c r="S300" s="48">
        <f>IF(OR(I300="",J300=""),"",ROUND((J300-I300)*1440,0))</f>
        <v/>
      </c>
      <c r="T300" s="48">
        <f>IF(OR(I300="",K300=""),"",ROUND((K300-I300)*24,1))</f>
        <v/>
      </c>
      <c r="U300" s="48">
        <f>IF(S300="","",IF(S300&lt;=INDEX('Target Severity'!$B$5:$B$8,MATCH(G300,'Target Severity'!$A$5:$A$8,0)),"Ya","Tidak"))</f>
        <v/>
      </c>
      <c r="V300" s="48">
        <f>IF(T300="","",IF(T300&lt;=INDEX('Target Severity'!$D$5:$D$8,MATCH(G300,'Target Severity'!$A$5:$A$8,0)),"Ya","Tidak"))</f>
        <v/>
      </c>
      <c r="W300" s="46" t="n"/>
    </row>
    <row r="301" ht="15" customHeight="1" s="28">
      <c r="A301" s="46" t="n"/>
      <c r="B301" s="46" t="n"/>
      <c r="C301" s="46" t="n"/>
      <c r="D301" s="46" t="n"/>
      <c r="E301" s="46" t="n"/>
      <c r="F301" s="46" t="n"/>
      <c r="G301" s="46" t="n"/>
      <c r="H301" s="46" t="n"/>
      <c r="I301" s="47" t="n"/>
      <c r="J301" s="47" t="n"/>
      <c r="K301" s="47" t="n"/>
      <c r="L301" s="47" t="n"/>
      <c r="M301" s="46" t="n"/>
      <c r="N301" s="46" t="n"/>
      <c r="O301" s="46" t="n"/>
      <c r="P301" s="48">
        <f>IF(G301="","",IF(OR(G301="P1",G301="P2"),"Ya","Tidak"))</f>
        <v/>
      </c>
      <c r="Q301" s="46" t="n"/>
      <c r="R301" s="46" t="n"/>
      <c r="S301" s="48">
        <f>IF(OR(I301="",J301=""),"",ROUND((J301-I301)*1440,0))</f>
        <v/>
      </c>
      <c r="T301" s="48">
        <f>IF(OR(I301="",K301=""),"",ROUND((K301-I301)*24,1))</f>
        <v/>
      </c>
      <c r="U301" s="48">
        <f>IF(S301="","",IF(S301&lt;=INDEX('Target Severity'!$B$5:$B$8,MATCH(G301,'Target Severity'!$A$5:$A$8,0)),"Ya","Tidak"))</f>
        <v/>
      </c>
      <c r="V301" s="48">
        <f>IF(T301="","",IF(T301&lt;=INDEX('Target Severity'!$D$5:$D$8,MATCH(G301,'Target Severity'!$A$5:$A$8,0)),"Ya","Tidak"))</f>
        <v/>
      </c>
      <c r="W301" s="46" t="n"/>
    </row>
    <row r="302" ht="15" customHeight="1" s="28">
      <c r="A302" s="46" t="n"/>
      <c r="B302" s="46" t="n"/>
      <c r="C302" s="46" t="n"/>
      <c r="D302" s="46" t="n"/>
      <c r="E302" s="46" t="n"/>
      <c r="F302" s="46" t="n"/>
      <c r="G302" s="46" t="n"/>
      <c r="H302" s="46" t="n"/>
      <c r="I302" s="47" t="n"/>
      <c r="J302" s="47" t="n"/>
      <c r="K302" s="47" t="n"/>
      <c r="L302" s="47" t="n"/>
      <c r="M302" s="46" t="n"/>
      <c r="N302" s="46" t="n"/>
      <c r="O302" s="46" t="n"/>
      <c r="P302" s="48">
        <f>IF(G302="","",IF(OR(G302="P1",G302="P2"),"Ya","Tidak"))</f>
        <v/>
      </c>
      <c r="Q302" s="46" t="n"/>
      <c r="R302" s="46" t="n"/>
      <c r="S302" s="48">
        <f>IF(OR(I302="",J302=""),"",ROUND((J302-I302)*1440,0))</f>
        <v/>
      </c>
      <c r="T302" s="48">
        <f>IF(OR(I302="",K302=""),"",ROUND((K302-I302)*24,1))</f>
        <v/>
      </c>
      <c r="U302" s="48">
        <f>IF(S302="","",IF(S302&lt;=INDEX('Target Severity'!$B$5:$B$8,MATCH(G302,'Target Severity'!$A$5:$A$8,0)),"Ya","Tidak"))</f>
        <v/>
      </c>
      <c r="V302" s="48">
        <f>IF(T302="","",IF(T302&lt;=INDEX('Target Severity'!$D$5:$D$8,MATCH(G302,'Target Severity'!$A$5:$A$8,0)),"Ya","Tidak"))</f>
        <v/>
      </c>
      <c r="W302" s="46" t="n"/>
    </row>
    <row r="303" ht="15" customHeight="1" s="28">
      <c r="A303" s="46" t="n"/>
      <c r="B303" s="46" t="n"/>
      <c r="C303" s="46" t="n"/>
      <c r="D303" s="46" t="n"/>
      <c r="E303" s="46" t="n"/>
      <c r="F303" s="46" t="n"/>
      <c r="G303" s="46" t="n"/>
      <c r="H303" s="46" t="n"/>
      <c r="I303" s="47" t="n"/>
      <c r="J303" s="47" t="n"/>
      <c r="K303" s="47" t="n"/>
      <c r="L303" s="47" t="n"/>
      <c r="M303" s="46" t="n"/>
      <c r="N303" s="46" t="n"/>
      <c r="O303" s="46" t="n"/>
      <c r="P303" s="48">
        <f>IF(G303="","",IF(OR(G303="P1",G303="P2"),"Ya","Tidak"))</f>
        <v/>
      </c>
      <c r="Q303" s="46" t="n"/>
      <c r="R303" s="46" t="n"/>
      <c r="S303" s="48">
        <f>IF(OR(I303="",J303=""),"",ROUND((J303-I303)*1440,0))</f>
        <v/>
      </c>
      <c r="T303" s="48">
        <f>IF(OR(I303="",K303=""),"",ROUND((K303-I303)*24,1))</f>
        <v/>
      </c>
      <c r="U303" s="48">
        <f>IF(S303="","",IF(S303&lt;=INDEX('Target Severity'!$B$5:$B$8,MATCH(G303,'Target Severity'!$A$5:$A$8,0)),"Ya","Tidak"))</f>
        <v/>
      </c>
      <c r="V303" s="48">
        <f>IF(T303="","",IF(T303&lt;=INDEX('Target Severity'!$D$5:$D$8,MATCH(G303,'Target Severity'!$A$5:$A$8,0)),"Ya","Tidak"))</f>
        <v/>
      </c>
      <c r="W303" s="46" t="n"/>
    </row>
    <row r="304" ht="15" customHeight="1" s="28">
      <c r="A304" s="46" t="n"/>
      <c r="B304" s="46" t="n"/>
      <c r="C304" s="46" t="n"/>
      <c r="D304" s="46" t="n"/>
      <c r="E304" s="46" t="n"/>
      <c r="F304" s="46" t="n"/>
      <c r="G304" s="46" t="n"/>
      <c r="H304" s="46" t="n"/>
      <c r="I304" s="47" t="n"/>
      <c r="J304" s="47" t="n"/>
      <c r="K304" s="47" t="n"/>
      <c r="L304" s="47" t="n"/>
      <c r="M304" s="46" t="n"/>
      <c r="N304" s="46" t="n"/>
      <c r="O304" s="46" t="n"/>
      <c r="P304" s="48">
        <f>IF(G304="","",IF(OR(G304="P1",G304="P2"),"Ya","Tidak"))</f>
        <v/>
      </c>
      <c r="Q304" s="46" t="n"/>
      <c r="R304" s="46" t="n"/>
      <c r="S304" s="48">
        <f>IF(OR(I304="",J304=""),"",ROUND((J304-I304)*1440,0))</f>
        <v/>
      </c>
      <c r="T304" s="48">
        <f>IF(OR(I304="",K304=""),"",ROUND((K304-I304)*24,1))</f>
        <v/>
      </c>
      <c r="U304" s="48">
        <f>IF(S304="","",IF(S304&lt;=INDEX('Target Severity'!$B$5:$B$8,MATCH(G304,'Target Severity'!$A$5:$A$8,0)),"Ya","Tidak"))</f>
        <v/>
      </c>
      <c r="V304" s="48">
        <f>IF(T304="","",IF(T304&lt;=INDEX('Target Severity'!$D$5:$D$8,MATCH(G304,'Target Severity'!$A$5:$A$8,0)),"Ya","Tidak"))</f>
        <v/>
      </c>
      <c r="W304" s="46" t="n"/>
    </row>
    <row r="305" ht="15" customHeight="1" s="28">
      <c r="A305" s="46" t="n"/>
      <c r="B305" s="46" t="n"/>
      <c r="C305" s="46" t="n"/>
      <c r="D305" s="46" t="n"/>
      <c r="E305" s="46" t="n"/>
      <c r="F305" s="46" t="n"/>
      <c r="G305" s="46" t="n"/>
      <c r="H305" s="46" t="n"/>
      <c r="I305" s="47" t="n"/>
      <c r="J305" s="47" t="n"/>
      <c r="K305" s="47" t="n"/>
      <c r="L305" s="47" t="n"/>
      <c r="M305" s="46" t="n"/>
      <c r="N305" s="46" t="n"/>
      <c r="O305" s="46" t="n"/>
      <c r="P305" s="48">
        <f>IF(G305="","",IF(OR(G305="P1",G305="P2"),"Ya","Tidak"))</f>
        <v/>
      </c>
      <c r="Q305" s="46" t="n"/>
      <c r="R305" s="46" t="n"/>
      <c r="S305" s="48">
        <f>IF(OR(I305="",J305=""),"",ROUND((J305-I305)*1440,0))</f>
        <v/>
      </c>
      <c r="T305" s="48">
        <f>IF(OR(I305="",K305=""),"",ROUND((K305-I305)*24,1))</f>
        <v/>
      </c>
      <c r="U305" s="48">
        <f>IF(S305="","",IF(S305&lt;=INDEX('Target Severity'!$B$5:$B$8,MATCH(G305,'Target Severity'!$A$5:$A$8,0)),"Ya","Tidak"))</f>
        <v/>
      </c>
      <c r="V305" s="48">
        <f>IF(T305="","",IF(T305&lt;=INDEX('Target Severity'!$D$5:$D$8,MATCH(G305,'Target Severity'!$A$5:$A$8,0)),"Ya","Tidak"))</f>
        <v/>
      </c>
      <c r="W305" s="46" t="n"/>
    </row>
  </sheetData>
  <autoFilter ref="A4:W305"/>
  <conditionalFormatting sqref="U5:V305">
    <cfRule type="cellIs" rank="0" priority="2" equalAverage="0" operator="equal" aboveAverage="0" dxfId="7" text="" percent="0" bottom="0">
      <formula>"Ya"</formula>
    </cfRule>
    <cfRule type="cellIs" rank="0" priority="3" equalAverage="0" operator="equal" aboveAverage="0" dxfId="8" text="" percent="0" bottom="0">
      <formula>"Tidak"</formula>
    </cfRule>
  </conditionalFormatting>
  <conditionalFormatting sqref="Q5:Q305">
    <cfRule type="expression" rank="0" priority="4" equalAverage="0" aboveAverage="0" dxfId="8" text="" percent="0" bottom="0">
      <formula>AND($P5="Ya",$Q5="",$R5="Ditutup")</formula>
    </cfRule>
  </conditionalFormatting>
  <dataValidations count="5">
    <dataValidation sqref="B5:B305" showDropDown="0" showInputMessage="0" showErrorMessage="0" allowBlank="1" type="list" errorStyle="stop" operator="between">
      <formula1>Daftar!$A$2:$A$3</formula1>
      <formula2>0</formula2>
    </dataValidation>
    <dataValidation sqref="E5:E305" showDropDown="0" showInputMessage="0" showErrorMessage="0" allowBlank="1" type="list" errorStyle="stop" operator="between">
      <formula1>Daftar!$B$2:$B$7</formula1>
      <formula2>0</formula2>
    </dataValidation>
    <dataValidation sqref="F5:F305" showDropDown="0" showInputMessage="0" showErrorMessage="0" allowBlank="1" type="list" errorStyle="stop" operator="between">
      <formula1>Daftar!$C$2:$C$10</formula1>
      <formula2>0</formula2>
    </dataValidation>
    <dataValidation sqref="G5:G305" showDropDown="0" showInputMessage="0" showErrorMessage="0" allowBlank="1" type="list" errorStyle="stop" operator="between">
      <formula1>Daftar!$D$2:$D$5</formula1>
      <formula2>0</formula2>
    </dataValidation>
    <dataValidation sqref="R5:R305" showDropDown="0" showInputMessage="0" showErrorMessage="0" allowBlank="1" type="list" errorStyle="stop" operator="between">
      <formula1>Daftar!$E$2:$E$6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8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G1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ySplit="6" topLeftCell="A7" activePane="bottomLeft" state="frozen"/>
      <selection pane="bottomLeft" activeCell="A1" activeCellId="0" sqref="A1"/>
    </sheetView>
  </sheetViews>
  <sheetFormatPr baseColWidth="8" defaultColWidth="8.6796875" defaultRowHeight="15" zeroHeight="0" outlineLevelRow="0"/>
  <cols>
    <col width="40" customWidth="1" style="27" min="1" max="1"/>
    <col width="15" customWidth="1" style="27" min="2" max="7"/>
    <col width="13" customWidth="1" style="28" min="3" max="3"/>
    <col width="13" customWidth="1" style="28" min="4" max="4"/>
    <col width="13" customWidth="1" style="28" min="5" max="5"/>
    <col width="13" customWidth="1" style="28" min="6" max="6"/>
    <col width="13" customWidth="1" style="28" min="7" max="7"/>
  </cols>
  <sheetData>
    <row r="1" ht="16.15" customHeight="1" s="28">
      <c r="A1" s="41" t="inlineStr">
        <is>
          <t>Ringkasan ticket per periode</t>
        </is>
      </c>
    </row>
    <row r="3" ht="15" customHeight="1" s="28">
      <c r="A3" s="27" t="inlineStr">
        <is>
          <t>Periode mulai</t>
        </is>
      </c>
      <c r="B3" s="49" t="n">
        <v>46327</v>
      </c>
    </row>
    <row r="4" ht="15" customHeight="1" s="28">
      <c r="A4" s="27" t="inlineStr">
        <is>
          <t>Periode akhir</t>
        </is>
      </c>
      <c r="B4" s="49" t="n">
        <v>46356</v>
      </c>
    </row>
    <row r="6" ht="57" customHeight="1" s="28">
      <c r="A6" s="43" t="inlineStr">
        <is>
          <t>Severity</t>
        </is>
      </c>
      <c r="B6" s="43" t="inlineStr">
        <is>
          <t>Jumlah tiket</t>
        </is>
      </c>
      <c r="C6" s="43" t="inlineStr">
        <is>
          <t>Ack sesuai target</t>
        </is>
      </c>
      <c r="D6" s="43" t="inlineStr">
        <is>
          <t>Ack sesuai target (%)</t>
        </is>
      </c>
      <c r="E6" s="43" t="inlineStr">
        <is>
          <t>Pulih sesuai target</t>
        </is>
      </c>
      <c r="F6" s="43" t="inlineStr">
        <is>
          <t>Pulih sesuai target (%)</t>
        </is>
      </c>
      <c r="G6" s="43" t="inlineStr">
        <is>
          <t>RCA wajib tanpa nomor RCA</t>
        </is>
      </c>
    </row>
    <row r="7" ht="16.5" customHeight="1" s="28">
      <c r="A7" s="59" t="inlineStr">
        <is>
          <t>P1</t>
        </is>
      </c>
      <c r="B7" s="59">
        <f>COUNTIFS(Register!$G$5:$G$305,A7,Register!$I$5:$I$305,"&gt;="&amp;$B$3,Register!$I$5:$I$305,"&lt;"&amp;($B$4+1))</f>
        <v/>
      </c>
      <c r="C7" s="59">
        <f>COUNTIFS(Register!$G$5:$G$305,A7,Register!$U$5:$U$305,"Ya",Register!$I$5:$I$305,"&gt;="&amp;$B$3,Register!$I$5:$I$305,"&lt;"&amp;($B$4+1))</f>
        <v/>
      </c>
      <c r="D7" s="64">
        <f>IF(COUNTIFS(Register!$G$5:$G$305,A7,Register!$U$5:$U$305,"Ya",Register!$I$5:$I$305,"&gt;="&amp;$B$3,Register!$I$5:$I$305,"&lt;"&amp;($B$4+1))+COUNTIFS(Register!$G$5:$G$305,A7,Register!$U$5:$U$305,"Tidak",Register!$I$5:$I$305,"&gt;="&amp;$B$3,Register!$I$5:$I$305,"&lt;"&amp;($B$4+1))=0,"",C7/(COUNTIFS(Register!$G$5:$G$305,A7,Register!$U$5:$U$305,"Ya",Register!$I$5:$I$305,"&gt;="&amp;$B$3,Register!$I$5:$I$305,"&lt;"&amp;($B$4+1))+COUNTIFS(Register!$G$5:$G$305,A7,Register!$U$5:$U$305,"Tidak",Register!$I$5:$I$305,"&gt;="&amp;$B$3,Register!$I$5:$I$305,"&lt;"&amp;($B$4+1))))</f>
        <v/>
      </c>
      <c r="E7" s="59">
        <f>COUNTIFS(Register!$G$5:$G$305,A7,Register!$V$5:$V$305,"Ya",Register!$I$5:$I$305,"&gt;="&amp;$B$3,Register!$I$5:$I$305,"&lt;"&amp;($B$4+1))</f>
        <v/>
      </c>
      <c r="F7" s="64">
        <f>IF(COUNTIFS(Register!$G$5:$G$305,A7,Register!$V$5:$V$305,"Ya",Register!$I$5:$I$305,"&gt;="&amp;$B$3,Register!$I$5:$I$305,"&lt;"&amp;($B$4+1))+COUNTIFS(Register!$G$5:$G$305,A7,Register!$V$5:$V$305,"Tidak",Register!$I$5:$I$305,"&gt;="&amp;$B$3,Register!$I$5:$I$305,"&lt;"&amp;($B$4+1))=0,"",E7/(COUNTIFS(Register!$G$5:$G$305,A7,Register!$V$5:$V$305,"Ya",Register!$I$5:$I$305,"&gt;="&amp;$B$3,Register!$I$5:$I$305,"&lt;"&amp;($B$4+1))+COUNTIFS(Register!$G$5:$G$305,A7,Register!$V$5:$V$305,"Tidak",Register!$I$5:$I$305,"&gt;="&amp;$B$3,Register!$I$5:$I$305,"&lt;"&amp;($B$4+1))))</f>
        <v/>
      </c>
      <c r="G7" s="59">
        <f>COUNTIFS(Register!$G$5:$G$305,A7,Register!$P$5:$P$305,"Ya",Register!$Q$5:$Q$305,"",Register!$I$5:$I$305,"&gt;="&amp;$B$3,Register!$I$5:$I$305,"&lt;"&amp;($B$4+1))</f>
        <v/>
      </c>
    </row>
    <row r="8" ht="16.5" customHeight="1" s="28">
      <c r="A8" s="59" t="inlineStr">
        <is>
          <t>P2</t>
        </is>
      </c>
      <c r="B8" s="59">
        <f>COUNTIFS(Register!$G$5:$G$305,A8,Register!$I$5:$I$305,"&gt;="&amp;$B$3,Register!$I$5:$I$305,"&lt;"&amp;($B$4+1))</f>
        <v/>
      </c>
      <c r="C8" s="59">
        <f>COUNTIFS(Register!$G$5:$G$305,A8,Register!$U$5:$U$305,"Ya",Register!$I$5:$I$305,"&gt;="&amp;$B$3,Register!$I$5:$I$305,"&lt;"&amp;($B$4+1))</f>
        <v/>
      </c>
      <c r="D8" s="64">
        <f>IF(COUNTIFS(Register!$G$5:$G$305,A8,Register!$U$5:$U$305,"Ya",Register!$I$5:$I$305,"&gt;="&amp;$B$3,Register!$I$5:$I$305,"&lt;"&amp;($B$4+1))+COUNTIFS(Register!$G$5:$G$305,A8,Register!$U$5:$U$305,"Tidak",Register!$I$5:$I$305,"&gt;="&amp;$B$3,Register!$I$5:$I$305,"&lt;"&amp;($B$4+1))=0,"",C8/(COUNTIFS(Register!$G$5:$G$305,A8,Register!$U$5:$U$305,"Ya",Register!$I$5:$I$305,"&gt;="&amp;$B$3,Register!$I$5:$I$305,"&lt;"&amp;($B$4+1))+COUNTIFS(Register!$G$5:$G$305,A8,Register!$U$5:$U$305,"Tidak",Register!$I$5:$I$305,"&gt;="&amp;$B$3,Register!$I$5:$I$305,"&lt;"&amp;($B$4+1))))</f>
        <v/>
      </c>
      <c r="E8" s="59">
        <f>COUNTIFS(Register!$G$5:$G$305,A8,Register!$V$5:$V$305,"Ya",Register!$I$5:$I$305,"&gt;="&amp;$B$3,Register!$I$5:$I$305,"&lt;"&amp;($B$4+1))</f>
        <v/>
      </c>
      <c r="F8" s="64">
        <f>IF(COUNTIFS(Register!$G$5:$G$305,A8,Register!$V$5:$V$305,"Ya",Register!$I$5:$I$305,"&gt;="&amp;$B$3,Register!$I$5:$I$305,"&lt;"&amp;($B$4+1))+COUNTIFS(Register!$G$5:$G$305,A8,Register!$V$5:$V$305,"Tidak",Register!$I$5:$I$305,"&gt;="&amp;$B$3,Register!$I$5:$I$305,"&lt;"&amp;($B$4+1))=0,"",E8/(COUNTIFS(Register!$G$5:$G$305,A8,Register!$V$5:$V$305,"Ya",Register!$I$5:$I$305,"&gt;="&amp;$B$3,Register!$I$5:$I$305,"&lt;"&amp;($B$4+1))+COUNTIFS(Register!$G$5:$G$305,A8,Register!$V$5:$V$305,"Tidak",Register!$I$5:$I$305,"&gt;="&amp;$B$3,Register!$I$5:$I$305,"&lt;"&amp;($B$4+1))))</f>
        <v/>
      </c>
      <c r="G8" s="59">
        <f>COUNTIFS(Register!$G$5:$G$305,A8,Register!$P$5:$P$305,"Ya",Register!$Q$5:$Q$305,"",Register!$I$5:$I$305,"&gt;="&amp;$B$3,Register!$I$5:$I$305,"&lt;"&amp;($B$4+1))</f>
        <v/>
      </c>
    </row>
    <row r="9" ht="16.5" customHeight="1" s="28">
      <c r="A9" s="59" t="inlineStr">
        <is>
          <t>P3</t>
        </is>
      </c>
      <c r="B9" s="59">
        <f>COUNTIFS(Register!$G$5:$G$305,A9,Register!$I$5:$I$305,"&gt;="&amp;$B$3,Register!$I$5:$I$305,"&lt;"&amp;($B$4+1))</f>
        <v/>
      </c>
      <c r="C9" s="59">
        <f>COUNTIFS(Register!$G$5:$G$305,A9,Register!$U$5:$U$305,"Ya",Register!$I$5:$I$305,"&gt;="&amp;$B$3,Register!$I$5:$I$305,"&lt;"&amp;($B$4+1))</f>
        <v/>
      </c>
      <c r="D9" s="64">
        <f>IF(COUNTIFS(Register!$G$5:$G$305,A9,Register!$U$5:$U$305,"Ya",Register!$I$5:$I$305,"&gt;="&amp;$B$3,Register!$I$5:$I$305,"&lt;"&amp;($B$4+1))+COUNTIFS(Register!$G$5:$G$305,A9,Register!$U$5:$U$305,"Tidak",Register!$I$5:$I$305,"&gt;="&amp;$B$3,Register!$I$5:$I$305,"&lt;"&amp;($B$4+1))=0,"",C9/(COUNTIFS(Register!$G$5:$G$305,A9,Register!$U$5:$U$305,"Ya",Register!$I$5:$I$305,"&gt;="&amp;$B$3,Register!$I$5:$I$305,"&lt;"&amp;($B$4+1))+COUNTIFS(Register!$G$5:$G$305,A9,Register!$U$5:$U$305,"Tidak",Register!$I$5:$I$305,"&gt;="&amp;$B$3,Register!$I$5:$I$305,"&lt;"&amp;($B$4+1))))</f>
        <v/>
      </c>
      <c r="E9" s="59">
        <f>COUNTIFS(Register!$G$5:$G$305,A9,Register!$V$5:$V$305,"Ya",Register!$I$5:$I$305,"&gt;="&amp;$B$3,Register!$I$5:$I$305,"&lt;"&amp;($B$4+1))</f>
        <v/>
      </c>
      <c r="F9" s="64">
        <f>IF(COUNTIFS(Register!$G$5:$G$305,A9,Register!$V$5:$V$305,"Ya",Register!$I$5:$I$305,"&gt;="&amp;$B$3,Register!$I$5:$I$305,"&lt;"&amp;($B$4+1))+COUNTIFS(Register!$G$5:$G$305,A9,Register!$V$5:$V$305,"Tidak",Register!$I$5:$I$305,"&gt;="&amp;$B$3,Register!$I$5:$I$305,"&lt;"&amp;($B$4+1))=0,"",E9/(COUNTIFS(Register!$G$5:$G$305,A9,Register!$V$5:$V$305,"Ya",Register!$I$5:$I$305,"&gt;="&amp;$B$3,Register!$I$5:$I$305,"&lt;"&amp;($B$4+1))+COUNTIFS(Register!$G$5:$G$305,A9,Register!$V$5:$V$305,"Tidak",Register!$I$5:$I$305,"&gt;="&amp;$B$3,Register!$I$5:$I$305,"&lt;"&amp;($B$4+1))))</f>
        <v/>
      </c>
      <c r="G9" s="59">
        <f>COUNTIFS(Register!$G$5:$G$305,A9,Register!$P$5:$P$305,"Ya",Register!$Q$5:$Q$305,"",Register!$I$5:$I$305,"&gt;="&amp;$B$3,Register!$I$5:$I$305,"&lt;"&amp;($B$4+1))</f>
        <v/>
      </c>
    </row>
    <row r="10" ht="16.5" customHeight="1" s="28">
      <c r="A10" s="59" t="inlineStr">
        <is>
          <t>P4</t>
        </is>
      </c>
      <c r="B10" s="59">
        <f>COUNTIFS(Register!$G$5:$G$305,A10,Register!$I$5:$I$305,"&gt;="&amp;$B$3,Register!$I$5:$I$305,"&lt;"&amp;($B$4+1))</f>
        <v/>
      </c>
      <c r="C10" s="59">
        <f>COUNTIFS(Register!$G$5:$G$305,A10,Register!$U$5:$U$305,"Ya",Register!$I$5:$I$305,"&gt;="&amp;$B$3,Register!$I$5:$I$305,"&lt;"&amp;($B$4+1))</f>
        <v/>
      </c>
      <c r="D10" s="64">
        <f>IF(COUNTIFS(Register!$G$5:$G$305,A10,Register!$U$5:$U$305,"Ya",Register!$I$5:$I$305,"&gt;="&amp;$B$3,Register!$I$5:$I$305,"&lt;"&amp;($B$4+1))+COUNTIFS(Register!$G$5:$G$305,A10,Register!$U$5:$U$305,"Tidak",Register!$I$5:$I$305,"&gt;="&amp;$B$3,Register!$I$5:$I$305,"&lt;"&amp;($B$4+1))=0,"",C10/(COUNTIFS(Register!$G$5:$G$305,A10,Register!$U$5:$U$305,"Ya",Register!$I$5:$I$305,"&gt;="&amp;$B$3,Register!$I$5:$I$305,"&lt;"&amp;($B$4+1))+COUNTIFS(Register!$G$5:$G$305,A10,Register!$U$5:$U$305,"Tidak",Register!$I$5:$I$305,"&gt;="&amp;$B$3,Register!$I$5:$I$305,"&lt;"&amp;($B$4+1))))</f>
        <v/>
      </c>
      <c r="E10" s="59">
        <f>COUNTIFS(Register!$G$5:$G$305,A10,Register!$V$5:$V$305,"Ya",Register!$I$5:$I$305,"&gt;="&amp;$B$3,Register!$I$5:$I$305,"&lt;"&amp;($B$4+1))</f>
        <v/>
      </c>
      <c r="F10" s="64">
        <f>IF(COUNTIFS(Register!$G$5:$G$305,A10,Register!$V$5:$V$305,"Ya",Register!$I$5:$I$305,"&gt;="&amp;$B$3,Register!$I$5:$I$305,"&lt;"&amp;($B$4+1))+COUNTIFS(Register!$G$5:$G$305,A10,Register!$V$5:$V$305,"Tidak",Register!$I$5:$I$305,"&gt;="&amp;$B$3,Register!$I$5:$I$305,"&lt;"&amp;($B$4+1))=0,"",E10/(COUNTIFS(Register!$G$5:$G$305,A10,Register!$V$5:$V$305,"Ya",Register!$I$5:$I$305,"&gt;="&amp;$B$3,Register!$I$5:$I$305,"&lt;"&amp;($B$4+1))+COUNTIFS(Register!$G$5:$G$305,A10,Register!$V$5:$V$305,"Tidak",Register!$I$5:$I$305,"&gt;="&amp;$B$3,Register!$I$5:$I$305,"&lt;"&amp;($B$4+1))))</f>
        <v/>
      </c>
      <c r="G10" s="59">
        <f>COUNTIFS(Register!$G$5:$G$305,A10,Register!$P$5:$P$305,"Ya",Register!$Q$5:$Q$305,"",Register!$I$5:$I$305,"&gt;="&amp;$B$3,Register!$I$5:$I$305,"&lt;"&amp;($B$4+1))</f>
        <v/>
      </c>
    </row>
    <row r="11" ht="30" customHeight="1" s="28">
      <c r="A11" s="65" t="inlineStr">
        <is>
          <t>P1 dan P2 di-ack sesuai target (KPI 95%)</t>
        </is>
      </c>
      <c r="B11" s="63" t="n"/>
      <c r="C11" s="63" t="n"/>
      <c r="D11" s="66">
        <f>IF(B7+B8=0,"",(C7+C8)/(COUNTIFS(Register!$G$5:$G$305,"P1",Register!$U$5:$U$305,"Ya",Register!$I$5:$I$305,"&gt;="&amp;$B$3,Register!$I$5:$I$305,"&lt;"&amp;($B$4+1))+COUNTIFS(Register!$G$5:$G$305,"P1",Register!$U$5:$U$305,"Tidak",Register!$I$5:$I$305,"&gt;="&amp;$B$3,Register!$I$5:$I$305,"&lt;"&amp;($B$4+1))+COUNTIFS(Register!$G$5:$G$305,"P2",Register!$U$5:$U$305,"Ya",Register!$I$5:$I$305,"&gt;="&amp;$B$3,Register!$I$5:$I$305,"&lt;"&amp;($B$4+1))+COUNTIFS(Register!$G$5:$G$305,"P2",Register!$U$5:$U$305,"Tidak",Register!$I$5:$I$305,"&gt;="&amp;$B$3,Register!$I$5:$I$305,"&lt;"&amp;($B$4+1))))</f>
        <v/>
      </c>
      <c r="E11" s="63" t="n"/>
      <c r="F11" s="63" t="n"/>
      <c r="G11" s="63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2026-10-13T06:09:06Z</dcterms:created>
  <dcterms:modified xmlns:dcterms="http://purl.org/dc/terms/" xmlns:xsi="http://www.w3.org/2001/XMLSchema-instance" xsi:type="dcterms:W3CDTF">2026-10-15T07:25:08Z</dcterms:modified>
  <cp:revision>0</cp:revision>
</cp:coreProperties>
</file>