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Kontrol Dokumen" sheetId="1" state="visible" r:id="rId1"/>
    <sheet xmlns:r="http://schemas.openxmlformats.org/officeDocument/2006/relationships" name="AR Aging" sheetId="2" state="visible" r:id="rId2"/>
    <sheet xmlns:r="http://schemas.openxmlformats.org/officeDocument/2006/relationships" name="AP Aging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d mmm yyyy"/>
    <numFmt numFmtId="165" formatCode="&quot;Rp&quot;#,##0;&quot;(Rp&quot;#,##0\);\-"/>
    <numFmt numFmtId="166" formatCode="d&quot; &quot;mmm&quot; &quot;yyyy"/>
    <numFmt numFmtId="167" formatCode="d&quot;-&quot;mmm&quot;-&quot;yyyy"/>
    <numFmt numFmtId="168" formatCode="dd\-mmm\-yyyy"/>
  </numFmts>
  <fonts count="24">
    <font>
      <name val="Arial"/>
      <color rgb="FF000000"/>
      <sz val="10"/>
      <scheme val="minor"/>
    </font>
    <font>
      <name val="Arial"/>
      <b val="1"/>
      <color rgb="FFFFFFFF"/>
      <sz val="15"/>
    </font>
    <font>
      <name val="Calibri"/>
      <color theme="1"/>
      <sz val="11"/>
    </font>
    <font/>
    <font>
      <name val="Arial"/>
      <i val="1"/>
      <color rgb="FFFFFFFF"/>
    </font>
    <font>
      <name val="Arial"/>
      <b val="1"/>
      <color theme="1"/>
    </font>
    <font>
      <name val="Arial"/>
      <b val="1"/>
      <color rgb="FFFFFFFF"/>
    </font>
    <font>
      <name val="Arial"/>
      <color theme="1"/>
      <sz val="11"/>
    </font>
    <font>
      <name val="Arial"/>
      <b val="1"/>
      <i val="1"/>
      <color theme="1"/>
    </font>
    <font>
      <name val="Calibri"/>
      <b val="1"/>
      <color theme="1"/>
      <sz val="11"/>
    </font>
    <font>
      <name val="Arial"/>
      <i val="1"/>
      <color theme="1"/>
    </font>
    <font>
      <name val="Arial"/>
      <i val="1"/>
      <color rgb="FF808080"/>
    </font>
    <font>
      <name val="Arial"/>
      <color rgb="FF1A1A1A"/>
    </font>
    <font>
      <name val="Arial"/>
      <color rgb="FF1A1A1A"/>
      <sz val="11"/>
    </font>
    <font>
      <name val="Arial"/>
      <i val="1"/>
      <color rgb="FF808080"/>
      <sz val="11"/>
    </font>
    <font>
      <name val="Arial"/>
      <color rgb="FFFFFFFF"/>
    </font>
    <font>
      <name val="Arial"/>
      <color theme="1"/>
    </font>
    <font>
      <name val="Arial"/>
      <charset val="1"/>
      <family val="0"/>
      <b val="1"/>
      <color rgb="FF1F3A5F"/>
      <sz val="15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3A5F"/>
      <sz val="10"/>
    </font>
    <font>
      <name val="Calibri"/>
      <charset val="1"/>
      <family val="2"/>
      <color theme="1"/>
      <sz val="11"/>
    </font>
    <font>
      <name val="Arial"/>
      <charset val="1"/>
      <family val="0"/>
      <b val="1"/>
      <color rgb="FFFFFFFF"/>
      <sz val="10"/>
    </font>
  </fonts>
  <fills count="12">
    <fill>
      <patternFill/>
    </fill>
    <fill>
      <patternFill patternType="lightGray"/>
    </fill>
    <fill>
      <patternFill patternType="solid">
        <fgColor rgb="FF17324B"/>
        <bgColor rgb="FF17324B"/>
      </patternFill>
    </fill>
    <fill>
      <patternFill patternType="solid">
        <fgColor rgb="FF24496B"/>
        <bgColor rgb="FF24496B"/>
      </patternFill>
    </fill>
    <fill>
      <patternFill patternType="solid">
        <fgColor rgb="FFB6D7A8"/>
        <bgColor rgb="FFB6D7A8"/>
      </patternFill>
    </fill>
    <fill>
      <patternFill patternType="solid">
        <fgColor rgb="FF3E6E8E"/>
        <bgColor rgb="FF3E6E8E"/>
      </patternFill>
    </fill>
    <fill>
      <patternFill patternType="solid">
        <fgColor rgb="FFCFE2F3"/>
        <bgColor rgb="FFCFE2F3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E7EEF7"/>
      </patternFill>
    </fill>
    <fill>
      <patternFill patternType="solid">
        <fgColor rgb="FF1F3A5F"/>
        <bgColor rgb="FF333333"/>
      </patternFill>
    </fill>
  </fills>
  <borders count="12">
    <border/>
    <border>
      <left/>
      <top/>
      <bottom/>
    </border>
    <border>
      <top/>
      <bottom/>
    </border>
    <border>
      <right/>
      <top/>
      <bottom/>
    </border>
    <border>
      <left/>
      <top/>
    </border>
    <border>
      <top/>
    </border>
    <border>
      <right/>
      <top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D9D9D9"/>
      </left>
      <right style="thin">
        <color rgb="FFD9D9D9"/>
      </right>
      <bottom style="thin">
        <color rgb="FFD9D9D9"/>
      </bottom>
    </border>
    <border>
      <left/>
      <right/>
      <top/>
      <bottom/>
    </border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1">
    <xf numFmtId="0" fontId="0" fillId="0" borderId="0"/>
  </cellStyleXfs>
  <cellXfs count="88">
    <xf numFmtId="0" fontId="0" fillId="0" borderId="0" applyAlignment="1" pivotButton="0" quotePrefix="0" xfId="0">
      <alignment vertical="bottom"/>
    </xf>
    <xf numFmtId="0" fontId="1" fillId="2" borderId="1" pivotButton="0" quotePrefix="0" xfId="0"/>
    <xf numFmtId="0" fontId="2" fillId="2" borderId="2" pivotButton="0" quotePrefix="0" xfId="0"/>
    <xf numFmtId="0" fontId="3" fillId="0" borderId="2" pivotButton="0" quotePrefix="0" xfId="0"/>
    <xf numFmtId="0" fontId="3" fillId="0" borderId="3" pivotButton="0" quotePrefix="0" xfId="0"/>
    <xf numFmtId="0" fontId="2" fillId="2" borderId="3" pivotButton="0" quotePrefix="0" xfId="0"/>
    <xf numFmtId="0" fontId="4" fillId="3" borderId="4" pivotButton="0" quotePrefix="0" xfId="0"/>
    <xf numFmtId="0" fontId="4" fillId="3" borderId="1" pivotButton="0" quotePrefix="0" xfId="0"/>
    <xf numFmtId="0" fontId="2" fillId="3" borderId="5" pivotButton="0" quotePrefix="0" xfId="0"/>
    <xf numFmtId="0" fontId="2" fillId="3" borderId="6" pivotButton="0" quotePrefix="0" xfId="0"/>
    <xf numFmtId="0" fontId="5" fillId="4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5" borderId="7" applyAlignment="1" pivotButton="0" quotePrefix="0" xfId="0">
      <alignment horizontal="center" wrapText="1"/>
    </xf>
    <xf numFmtId="0" fontId="6" fillId="5" borderId="7" applyAlignment="1" pivotButton="0" quotePrefix="0" xfId="0">
      <alignment horizontal="center" wrapText="1"/>
    </xf>
    <xf numFmtId="0" fontId="7" fillId="6" borderId="0" applyAlignment="1" pivotButton="0" quotePrefix="0" xfId="0">
      <alignment vertical="center" wrapText="1"/>
    </xf>
    <xf numFmtId="0" fontId="7" fillId="6" borderId="0" applyAlignment="1" pivotButton="0" quotePrefix="0" xfId="0">
      <alignment horizontal="center" vertical="center" wrapText="1"/>
    </xf>
    <xf numFmtId="164" fontId="7" fillId="6" borderId="0" applyAlignment="1" pivotButton="0" quotePrefix="0" xfId="0">
      <alignment horizontal="center" vertical="center" wrapText="1"/>
    </xf>
    <xf numFmtId="165" fontId="8" fillId="0" borderId="0" applyAlignment="1" pivotButton="0" quotePrefix="0" xfId="0">
      <alignment vertical="top"/>
    </xf>
    <xf numFmtId="0" fontId="7" fillId="6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vertical="bottom"/>
    </xf>
    <xf numFmtId="3" fontId="7" fillId="6" borderId="0" applyAlignment="1" pivotButton="0" quotePrefix="0" xfId="0">
      <alignment horizontal="center" vertical="center" wrapText="1"/>
    </xf>
    <xf numFmtId="3" fontId="2" fillId="6" borderId="0" applyAlignment="1" pivotButton="0" quotePrefix="0" xfId="0">
      <alignment horizontal="center" vertical="center"/>
    </xf>
    <xf numFmtId="165" fontId="8" fillId="6" borderId="7" applyAlignment="1" pivotButton="0" quotePrefix="0" xfId="0">
      <alignment vertical="center"/>
    </xf>
    <xf numFmtId="0" fontId="9" fillId="7" borderId="0" applyAlignment="1" pivotButton="0" quotePrefix="0" xfId="0">
      <alignment vertical="bottom"/>
    </xf>
    <xf numFmtId="0" fontId="2" fillId="6" borderId="0" applyAlignment="1" pivotButton="0" quotePrefix="0" xfId="0">
      <alignment vertical="center"/>
    </xf>
    <xf numFmtId="0" fontId="10" fillId="6" borderId="7" applyAlignment="1" pivotButton="0" quotePrefix="0" xfId="0">
      <alignment vertical="center"/>
    </xf>
    <xf numFmtId="0" fontId="10" fillId="6" borderId="7" applyAlignment="1" pivotButton="0" quotePrefix="0" xfId="0">
      <alignment vertical="center"/>
    </xf>
    <xf numFmtId="0" fontId="6" fillId="5" borderId="8" applyAlignment="1" pivotButton="0" quotePrefix="0" xfId="0">
      <alignment horizontal="center" wrapText="1"/>
    </xf>
    <xf numFmtId="0" fontId="11" fillId="6" borderId="7" applyAlignment="1" pivotButton="0" quotePrefix="0" xfId="0">
      <alignment vertical="center" wrapText="1"/>
    </xf>
    <xf numFmtId="0" fontId="7" fillId="8" borderId="0" applyAlignment="1" pivotButton="0" quotePrefix="0" xfId="0">
      <alignment vertical="bottom" wrapText="1"/>
    </xf>
    <xf numFmtId="0" fontId="7" fillId="8" borderId="0" applyAlignment="1" pivotButton="0" quotePrefix="0" xfId="0">
      <alignment horizontal="center" vertical="bottom" wrapText="1"/>
    </xf>
    <xf numFmtId="0" fontId="6" fillId="5" borderId="8" applyAlignment="1" pivotButton="0" quotePrefix="0" xfId="0">
      <alignment horizontal="center" wrapText="1"/>
    </xf>
    <xf numFmtId="166" fontId="7" fillId="8" borderId="0" applyAlignment="1" pivotButton="0" quotePrefix="0" xfId="0">
      <alignment horizontal="center" vertical="bottom" wrapText="1"/>
    </xf>
    <xf numFmtId="0" fontId="7" fillId="8" borderId="0" applyAlignment="1" pivotButton="0" quotePrefix="0" xfId="0">
      <alignment horizontal="center" vertical="bottom" wrapText="1"/>
    </xf>
    <xf numFmtId="3" fontId="7" fillId="8" borderId="0" applyAlignment="1" pivotButton="0" quotePrefix="0" xfId="0">
      <alignment horizontal="center" vertical="bottom" wrapText="1"/>
    </xf>
    <xf numFmtId="3" fontId="2" fillId="8" borderId="0" applyAlignment="1" pivotButton="0" quotePrefix="0" xfId="0">
      <alignment horizontal="center" vertical="bottom"/>
    </xf>
    <xf numFmtId="0" fontId="12" fillId="0" borderId="7" applyAlignment="1" pivotButton="0" quotePrefix="0" xfId="0">
      <alignment vertical="top"/>
    </xf>
    <xf numFmtId="165" fontId="8" fillId="8" borderId="7" applyAlignment="1" pivotButton="0" quotePrefix="0" xfId="0">
      <alignment vertical="top"/>
    </xf>
    <xf numFmtId="0" fontId="2" fillId="8" borderId="0" pivotButton="0" quotePrefix="0" xfId="0"/>
    <xf numFmtId="0" fontId="2" fillId="0" borderId="7" applyAlignment="1" pivotButton="0" quotePrefix="0" xfId="0">
      <alignment vertical="top"/>
    </xf>
    <xf numFmtId="167" fontId="13" fillId="0" borderId="7" applyAlignment="1" pivotButton="0" quotePrefix="0" xfId="0">
      <alignment horizontal="center" vertical="top"/>
    </xf>
    <xf numFmtId="0" fontId="12" fillId="8" borderId="7" applyAlignment="1" pivotButton="0" quotePrefix="0" xfId="0">
      <alignment vertical="top"/>
    </xf>
    <xf numFmtId="167" fontId="2" fillId="0" borderId="7" applyAlignment="1" pivotButton="0" quotePrefix="0" xfId="0">
      <alignment vertical="top"/>
    </xf>
    <xf numFmtId="0" fontId="10" fillId="8" borderId="7" applyAlignment="1" pivotButton="0" quotePrefix="0" xfId="0">
      <alignment vertical="top"/>
    </xf>
    <xf numFmtId="167" fontId="13" fillId="0" borderId="7" applyAlignment="1" pivotButton="0" quotePrefix="0" xfId="0">
      <alignment horizontal="center" vertical="top"/>
    </xf>
    <xf numFmtId="0" fontId="2" fillId="8" borderId="7" applyAlignment="1" pivotButton="0" quotePrefix="0" xfId="0">
      <alignment vertical="top"/>
    </xf>
    <xf numFmtId="165" fontId="13" fillId="0" borderId="7" applyAlignment="1" pivotButton="0" quotePrefix="0" xfId="0">
      <alignment horizontal="center" vertical="top"/>
    </xf>
    <xf numFmtId="165" fontId="14" fillId="0" borderId="7" applyAlignment="1" pivotButton="0" quotePrefix="0" xfId="0">
      <alignment horizontal="center" vertical="top"/>
    </xf>
    <xf numFmtId="0" fontId="13" fillId="0" borderId="7" applyAlignment="1" pivotButton="0" quotePrefix="0" xfId="0">
      <alignment horizontal="center" vertical="top"/>
    </xf>
    <xf numFmtId="0" fontId="7" fillId="0" borderId="7" applyAlignment="1" pivotButton="0" quotePrefix="0" xfId="0">
      <alignment horizontal="center" vertical="top"/>
    </xf>
    <xf numFmtId="0" fontId="2" fillId="0" borderId="8" applyAlignment="1" pivotButton="0" quotePrefix="0" xfId="0">
      <alignment vertical="top"/>
    </xf>
    <xf numFmtId="168" fontId="12" fillId="0" borderId="7" applyAlignment="1" pivotButton="0" quotePrefix="0" xfId="0">
      <alignment horizontal="center" vertical="top"/>
    </xf>
    <xf numFmtId="165" fontId="2" fillId="0" borderId="7" applyAlignment="1" pivotButton="0" quotePrefix="0" xfId="0">
      <alignment vertical="top"/>
    </xf>
    <xf numFmtId="165" fontId="2" fillId="0" borderId="7" applyAlignment="1" pivotButton="0" quotePrefix="0" xfId="0">
      <alignment vertical="top"/>
    </xf>
    <xf numFmtId="165" fontId="8" fillId="0" borderId="7" applyAlignment="1" pivotButton="0" quotePrefix="0" xfId="0">
      <alignment horizontal="center" vertical="top"/>
    </xf>
    <xf numFmtId="0" fontId="12" fillId="0" borderId="7" applyAlignment="1" pivotButton="0" quotePrefix="0" xfId="0">
      <alignment horizontal="center" vertical="top"/>
    </xf>
    <xf numFmtId="0" fontId="15" fillId="0" borderId="7" applyAlignment="1" pivotButton="0" quotePrefix="0" xfId="0">
      <alignment horizontal="center" vertical="top"/>
    </xf>
    <xf numFmtId="0" fontId="16" fillId="0" borderId="7" applyAlignment="1" pivotButton="0" quotePrefix="0" xfId="0">
      <alignment horizontal="center" vertical="top"/>
    </xf>
    <xf numFmtId="0" fontId="0" fillId="0" borderId="0" pivotButton="0" quotePrefix="0" xfId="0"/>
    <xf numFmtId="0" fontId="17" fillId="0" borderId="10" applyAlignment="1" pivotButton="0" quotePrefix="0" xfId="0">
      <alignment horizontal="general" vertical="bottom"/>
    </xf>
    <xf numFmtId="0" fontId="18" fillId="0" borderId="10" applyAlignment="1" pivotButton="0" quotePrefix="0" xfId="0">
      <alignment horizontal="general" vertical="bottom"/>
    </xf>
    <xf numFmtId="0" fontId="19" fillId="0" borderId="11" applyAlignment="1" pivotButton="0" quotePrefix="0" xfId="0">
      <alignment horizontal="general" vertical="bottom"/>
    </xf>
    <xf numFmtId="0" fontId="20" fillId="0" borderId="11" applyAlignment="1" pivotButton="0" quotePrefix="0" xfId="0">
      <alignment horizontal="general" vertical="top" wrapText="1"/>
    </xf>
    <xf numFmtId="0" fontId="21" fillId="0" borderId="10" applyAlignment="1" pivotButton="0" quotePrefix="0" xfId="0">
      <alignment horizontal="general" vertical="bottom"/>
    </xf>
    <xf numFmtId="0" fontId="20" fillId="0" borderId="10" applyAlignment="1" pivotButton="0" quotePrefix="0" xfId="0">
      <alignment horizontal="general" vertical="bottom"/>
    </xf>
    <xf numFmtId="0" fontId="20" fillId="0" borderId="10" applyAlignment="1" pivotButton="0" quotePrefix="0" xfId="0">
      <alignment horizontal="general" vertical="top" wrapText="1"/>
    </xf>
    <xf numFmtId="0" fontId="22" fillId="0" borderId="11" applyAlignment="1" pivotButton="0" quotePrefix="0" xfId="0">
      <alignment horizontal="general" vertical="bottom"/>
    </xf>
    <xf numFmtId="0" fontId="23" fillId="11" borderId="11" applyAlignment="1" pivotButton="0" quotePrefix="0" xfId="0">
      <alignment horizontal="general" vertical="bottom"/>
    </xf>
    <xf numFmtId="0" fontId="20" fillId="0" borderId="11" applyAlignment="1" pivotButton="0" quotePrefix="0" xfId="0">
      <alignment horizontal="general" vertical="bottom"/>
    </xf>
    <xf numFmtId="0" fontId="1" fillId="2" borderId="9" pivotButton="0" quotePrefix="0" xfId="0"/>
    <xf numFmtId="0" fontId="4" fillId="3" borderId="9" pivotButton="0" quotePrefix="0" xfId="0"/>
    <xf numFmtId="0" fontId="7" fillId="0" borderId="0" applyAlignment="1" pivotButton="0" quotePrefix="0" xfId="0">
      <alignment vertical="center" wrapText="1"/>
    </xf>
    <xf numFmtId="0" fontId="7" fillId="0" borderId="0" applyAlignment="1" pivotButton="0" quotePrefix="0" xfId="0">
      <alignment horizontal="center" vertical="center" wrapText="1"/>
    </xf>
    <xf numFmtId="164" fontId="7" fillId="0" borderId="0" applyAlignment="1" pivotButton="0" quotePrefix="0" xfId="0">
      <alignment horizontal="center" vertical="center" wrapText="1"/>
    </xf>
    <xf numFmtId="3" fontId="7" fillId="0" borderId="0" applyAlignment="1" pivotButton="0" quotePrefix="0" xfId="0">
      <alignment horizontal="center" vertical="center" wrapText="1"/>
    </xf>
    <xf numFmtId="3" fontId="2" fillId="0" borderId="0" applyAlignment="1" pivotButton="0" quotePrefix="0" xfId="0">
      <alignment horizontal="center" vertical="center"/>
    </xf>
    <xf numFmtId="165" fontId="8" fillId="0" borderId="7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10" fillId="0" borderId="7" applyAlignment="1" pivotButton="0" quotePrefix="0" xfId="0">
      <alignment vertical="center"/>
    </xf>
    <xf numFmtId="0" fontId="11" fillId="0" borderId="7" applyAlignment="1" pivotButton="0" quotePrefix="0" xfId="0">
      <alignment vertical="center" wrapText="1"/>
    </xf>
    <xf numFmtId="0" fontId="7" fillId="0" borderId="0" applyAlignment="1" pivotButton="0" quotePrefix="0" xfId="0">
      <alignment vertical="bottom" wrapText="1"/>
    </xf>
    <xf numFmtId="0" fontId="7" fillId="0" borderId="0" applyAlignment="1" pivotButton="0" quotePrefix="0" xfId="0">
      <alignment horizontal="center" vertical="bottom" wrapText="1"/>
    </xf>
    <xf numFmtId="166" fontId="7" fillId="0" borderId="0" applyAlignment="1" pivotButton="0" quotePrefix="0" xfId="0">
      <alignment horizontal="center" vertical="bottom" wrapText="1"/>
    </xf>
    <xf numFmtId="3" fontId="7" fillId="0" borderId="0" applyAlignment="1" pivotButton="0" quotePrefix="0" xfId="0">
      <alignment horizontal="center" vertical="bottom" wrapText="1"/>
    </xf>
    <xf numFmtId="3" fontId="2" fillId="0" borderId="0" applyAlignment="1" pivotButton="0" quotePrefix="0" xfId="0">
      <alignment horizontal="center" vertical="bottom"/>
    </xf>
    <xf numFmtId="165" fontId="8" fillId="0" borderId="7" applyAlignment="1" pivotButton="0" quotePrefix="0" xfId="0">
      <alignment vertical="top"/>
    </xf>
    <xf numFmtId="0" fontId="2" fillId="0" borderId="0" pivotButton="0" quotePrefix="0" xfId="0"/>
    <xf numFmtId="0" fontId="10" fillId="0" borderId="7" applyAlignment="1" pivotButton="0" quotePrefix="0" xfId="0">
      <alignment vertical="top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8"/>
  <sheetViews>
    <sheetView workbookViewId="0">
      <selection activeCell="A1" sqref="A1"/>
    </sheetView>
  </sheetViews>
  <sheetFormatPr baseColWidth="8" defaultRowHeight="15"/>
  <cols>
    <col width="24" customWidth="1" style="58" min="1" max="1"/>
    <col width="70" customWidth="1" style="58" min="2" max="2"/>
    <col width="30" customWidth="1" style="58" min="3" max="3"/>
    <col width="22" customWidth="1" style="58" min="4" max="4"/>
    <col width="14" customWidth="1" style="58" min="5" max="5"/>
  </cols>
  <sheetData>
    <row r="1" ht="18.55" customHeight="1" s="58">
      <c r="A1" s="59" t="inlineStr">
        <is>
          <t>Billing &amp; Collection Monitoring Register</t>
        </is>
      </c>
    </row>
    <row r="2" ht="15" customHeight="1" s="58">
      <c r="A2" s="60" t="inlineStr">
        <is>
          <t>PT Strategi Integrasi Nusantara (SINUX) · Departemen Finance, Accounting &amp; Tax</t>
        </is>
      </c>
    </row>
    <row r="3"/>
    <row r="4" ht="15" customHeight="1" s="58">
      <c r="A4" s="61" t="inlineStr">
        <is>
          <t>Nomor dokumen</t>
        </is>
      </c>
      <c r="B4" s="62" t="inlineStr">
        <is>
          <t>SNX-FAT-REG-01</t>
        </is>
      </c>
    </row>
    <row r="5" ht="15" customHeight="1" s="58">
      <c r="A5" s="61" t="inlineStr">
        <is>
          <t>Judul</t>
        </is>
      </c>
      <c r="B5" s="62" t="inlineStr">
        <is>
          <t>Billing &amp; Collection Monitoring Register</t>
        </is>
      </c>
    </row>
    <row r="6" ht="15" customHeight="1" s="58">
      <c r="A6" s="61" t="inlineStr">
        <is>
          <t>Revisi</t>
        </is>
      </c>
      <c r="B6" s="62" t="inlineStr">
        <is>
          <t>00 (DRAFT)</t>
        </is>
      </c>
    </row>
    <row r="7" ht="15" customHeight="1" s="58">
      <c r="A7" s="61" t="inlineStr">
        <is>
          <t>Tanggal draft</t>
        </is>
      </c>
      <c r="B7" s="62" t="inlineStr">
        <is>
          <t>15 Oktober 2026</t>
        </is>
      </c>
    </row>
    <row r="8" ht="15" customHeight="1" s="58">
      <c r="A8" s="61" t="inlineStr">
        <is>
          <t>Tanggal efektif</t>
        </is>
      </c>
      <c r="B8" s="62" t="inlineStr">
        <is>
          <t>Ditetapkan saat pengesahan</t>
        </is>
      </c>
    </row>
    <row r="9" ht="15" customHeight="1" s="58">
      <c r="A9" s="61" t="inlineStr">
        <is>
          <t>Klasifikasi</t>
        </is>
      </c>
      <c r="B9" s="62" t="inlineStr">
        <is>
          <t>RESTRICTED (Internal)</t>
        </is>
      </c>
    </row>
    <row r="10" ht="15" customHeight="1" s="58">
      <c r="A10" s="61" t="inlineStr">
        <is>
          <t>Pemilik dokumen</t>
        </is>
      </c>
      <c r="B10" s="62" t="inlineStr">
        <is>
          <t>Finance Lead</t>
        </is>
      </c>
    </row>
    <row r="11" ht="15" customHeight="1" s="58">
      <c r="A11" s="61" t="inlineStr">
        <is>
          <t>Disetujui oleh</t>
        </is>
      </c>
      <c r="B11" s="62" t="inlineStr">
        <is>
          <t>Samuel Kristanto Utomo / President Director</t>
        </is>
      </c>
    </row>
    <row r="12" ht="15" customHeight="1" s="58">
      <c r="A12" s="61" t="inlineStr">
        <is>
          <t>Acuan ISO 9001:2015</t>
        </is>
      </c>
      <c r="B12" s="62" t="inlineStr">
        <is>
          <t>Klausul 7.5.3, 9.1.1 (USULAN, perlu konfirmasi konsultan)</t>
        </is>
      </c>
    </row>
    <row r="13" ht="15" customHeight="1" s="58">
      <c r="A13" s="61" t="inlineStr">
        <is>
          <t>Acuan ISO/IEC 27001:2022</t>
        </is>
      </c>
      <c r="B13" s="62" t="inlineStr">
        <is>
          <t>Annex A 5.12, 5.15, 5.33 (USULAN, perlu konfirmasi konsultan)</t>
        </is>
      </c>
    </row>
    <row r="14" ht="15" customHeight="1" s="58">
      <c r="A14" s="61" t="inlineStr">
        <is>
          <t>Masa simpan record</t>
        </is>
      </c>
      <c r="B14" s="62" t="inlineStr">
        <is>
          <t>Minimal 10 tahun (USULAN, sama dengan berkas penagihan)</t>
        </is>
      </c>
    </row>
    <row r="15" ht="23.85" customHeight="1" s="58">
      <c r="A15" s="61" t="inlineStr">
        <is>
          <t>Tujuan</t>
        </is>
      </c>
      <c r="B15" s="62" t="inlineStr">
        <is>
          <t>Mencatat semua piutang usaha dari klien SINUX di sheet AR Aging. Utang usaha di sheet AP Aging tidak termasuk.</t>
        </is>
      </c>
    </row>
    <row r="16"/>
    <row r="17" ht="15" customHeight="1" s="58">
      <c r="A17" s="63" t="inlineStr">
        <is>
          <t>Cara pakai</t>
        </is>
      </c>
    </row>
    <row r="18" ht="15" customHeight="1" s="58">
      <c r="A18" s="64" t="inlineStr">
        <is>
          <t>1.</t>
        </is>
      </c>
      <c r="B18" s="65" t="inlineStr">
        <is>
          <t>Finance Staff menambah satu baris di AR Aging per invoice terkirim.</t>
        </is>
      </c>
    </row>
    <row r="19" ht="15" customHeight="1" s="58">
      <c r="A19" s="64" t="inlineStr">
        <is>
          <t>2.</t>
        </is>
      </c>
      <c r="B19" s="65" t="inlineStr">
        <is>
          <t>Finance Staff memperbarui kolom Status setiap status invoice berubah.</t>
        </is>
      </c>
    </row>
    <row r="20" ht="23.85" customHeight="1" s="58">
      <c r="A20" s="64" t="inlineStr">
        <is>
          <t>3.</t>
        </is>
      </c>
      <c r="B20" s="65" t="inlineStr">
        <is>
          <t>Finance Staff mengisi Date Paid saat kas masuk dari klien terlihat di KlikBCA Bisnis.</t>
        </is>
      </c>
    </row>
    <row r="21" ht="23.85" customHeight="1" s="58">
      <c r="A21" s="64" t="inlineStr">
        <is>
          <t>4.</t>
        </is>
      </c>
      <c r="B21" s="65" t="inlineStr">
        <is>
          <t>Finance Staff mencocokkan estimasi PPh 23 dengan Bukti Potong saat Bukti Potong diterima dari klien.</t>
        </is>
      </c>
    </row>
    <row r="22" ht="15" customHeight="1" s="58">
      <c r="A22" s="64" t="n"/>
      <c r="B22" s="65" t="n"/>
    </row>
    <row r="23"/>
    <row r="24" ht="15" customHeight="1" s="58">
      <c r="A24" s="63" t="n"/>
    </row>
    <row r="25" ht="15" customHeight="1" s="58">
      <c r="A25" s="66" t="n"/>
      <c r="B25" s="64" t="n"/>
    </row>
    <row r="26" ht="15" customHeight="1" s="58">
      <c r="A26" s="66" t="n"/>
      <c r="B26" s="64" t="n"/>
    </row>
    <row r="27" ht="15" customHeight="1" s="58">
      <c r="A27" s="66" t="n"/>
      <c r="B27" s="64" t="n"/>
    </row>
    <row r="28"/>
    <row r="29" ht="15" customHeight="1" s="58">
      <c r="A29" s="63" t="inlineStr">
        <is>
          <t>Riwayat revisi</t>
        </is>
      </c>
    </row>
    <row r="30" ht="15" customHeight="1" s="58">
      <c r="A30" s="67" t="inlineStr">
        <is>
          <t>Revisi</t>
        </is>
      </c>
      <c r="B30" s="67" t="inlineStr">
        <is>
          <t>Tanggal</t>
        </is>
      </c>
      <c r="C30" s="67" t="inlineStr">
        <is>
          <t>Uraian perubahan</t>
        </is>
      </c>
      <c r="D30" s="67" t="inlineStr">
        <is>
          <t>Disusun</t>
        </is>
      </c>
      <c r="E30" s="67" t="inlineStr">
        <is>
          <t>Disetujui</t>
        </is>
      </c>
    </row>
    <row r="31" ht="23.85" customHeight="1" s="58">
      <c r="A31" s="62" t="inlineStr">
        <is>
          <t>00</t>
        </is>
      </c>
      <c r="B31" s="62" t="inlineStr">
        <is>
          <t>15 Oktober 2026</t>
        </is>
      </c>
      <c r="C31" s="62" t="inlineStr">
        <is>
          <t>Draft awal untuk review dan pengesahan</t>
        </is>
      </c>
      <c r="D31" s="62" t="inlineStr">
        <is>
          <t>Finance Staff</t>
        </is>
      </c>
      <c r="E31" s="62" t="inlineStr">
        <is>
          <t>Menunggu</t>
        </is>
      </c>
    </row>
    <row r="32" ht="57.45" customHeight="1" s="58">
      <c r="A32" s="62" t="n"/>
      <c r="B32" s="62" t="n"/>
      <c r="C32" s="62" t="n"/>
      <c r="D32" s="62" t="n"/>
      <c r="E32" s="62" t="n"/>
    </row>
    <row r="33"/>
    <row r="34" ht="15" customHeight="1" s="58">
      <c r="A34" s="63" t="inlineStr">
        <is>
          <t>Pengesahan</t>
        </is>
      </c>
    </row>
    <row r="35" ht="15" customHeight="1" s="58">
      <c r="A35" s="67" t="inlineStr">
        <is>
          <t>Peran</t>
        </is>
      </c>
      <c r="B35" s="67" t="inlineStr">
        <is>
          <t>Nama dan jabatan</t>
        </is>
      </c>
      <c r="C35" s="67" t="inlineStr">
        <is>
          <t>Tanda tangan</t>
        </is>
      </c>
      <c r="D35" s="67" t="inlineStr">
        <is>
          <t>Tanggal</t>
        </is>
      </c>
    </row>
    <row r="36" ht="27.75" customHeight="1" s="58">
      <c r="A36" s="68" t="inlineStr">
        <is>
          <t>Disusun oleh</t>
        </is>
      </c>
      <c r="B36" s="68" t="inlineStr">
        <is>
          <t>Finance Staff</t>
        </is>
      </c>
      <c r="C36" s="68" t="n"/>
      <c r="D36" s="68" t="n"/>
    </row>
    <row r="37" ht="27.75" customHeight="1" s="58">
      <c r="A37" s="68" t="inlineStr">
        <is>
          <t>Diperiksa oleh</t>
        </is>
      </c>
      <c r="B37" s="68" t="inlineStr">
        <is>
          <t>Finance Lead</t>
        </is>
      </c>
      <c r="C37" s="68" t="n"/>
      <c r="D37" s="68" t="n"/>
    </row>
    <row r="38" ht="27.75" customHeight="1" s="58">
      <c r="A38" s="68" t="inlineStr">
        <is>
          <t>Disetujui oleh</t>
        </is>
      </c>
      <c r="B38" s="68" t="inlineStr">
        <is>
          <t>Samuel Kristanto Utomo / President Director</t>
        </is>
      </c>
      <c r="C38" s="68" t="n"/>
      <c r="D38" s="68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M7"/>
  <sheetViews>
    <sheetView workbookViewId="0">
      <selection activeCell="A1" sqref="A1"/>
    </sheetView>
  </sheetViews>
  <sheetFormatPr baseColWidth="8" defaultColWidth="12.63" defaultRowHeight="15.75" customHeight="1"/>
  <cols>
    <col width="29.5" customWidth="1" style="58" min="1" max="1"/>
    <col width="30.5" customWidth="1" style="58" min="2" max="2"/>
    <col width="16.75" customWidth="1" style="58" min="9" max="9"/>
  </cols>
  <sheetData>
    <row r="1">
      <c r="A1" s="69" t="inlineStr">
        <is>
          <t>Accounts Receivable Aging</t>
        </is>
      </c>
    </row>
    <row r="2">
      <c r="A2" s="70" t="inlineStr">
        <is>
          <t>Nilai dalam IDR. Finance Staff memantau klien Gov / SOE yang lambat membayar. PPN = DPP x 12% (USULAN). Amount (IDR): Enterprise = DPP + PPN - PPh 23; Gov / SOE = DPP - PPN - PPh 22.</t>
        </is>
      </c>
    </row>
    <row r="3">
      <c r="A3" s="11" t="n"/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  <c r="K3" s="11" t="n"/>
      <c r="L3" s="11" t="n"/>
      <c r="M3" s="11" t="n"/>
    </row>
    <row r="4">
      <c r="A4" s="13" t="inlineStr">
        <is>
          <t>Client</t>
        </is>
      </c>
      <c r="B4" s="13" t="inlineStr">
        <is>
          <t>Invoice Number</t>
        </is>
      </c>
      <c r="C4" s="13" t="inlineStr">
        <is>
          <t>Invoice date</t>
        </is>
      </c>
      <c r="D4" s="13" t="inlineStr">
        <is>
          <t>Due date</t>
        </is>
      </c>
      <c r="E4" s="13" t="inlineStr">
        <is>
          <t xml:space="preserve">Date Paid </t>
        </is>
      </c>
      <c r="F4" s="13" t="inlineStr">
        <is>
          <t>DPP</t>
        </is>
      </c>
      <c r="G4" s="13" t="inlineStr">
        <is>
          <t xml:space="preserve">PPN </t>
        </is>
      </c>
      <c r="H4" s="13" t="inlineStr">
        <is>
          <t>PPh 23/22</t>
        </is>
      </c>
      <c r="I4" s="13" t="inlineStr">
        <is>
          <t>Amount (IDR)</t>
        </is>
      </c>
      <c r="J4" s="13" t="inlineStr">
        <is>
          <t>Days overdue</t>
        </is>
      </c>
      <c r="K4" s="13" t="inlineStr">
        <is>
          <t>Client type</t>
        </is>
      </c>
      <c r="L4" s="13" t="inlineStr">
        <is>
          <t>Status</t>
        </is>
      </c>
      <c r="M4" s="13" t="inlineStr">
        <is>
          <t>Action / notes</t>
        </is>
      </c>
    </row>
    <row r="5">
      <c r="A5" s="71" t="n"/>
      <c r="B5" s="72" t="n"/>
      <c r="C5" s="73" t="n"/>
      <c r="D5" s="73" t="n"/>
      <c r="E5" s="72" t="n"/>
      <c r="F5" s="74" t="n"/>
      <c r="G5" s="74" t="n"/>
      <c r="H5" s="75" t="n"/>
      <c r="I5" s="76" t="n"/>
      <c r="J5" s="77" t="n"/>
      <c r="K5" s="78" t="n"/>
      <c r="L5" s="78" t="n"/>
      <c r="M5" s="79" t="n"/>
    </row>
    <row r="6">
      <c r="A6" s="80" t="n"/>
      <c r="B6" s="81" t="n"/>
      <c r="C6" s="82" t="n"/>
      <c r="D6" s="82" t="n"/>
      <c r="E6" s="81" t="n"/>
      <c r="F6" s="83" t="n"/>
      <c r="G6" s="84" t="n"/>
      <c r="H6" s="84" t="n"/>
      <c r="I6" s="85" t="n"/>
      <c r="J6" s="86" t="n"/>
      <c r="K6" s="36" t="n"/>
      <c r="L6" s="87" t="n"/>
      <c r="M6" s="39" t="n"/>
    </row>
    <row r="7"/>
  </sheetData>
  <mergeCells count="2">
    <mergeCell ref="A2:M2"/>
    <mergeCell ref="A1:M1"/>
  </mergeCells>
  <dataValidations count="2">
    <dataValidation sqref="L5:L6" showDropDown="0" showInputMessage="0" showErrorMessage="0" allowBlank="1" type="list">
      <formula1>"On track,At risk,Overdue,Escalate,Paid,Partially Paid"</formula1>
    </dataValidation>
    <dataValidation sqref="K5:K6" showDropDown="0" showInputMessage="0" showErrorMessage="0" allowBlank="1" type="list">
      <formula1>"Gov / SOE,Enterprise"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N7"/>
  <sheetViews>
    <sheetView workbookViewId="0">
      <selection activeCell="A1" sqref="A1"/>
    </sheetView>
  </sheetViews>
  <sheetFormatPr baseColWidth="8" defaultColWidth="12.63" defaultRowHeight="15.75" customHeight="1"/>
  <cols>
    <col width="18.25" customWidth="1" style="58" min="9" max="9"/>
  </cols>
  <sheetData>
    <row r="1">
      <c r="A1" s="1" t="inlineStr">
        <is>
          <t>Accounts Payable Aging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5" t="n"/>
    </row>
    <row r="2">
      <c r="A2" s="6" t="inlineStr">
        <is>
          <t>All amounts IDR.</t>
        </is>
      </c>
      <c r="B2" s="8" t="n"/>
      <c r="C2" s="8" t="n"/>
      <c r="D2" s="8" t="n"/>
      <c r="E2" s="8" t="n"/>
      <c r="F2" s="8" t="n"/>
      <c r="G2" s="8" t="n"/>
      <c r="H2" s="8" t="n"/>
      <c r="I2" s="8" t="n"/>
      <c r="J2" s="8" t="n"/>
      <c r="K2" s="8" t="n"/>
      <c r="L2" s="8" t="n"/>
      <c r="M2" s="8" t="n"/>
      <c r="N2" s="9" t="n"/>
    </row>
    <row r="3">
      <c r="A3" s="10" t="inlineStr">
        <is>
          <t>TOTAL</t>
        </is>
      </c>
      <c r="B3" s="17">
        <f>SUMIF(M6:M1000, "Paid", I6:I1000)</f>
        <v/>
      </c>
      <c r="C3" s="11" t="n"/>
      <c r="D3" s="11" t="n"/>
      <c r="E3" s="19" t="n"/>
      <c r="F3" s="19" t="n"/>
      <c r="G3" s="19" t="n"/>
      <c r="H3" s="19" t="n"/>
      <c r="I3" s="19" t="n"/>
      <c r="J3" s="11" t="n"/>
      <c r="K3" s="11" t="n"/>
      <c r="L3" s="11" t="n"/>
      <c r="M3" s="11" t="n"/>
      <c r="N3" s="11" t="n"/>
    </row>
    <row r="4">
      <c r="A4" s="23" t="inlineStr">
        <is>
          <t>TOTAL UNPAID</t>
        </is>
      </c>
      <c r="B4" s="17">
        <f>SUMIFS(I6:I1000, M6:M1000, "&lt;&gt;Paid", I6:I1000, "&lt;&gt;")</f>
        <v/>
      </c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  <c r="N4" s="11" t="n"/>
    </row>
    <row r="5">
      <c r="A5" s="31" t="inlineStr">
        <is>
          <t>Client</t>
        </is>
      </c>
      <c r="B5" s="31" t="inlineStr">
        <is>
          <t>Invoice #</t>
        </is>
      </c>
      <c r="C5" s="31" t="inlineStr">
        <is>
          <t>Invoice date</t>
        </is>
      </c>
      <c r="D5" s="31" t="inlineStr">
        <is>
          <t>Due date</t>
        </is>
      </c>
      <c r="E5" s="31" t="inlineStr">
        <is>
          <t xml:space="preserve">Date Paid </t>
        </is>
      </c>
      <c r="F5" s="31" t="inlineStr">
        <is>
          <t>DPP</t>
        </is>
      </c>
      <c r="G5" s="31" t="inlineStr">
        <is>
          <t xml:space="preserve">PPN </t>
        </is>
      </c>
      <c r="H5" s="31" t="inlineStr">
        <is>
          <t>PPh 23</t>
        </is>
      </c>
      <c r="I5" s="31" t="inlineStr">
        <is>
          <t>Amount (IDR)</t>
        </is>
      </c>
      <c r="J5" s="31" t="inlineStr">
        <is>
          <t>Aging</t>
        </is>
      </c>
      <c r="K5" s="31" t="inlineStr">
        <is>
          <t>Bucket</t>
        </is>
      </c>
      <c r="L5" s="31" t="inlineStr">
        <is>
          <t>Client type</t>
        </is>
      </c>
      <c r="M5" s="31" t="inlineStr">
        <is>
          <t>Status</t>
        </is>
      </c>
      <c r="N5" s="31" t="inlineStr">
        <is>
          <t>Action / notes</t>
        </is>
      </c>
    </row>
    <row r="6">
      <c r="A6" s="36" t="n"/>
      <c r="B6" s="39" t="n"/>
      <c r="C6" s="44" t="n"/>
      <c r="D6" s="42" t="n"/>
      <c r="E6" s="44" t="n"/>
      <c r="F6" s="46" t="n"/>
      <c r="G6" s="46" t="n"/>
      <c r="H6" s="46" t="n"/>
      <c r="I6" s="47" t="n"/>
      <c r="J6" s="48">
        <f>IF(C6="", "", TODAY() - C6)</f>
        <v/>
      </c>
      <c r="K6" s="48">
        <f>IF(J6="","", IF(J6&lt;=30, "Current", IF(J6&lt;=60, "31 - 60", IF(J6&lt;=90, "61 - 90", "90+"))))</f>
        <v/>
      </c>
      <c r="L6" s="49" t="n"/>
      <c r="M6" s="49">
        <f>IF(E6&lt;&gt;"", "Paid", IF(K6="Current", "On Track", IF(K6="31 - 60", "Overdue", IF(K6="61 - 90", "At Risk", IF(K6="90+", "Escalate", "")))))</f>
        <v/>
      </c>
      <c r="N6" s="50" t="n"/>
    </row>
    <row r="7">
      <c r="A7" s="36" t="inlineStr">
        <is>
          <t xml:space="preserve">PPN August </t>
        </is>
      </c>
      <c r="B7" s="39" t="n"/>
      <c r="C7" s="51" t="n">
        <v>46265</v>
      </c>
      <c r="D7" s="51" t="n">
        <v>46295</v>
      </c>
      <c r="E7" s="53" t="n"/>
      <c r="F7" s="53" t="n">
        <v>0</v>
      </c>
      <c r="G7" s="53" t="n">
        <v>0</v>
      </c>
      <c r="H7" s="53" t="n">
        <v>0</v>
      </c>
      <c r="I7" s="54" t="n">
        <v>2759151</v>
      </c>
      <c r="J7" s="55">
        <f>IF(C7="", "", TODAY() - C7)</f>
        <v/>
      </c>
      <c r="K7" s="55">
        <f>IF(J7="","", IF(J7&lt;=30, "Current", IF(J7&lt;=60, "31 - 60", IF(J7&lt;=90, "61 - 90", "90+"))))</f>
        <v/>
      </c>
      <c r="L7" s="56" t="inlineStr">
        <is>
          <t>Gov / SOE</t>
        </is>
      </c>
      <c r="M7" s="57">
        <f>IF(E7&lt;&gt;"", "Paid", IF(K7="Current", "On Track", IF(K7="31 - 60", "Overdue", IF(K7="61 - 90", "At Risk", IF(K7="90+", "Escalate", "")))))</f>
        <v/>
      </c>
      <c r="N7" s="39" t="n"/>
    </row>
  </sheetData>
  <dataValidations count="2">
    <dataValidation sqref="L6:L7" showDropDown="0" showInputMessage="0" showErrorMessage="0" allowBlank="1" type="list">
      <formula1>"Gov / SOE,Vendor"</formula1>
    </dataValidation>
    <dataValidation sqref="M6:M7" showDropDown="0" showInputMessage="0" showErrorMessage="1" allowBlank="1" type="list">
      <formula1>"On Track,Overdue,Paid"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2026-10-15T00:43:25Z</dcterms:created>
  <dcterms:modified xmlns:dcterms="http://purl.org/dc/terms/" xmlns:xsi="http://www.w3.org/2001/XMLSchema-instance" xsi:type="dcterms:W3CDTF">2026-10-15T00:43:25Z</dcterms:modified>
</cp:coreProperties>
</file>